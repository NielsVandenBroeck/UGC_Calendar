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Secretariaat\Personeel\Uurroosters studenten\Uurroosters studenten toekomst\Lege roosters\"/>
    </mc:Choice>
  </mc:AlternateContent>
  <bookViews>
    <workbookView xWindow="-105" yWindow="-105" windowWidth="19305" windowHeight="7080" tabRatio="733" activeTab="4"/>
  </bookViews>
  <sheets>
    <sheet name="week 1" sheetId="58" r:id="rId1"/>
    <sheet name="week 2" sheetId="59" r:id="rId2"/>
    <sheet name="week 3" sheetId="60" r:id="rId3"/>
    <sheet name="week 4" sheetId="61" r:id="rId4"/>
    <sheet name="week 5" sheetId="62" r:id="rId5"/>
    <sheet name="week 6" sheetId="67" state="hidden" r:id="rId6"/>
    <sheet name="Blad1" sheetId="66" state="hidden" r:id="rId7"/>
    <sheet name="ww6" sheetId="65" state="hidden" r:id="rId8"/>
    <sheet name="w6" sheetId="64" state="hidden" r:id="rId9"/>
  </sheets>
  <definedNames>
    <definedName name="_xlnm.Print_Area" localSheetId="0">'week 1'!$A$1:$L$9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3" i="61" l="1"/>
  <c r="I355" i="58"/>
  <c r="E367" i="58"/>
  <c r="I277" i="58"/>
  <c r="F307" i="58"/>
  <c r="F295" i="58"/>
  <c r="I319" i="59"/>
  <c r="D307" i="59"/>
  <c r="G367" i="58"/>
  <c r="H421" i="58"/>
  <c r="G421" i="58"/>
  <c r="F277" i="59"/>
  <c r="H277" i="58"/>
  <c r="F277" i="58"/>
  <c r="K289" i="62"/>
  <c r="J289" i="62"/>
  <c r="I289" i="62"/>
  <c r="H289" i="62"/>
  <c r="G289" i="62"/>
  <c r="F289" i="62"/>
  <c r="E289" i="62"/>
  <c r="D289" i="62"/>
  <c r="L289" i="62" s="1"/>
  <c r="J289" i="61"/>
  <c r="I289" i="61"/>
  <c r="H289" i="61"/>
  <c r="G289" i="61"/>
  <c r="F289" i="61"/>
  <c r="E289" i="61"/>
  <c r="D289" i="61"/>
  <c r="J67" i="60"/>
  <c r="I67" i="60"/>
  <c r="H67" i="60"/>
  <c r="G67" i="60"/>
  <c r="F67" i="60"/>
  <c r="E67" i="60"/>
  <c r="D67" i="60"/>
  <c r="K289" i="59"/>
  <c r="J289" i="59"/>
  <c r="I289" i="59"/>
  <c r="H289" i="59"/>
  <c r="G289" i="59"/>
  <c r="F289" i="59"/>
  <c r="E289" i="59"/>
  <c r="L289" i="59" s="1"/>
  <c r="K289" i="58"/>
  <c r="I289" i="58"/>
  <c r="H289" i="58"/>
  <c r="G289" i="58"/>
  <c r="F289" i="58"/>
  <c r="L289" i="58" s="1"/>
  <c r="D289" i="58"/>
  <c r="L289" i="61" l="1"/>
  <c r="K289" i="61"/>
  <c r="L67" i="60"/>
  <c r="K67" i="60"/>
  <c r="I325" i="59" l="1"/>
  <c r="J349" i="62"/>
  <c r="I349" i="62"/>
  <c r="H349" i="62"/>
  <c r="G349" i="62"/>
  <c r="F349" i="62"/>
  <c r="E349" i="62"/>
  <c r="D349" i="62"/>
  <c r="J348" i="61"/>
  <c r="I348" i="61"/>
  <c r="H348" i="61"/>
  <c r="G348" i="61"/>
  <c r="F348" i="61"/>
  <c r="E348" i="61"/>
  <c r="J127" i="60"/>
  <c r="I127" i="60"/>
  <c r="H127" i="60"/>
  <c r="F127" i="60"/>
  <c r="E127" i="60"/>
  <c r="D127" i="60"/>
  <c r="I349" i="58"/>
  <c r="H349" i="58"/>
  <c r="G349" i="58"/>
  <c r="F349" i="58"/>
  <c r="D349" i="58"/>
  <c r="J349" i="59"/>
  <c r="I349" i="59"/>
  <c r="H349" i="59"/>
  <c r="G349" i="59"/>
  <c r="F349" i="59"/>
  <c r="E349" i="59"/>
  <c r="D349" i="59"/>
  <c r="J427" i="62"/>
  <c r="I427" i="62"/>
  <c r="H427" i="62"/>
  <c r="G427" i="62"/>
  <c r="F427" i="62"/>
  <c r="E427" i="62"/>
  <c r="D427" i="62"/>
  <c r="J426" i="61"/>
  <c r="H426" i="61"/>
  <c r="G426" i="61"/>
  <c r="F426" i="61"/>
  <c r="E426" i="61"/>
  <c r="D426" i="61"/>
  <c r="J205" i="60"/>
  <c r="I205" i="60"/>
  <c r="H205" i="60"/>
  <c r="G205" i="60"/>
  <c r="F205" i="60"/>
  <c r="E205" i="60"/>
  <c r="D205" i="60"/>
  <c r="J427" i="59"/>
  <c r="I427" i="59"/>
  <c r="H427" i="59"/>
  <c r="G427" i="59"/>
  <c r="F427" i="59"/>
  <c r="E427" i="59"/>
  <c r="D427" i="59"/>
  <c r="J277" i="58"/>
  <c r="I433" i="58"/>
  <c r="H433" i="58"/>
  <c r="G433" i="58"/>
  <c r="F433" i="58"/>
  <c r="E433" i="58"/>
  <c r="J301" i="62"/>
  <c r="I301" i="62"/>
  <c r="H301" i="62"/>
  <c r="G301" i="62"/>
  <c r="F301" i="62"/>
  <c r="E301" i="62"/>
  <c r="D301" i="62"/>
  <c r="J300" i="61"/>
  <c r="G300" i="61"/>
  <c r="F300" i="61"/>
  <c r="E300" i="61"/>
  <c r="D300" i="61"/>
  <c r="J79" i="60"/>
  <c r="H79" i="60"/>
  <c r="G79" i="60"/>
  <c r="E79" i="60"/>
  <c r="D79" i="60"/>
  <c r="J301" i="59"/>
  <c r="I301" i="59"/>
  <c r="G301" i="59"/>
  <c r="F301" i="59"/>
  <c r="E301" i="59"/>
  <c r="D301" i="59"/>
  <c r="I301" i="58"/>
  <c r="H301" i="58"/>
  <c r="G301" i="58"/>
  <c r="F301" i="58"/>
  <c r="E301" i="58"/>
  <c r="K205" i="60" l="1"/>
  <c r="L427" i="62"/>
  <c r="K349" i="62"/>
  <c r="L426" i="61"/>
  <c r="L205" i="60"/>
  <c r="L301" i="58"/>
  <c r="K349" i="58"/>
  <c r="K433" i="58"/>
  <c r="L349" i="58"/>
  <c r="L301" i="62"/>
  <c r="K300" i="61"/>
  <c r="L348" i="61"/>
  <c r="K348" i="61"/>
  <c r="K127" i="60"/>
  <c r="L127" i="60"/>
  <c r="L79" i="60"/>
  <c r="L349" i="62"/>
  <c r="K349" i="59"/>
  <c r="L349" i="59"/>
  <c r="K427" i="59"/>
  <c r="L427" i="59"/>
  <c r="L301" i="59"/>
  <c r="K427" i="62"/>
  <c r="K426" i="61"/>
  <c r="L433" i="58"/>
  <c r="K301" i="58"/>
  <c r="K301" i="62"/>
  <c r="L300" i="61"/>
  <c r="K79" i="60"/>
  <c r="K301" i="59"/>
  <c r="AD304" i="58"/>
  <c r="AE304" i="58"/>
  <c r="AF304" i="58"/>
  <c r="AG304" i="58"/>
  <c r="AH304" i="58"/>
  <c r="AI304" i="58"/>
  <c r="AJ304" i="58"/>
  <c r="AD305" i="58"/>
  <c r="AE305" i="58"/>
  <c r="AF305" i="58"/>
  <c r="AG305" i="58"/>
  <c r="AH305" i="58"/>
  <c r="AI305" i="58"/>
  <c r="AJ305" i="58"/>
  <c r="AD306" i="58"/>
  <c r="AE306" i="58"/>
  <c r="AF306" i="58"/>
  <c r="AG306" i="58"/>
  <c r="AH306" i="58"/>
  <c r="AI306" i="58"/>
  <c r="AJ306" i="58"/>
  <c r="D307" i="58"/>
  <c r="N307" i="58" s="1"/>
  <c r="X307" i="58"/>
  <c r="G307" i="58"/>
  <c r="Q307" i="58" s="1"/>
  <c r="H307" i="58"/>
  <c r="Z307" i="58" s="1"/>
  <c r="I307" i="58"/>
  <c r="AA307" i="58" s="1"/>
  <c r="O307" i="58"/>
  <c r="T307" i="58"/>
  <c r="W307" i="58"/>
  <c r="AB307" i="58"/>
  <c r="AD307" i="58"/>
  <c r="AE307" i="58"/>
  <c r="AF307" i="58"/>
  <c r="AG307" i="58"/>
  <c r="AH307" i="58"/>
  <c r="AI307" i="58"/>
  <c r="AJ307" i="58"/>
  <c r="AD308" i="58"/>
  <c r="AE308" i="58"/>
  <c r="AF308" i="58"/>
  <c r="AG308" i="58"/>
  <c r="AH308" i="58"/>
  <c r="AI308" i="58"/>
  <c r="AJ308" i="58"/>
  <c r="S307" i="58" l="1"/>
  <c r="R307" i="58"/>
  <c r="P307" i="58"/>
  <c r="Y307" i="58"/>
  <c r="V307" i="58"/>
  <c r="K307" i="58"/>
  <c r="L307" i="58"/>
  <c r="J217" i="67"/>
  <c r="I217" i="67"/>
  <c r="H217" i="67"/>
  <c r="G217" i="67"/>
  <c r="K217" i="67" s="1"/>
  <c r="F217" i="67"/>
  <c r="E217" i="67"/>
  <c r="D217" i="67"/>
  <c r="J211" i="67"/>
  <c r="I211" i="67"/>
  <c r="H211" i="67"/>
  <c r="G211" i="67"/>
  <c r="F211" i="67"/>
  <c r="E211" i="67"/>
  <c r="D211" i="67"/>
  <c r="J205" i="67"/>
  <c r="I205" i="67"/>
  <c r="H205" i="67"/>
  <c r="G205" i="67"/>
  <c r="F205" i="67"/>
  <c r="E205" i="67"/>
  <c r="D205" i="67"/>
  <c r="J199" i="67"/>
  <c r="I199" i="67"/>
  <c r="H199" i="67"/>
  <c r="G199" i="67"/>
  <c r="F199" i="67"/>
  <c r="E199" i="67"/>
  <c r="D199" i="67"/>
  <c r="J193" i="67"/>
  <c r="I193" i="67"/>
  <c r="H193" i="67"/>
  <c r="G193" i="67"/>
  <c r="K193" i="67" s="1"/>
  <c r="F193" i="67"/>
  <c r="E193" i="67"/>
  <c r="D193" i="67"/>
  <c r="J187" i="67"/>
  <c r="I187" i="67"/>
  <c r="H187" i="67"/>
  <c r="G187" i="67"/>
  <c r="F187" i="67"/>
  <c r="E187" i="67"/>
  <c r="D187" i="67"/>
  <c r="J181" i="67"/>
  <c r="I181" i="67"/>
  <c r="H181" i="67"/>
  <c r="G181" i="67"/>
  <c r="F181" i="67"/>
  <c r="E181" i="67"/>
  <c r="D181" i="67"/>
  <c r="J175" i="67"/>
  <c r="I175" i="67"/>
  <c r="H175" i="67"/>
  <c r="G175" i="67"/>
  <c r="F175" i="67"/>
  <c r="E175" i="67"/>
  <c r="D175" i="67"/>
  <c r="J169" i="67"/>
  <c r="I169" i="67"/>
  <c r="H169" i="67"/>
  <c r="G169" i="67"/>
  <c r="K169" i="67" s="1"/>
  <c r="F169" i="67"/>
  <c r="E169" i="67"/>
  <c r="D169" i="67"/>
  <c r="J163" i="67"/>
  <c r="I163" i="67"/>
  <c r="H163" i="67"/>
  <c r="G163" i="67"/>
  <c r="F163" i="67"/>
  <c r="E163" i="67"/>
  <c r="D163" i="67"/>
  <c r="J157" i="67"/>
  <c r="I157" i="67"/>
  <c r="H157" i="67"/>
  <c r="G157" i="67"/>
  <c r="F157" i="67"/>
  <c r="E157" i="67"/>
  <c r="J151" i="67"/>
  <c r="I151" i="67"/>
  <c r="H151" i="67"/>
  <c r="G151" i="67"/>
  <c r="F151" i="67"/>
  <c r="E151" i="67"/>
  <c r="D151" i="67"/>
  <c r="J145" i="67"/>
  <c r="I145" i="67"/>
  <c r="H145" i="67"/>
  <c r="G145" i="67"/>
  <c r="F145" i="67"/>
  <c r="K145" i="67" s="1"/>
  <c r="E145" i="67"/>
  <c r="D145" i="67"/>
  <c r="J139" i="67"/>
  <c r="I139" i="67"/>
  <c r="H139" i="67"/>
  <c r="G139" i="67"/>
  <c r="F139" i="67"/>
  <c r="E139" i="67"/>
  <c r="D139" i="67"/>
  <c r="J133" i="67"/>
  <c r="I133" i="67"/>
  <c r="H133" i="67"/>
  <c r="G133" i="67"/>
  <c r="F133" i="67"/>
  <c r="E133" i="67"/>
  <c r="D133" i="67"/>
  <c r="J127" i="67"/>
  <c r="I127" i="67"/>
  <c r="H127" i="67"/>
  <c r="G127" i="67"/>
  <c r="F127" i="67"/>
  <c r="E127" i="67"/>
  <c r="D127" i="67"/>
  <c r="J121" i="67"/>
  <c r="I121" i="67"/>
  <c r="H121" i="67"/>
  <c r="G121" i="67"/>
  <c r="F121" i="67"/>
  <c r="K121" i="67" s="1"/>
  <c r="E121" i="67"/>
  <c r="D121" i="67"/>
  <c r="J115" i="67"/>
  <c r="I115" i="67"/>
  <c r="H115" i="67"/>
  <c r="G115" i="67"/>
  <c r="F115" i="67"/>
  <c r="E115" i="67"/>
  <c r="D115" i="67"/>
  <c r="J109" i="67"/>
  <c r="I109" i="67"/>
  <c r="H109" i="67"/>
  <c r="G109" i="67"/>
  <c r="F109" i="67"/>
  <c r="E109" i="67"/>
  <c r="D109" i="67"/>
  <c r="J103" i="67"/>
  <c r="I103" i="67"/>
  <c r="H103" i="67"/>
  <c r="G103" i="67"/>
  <c r="F103" i="67"/>
  <c r="E103" i="67"/>
  <c r="D103" i="67"/>
  <c r="J97" i="67"/>
  <c r="I97" i="67"/>
  <c r="H97" i="67"/>
  <c r="G97" i="67"/>
  <c r="F97" i="67"/>
  <c r="K97" i="67" s="1"/>
  <c r="E97" i="67"/>
  <c r="D97" i="67"/>
  <c r="J91" i="67"/>
  <c r="I91" i="67"/>
  <c r="H91" i="67"/>
  <c r="G91" i="67"/>
  <c r="F91" i="67"/>
  <c r="E91" i="67"/>
  <c r="D91" i="67"/>
  <c r="J85" i="67"/>
  <c r="I85" i="67"/>
  <c r="H85" i="67"/>
  <c r="G85" i="67"/>
  <c r="F85" i="67"/>
  <c r="E85" i="67"/>
  <c r="D85" i="67"/>
  <c r="J79" i="67"/>
  <c r="I79" i="67"/>
  <c r="H79" i="67"/>
  <c r="G79" i="67"/>
  <c r="F79" i="67"/>
  <c r="E79" i="67"/>
  <c r="D79" i="67"/>
  <c r="J73" i="67"/>
  <c r="I73" i="67"/>
  <c r="H73" i="67"/>
  <c r="G73" i="67"/>
  <c r="F73" i="67"/>
  <c r="K73" i="67" s="1"/>
  <c r="E73" i="67"/>
  <c r="D73" i="67"/>
  <c r="J67" i="67"/>
  <c r="I67" i="67"/>
  <c r="H67" i="67"/>
  <c r="G67" i="67"/>
  <c r="F67" i="67"/>
  <c r="E67" i="67"/>
  <c r="D67" i="67"/>
  <c r="J61" i="67"/>
  <c r="I61" i="67"/>
  <c r="H61" i="67"/>
  <c r="G61" i="67"/>
  <c r="F61" i="67"/>
  <c r="E61" i="67"/>
  <c r="D61" i="67"/>
  <c r="J55" i="67"/>
  <c r="I55" i="67"/>
  <c r="H55" i="67"/>
  <c r="G55" i="67"/>
  <c r="F55" i="67"/>
  <c r="E55" i="67"/>
  <c r="D55" i="67"/>
  <c r="J49" i="67"/>
  <c r="I49" i="67"/>
  <c r="H49" i="67"/>
  <c r="G49" i="67"/>
  <c r="F49" i="67"/>
  <c r="K49" i="67" s="1"/>
  <c r="E49" i="67"/>
  <c r="D49" i="67"/>
  <c r="J43" i="67"/>
  <c r="H43" i="67"/>
  <c r="G43" i="67"/>
  <c r="F43" i="67"/>
  <c r="E43" i="67"/>
  <c r="D43" i="67"/>
  <c r="J37" i="67"/>
  <c r="I37" i="67"/>
  <c r="H37" i="67"/>
  <c r="G37" i="67"/>
  <c r="F37" i="67"/>
  <c r="E37" i="67"/>
  <c r="D37" i="67"/>
  <c r="J31" i="67"/>
  <c r="I31" i="67"/>
  <c r="H31" i="67"/>
  <c r="G31" i="67"/>
  <c r="F31" i="67"/>
  <c r="E31" i="67"/>
  <c r="D31" i="67"/>
  <c r="J25" i="67"/>
  <c r="I25" i="67"/>
  <c r="H25" i="67"/>
  <c r="G25" i="67"/>
  <c r="F25" i="67"/>
  <c r="E25" i="67"/>
  <c r="K25" i="67" s="1"/>
  <c r="D25" i="67"/>
  <c r="K19" i="67"/>
  <c r="J13" i="67"/>
  <c r="I13" i="67"/>
  <c r="H13" i="67"/>
  <c r="G13" i="67"/>
  <c r="F13" i="67"/>
  <c r="E13" i="67"/>
  <c r="D13" i="67"/>
  <c r="J7" i="67"/>
  <c r="I7" i="67"/>
  <c r="H7" i="67"/>
  <c r="G7" i="67"/>
  <c r="F7" i="67"/>
  <c r="E7" i="67"/>
  <c r="D7" i="67"/>
  <c r="K13" i="67" l="1"/>
  <c r="K115" i="67"/>
  <c r="K7" i="67"/>
  <c r="K37" i="67"/>
  <c r="K61" i="67"/>
  <c r="K85" i="67"/>
  <c r="K109" i="67"/>
  <c r="K133" i="67"/>
  <c r="K157" i="67"/>
  <c r="K181" i="67"/>
  <c r="K205" i="67"/>
  <c r="K43" i="67"/>
  <c r="K67" i="67"/>
  <c r="K91" i="67"/>
  <c r="K139" i="67"/>
  <c r="K163" i="67"/>
  <c r="K187" i="67"/>
  <c r="K211" i="67"/>
  <c r="K31" i="67"/>
  <c r="K55" i="67"/>
  <c r="K79" i="67"/>
  <c r="K103" i="67"/>
  <c r="K127" i="67"/>
  <c r="K151" i="67"/>
  <c r="K175" i="67"/>
  <c r="K199" i="67"/>
  <c r="AJ410" i="62"/>
  <c r="AI410" i="62"/>
  <c r="AH410" i="62"/>
  <c r="AG410" i="62"/>
  <c r="AF410" i="62"/>
  <c r="AE410" i="62"/>
  <c r="AD410" i="62"/>
  <c r="AJ409" i="62"/>
  <c r="AI409" i="62"/>
  <c r="AH409" i="62"/>
  <c r="AG409" i="62"/>
  <c r="AF409" i="62"/>
  <c r="AE409" i="62"/>
  <c r="AD409" i="62"/>
  <c r="J409" i="62"/>
  <c r="T409" i="62" s="1"/>
  <c r="I409" i="62"/>
  <c r="S409" i="62" s="1"/>
  <c r="H409" i="62"/>
  <c r="R409" i="62" s="1"/>
  <c r="G409" i="62"/>
  <c r="Y409" i="62" s="1"/>
  <c r="F409" i="62"/>
  <c r="P409" i="62" s="1"/>
  <c r="E409" i="62"/>
  <c r="O409" i="62" s="1"/>
  <c r="D409" i="62"/>
  <c r="AJ408" i="62"/>
  <c r="AI408" i="62"/>
  <c r="AH408" i="62"/>
  <c r="AG408" i="62"/>
  <c r="AF408" i="62"/>
  <c r="AE408" i="62"/>
  <c r="AD408" i="62"/>
  <c r="AJ407" i="62"/>
  <c r="AI407" i="62"/>
  <c r="AH407" i="62"/>
  <c r="AG407" i="62"/>
  <c r="AF407" i="62"/>
  <c r="AE407" i="62"/>
  <c r="AD407" i="62"/>
  <c r="AJ406" i="62"/>
  <c r="AI406" i="62"/>
  <c r="AH406" i="62"/>
  <c r="AG406" i="62"/>
  <c r="AF406" i="62"/>
  <c r="AE406" i="62"/>
  <c r="AD406" i="62"/>
  <c r="AJ409" i="61"/>
  <c r="AI409" i="61"/>
  <c r="AH409" i="61"/>
  <c r="AG409" i="61"/>
  <c r="AF409" i="61"/>
  <c r="AE409" i="61"/>
  <c r="AD409" i="61"/>
  <c r="AJ408" i="61"/>
  <c r="AI408" i="61"/>
  <c r="AH408" i="61"/>
  <c r="AG408" i="61"/>
  <c r="AF408" i="61"/>
  <c r="AE408" i="61"/>
  <c r="AD408" i="61"/>
  <c r="AA408" i="61"/>
  <c r="Z408" i="61"/>
  <c r="S408" i="61"/>
  <c r="R408" i="61"/>
  <c r="J408" i="61"/>
  <c r="T408" i="61" s="1"/>
  <c r="G408" i="61"/>
  <c r="Q408" i="61" s="1"/>
  <c r="F408" i="61"/>
  <c r="P408" i="61" s="1"/>
  <c r="E408" i="61"/>
  <c r="W408" i="61" s="1"/>
  <c r="D408" i="61"/>
  <c r="V408" i="61" s="1"/>
  <c r="AJ407" i="61"/>
  <c r="AI407" i="61"/>
  <c r="AH407" i="61"/>
  <c r="AG407" i="61"/>
  <c r="AF407" i="61"/>
  <c r="AE407" i="61"/>
  <c r="AD407" i="61"/>
  <c r="AJ406" i="61"/>
  <c r="AI406" i="61"/>
  <c r="AH406" i="61"/>
  <c r="AG406" i="61"/>
  <c r="AF406" i="61"/>
  <c r="AE406" i="61"/>
  <c r="AD406" i="61"/>
  <c r="AJ405" i="61"/>
  <c r="AI405" i="61"/>
  <c r="AH405" i="61"/>
  <c r="AG405" i="61"/>
  <c r="AF405" i="61"/>
  <c r="AE405" i="61"/>
  <c r="AD405" i="61"/>
  <c r="AJ188" i="60"/>
  <c r="AI188" i="60"/>
  <c r="AH188" i="60"/>
  <c r="AG188" i="60"/>
  <c r="AF188" i="60"/>
  <c r="AE188" i="60"/>
  <c r="AD188" i="60"/>
  <c r="AJ187" i="60"/>
  <c r="AI187" i="60"/>
  <c r="AH187" i="60"/>
  <c r="AG187" i="60"/>
  <c r="AF187" i="60"/>
  <c r="AE187" i="60"/>
  <c r="AD187" i="60"/>
  <c r="AA187" i="60"/>
  <c r="Z187" i="60"/>
  <c r="S187" i="60"/>
  <c r="R187" i="60"/>
  <c r="J187" i="60"/>
  <c r="T187" i="60" s="1"/>
  <c r="G187" i="60"/>
  <c r="Q187" i="60" s="1"/>
  <c r="P187" i="60"/>
  <c r="E187" i="60"/>
  <c r="W187" i="60" s="1"/>
  <c r="D187" i="60"/>
  <c r="V187" i="60" s="1"/>
  <c r="AJ186" i="60"/>
  <c r="AI186" i="60"/>
  <c r="AH186" i="60"/>
  <c r="AG186" i="60"/>
  <c r="AF186" i="60"/>
  <c r="AE186" i="60"/>
  <c r="AD186" i="60"/>
  <c r="AJ185" i="60"/>
  <c r="AI185" i="60"/>
  <c r="AH185" i="60"/>
  <c r="AG185" i="60"/>
  <c r="AF185" i="60"/>
  <c r="AE185" i="60"/>
  <c r="AD185" i="60"/>
  <c r="AJ184" i="60"/>
  <c r="AI184" i="60"/>
  <c r="AH184" i="60"/>
  <c r="AG184" i="60"/>
  <c r="AF184" i="60"/>
  <c r="AE184" i="60"/>
  <c r="AD184" i="60"/>
  <c r="AJ410" i="59"/>
  <c r="AI410" i="59"/>
  <c r="AH410" i="59"/>
  <c r="AG410" i="59"/>
  <c r="AF410" i="59"/>
  <c r="AE410" i="59"/>
  <c r="AD410" i="59"/>
  <c r="AJ409" i="59"/>
  <c r="AI409" i="59"/>
  <c r="AH409" i="59"/>
  <c r="AG409" i="59"/>
  <c r="AF409" i="59"/>
  <c r="AE409" i="59"/>
  <c r="AD409" i="59"/>
  <c r="AA409" i="59"/>
  <c r="Z409" i="59"/>
  <c r="S409" i="59"/>
  <c r="R409" i="59"/>
  <c r="J409" i="59"/>
  <c r="T409" i="59" s="1"/>
  <c r="G409" i="59"/>
  <c r="Q409" i="59" s="1"/>
  <c r="F409" i="59"/>
  <c r="P409" i="59" s="1"/>
  <c r="E409" i="59"/>
  <c r="O409" i="59" s="1"/>
  <c r="D409" i="59"/>
  <c r="V409" i="59" s="1"/>
  <c r="AJ408" i="59"/>
  <c r="AI408" i="59"/>
  <c r="AH408" i="59"/>
  <c r="AG408" i="59"/>
  <c r="AF408" i="59"/>
  <c r="AE408" i="59"/>
  <c r="AD408" i="59"/>
  <c r="AJ407" i="59"/>
  <c r="AI407" i="59"/>
  <c r="AH407" i="59"/>
  <c r="AG407" i="59"/>
  <c r="AF407" i="59"/>
  <c r="AE407" i="59"/>
  <c r="AD407" i="59"/>
  <c r="AJ406" i="59"/>
  <c r="AI406" i="59"/>
  <c r="AH406" i="59"/>
  <c r="AG406" i="59"/>
  <c r="AF406" i="59"/>
  <c r="AE406" i="59"/>
  <c r="AD406" i="59"/>
  <c r="AJ416" i="58"/>
  <c r="AI416" i="58"/>
  <c r="AH416" i="58"/>
  <c r="AG416" i="58"/>
  <c r="AF416" i="58"/>
  <c r="AE416" i="58"/>
  <c r="AD416" i="58"/>
  <c r="AJ415" i="58"/>
  <c r="AI415" i="58"/>
  <c r="AH415" i="58"/>
  <c r="AG415" i="58"/>
  <c r="AF415" i="58"/>
  <c r="AE415" i="58"/>
  <c r="AD415" i="58"/>
  <c r="AB415" i="58"/>
  <c r="W415" i="58"/>
  <c r="T415" i="58"/>
  <c r="O415" i="58"/>
  <c r="I415" i="58"/>
  <c r="S415" i="58" s="1"/>
  <c r="H415" i="58"/>
  <c r="Z415" i="58" s="1"/>
  <c r="G415" i="58"/>
  <c r="Q415" i="58" s="1"/>
  <c r="F415" i="58"/>
  <c r="P415" i="58" s="1"/>
  <c r="D415" i="58"/>
  <c r="V415" i="58" s="1"/>
  <c r="AJ414" i="58"/>
  <c r="AI414" i="58"/>
  <c r="AH414" i="58"/>
  <c r="AG414" i="58"/>
  <c r="AF414" i="58"/>
  <c r="AE414" i="58"/>
  <c r="AD414" i="58"/>
  <c r="AJ413" i="58"/>
  <c r="AI413" i="58"/>
  <c r="AH413" i="58"/>
  <c r="AG413" i="58"/>
  <c r="AF413" i="58"/>
  <c r="AE413" i="58"/>
  <c r="AD413" i="58"/>
  <c r="AJ412" i="58"/>
  <c r="AI412" i="58"/>
  <c r="AH412" i="58"/>
  <c r="AG412" i="58"/>
  <c r="AF412" i="58"/>
  <c r="AE412" i="58"/>
  <c r="AD412" i="58"/>
  <c r="AJ404" i="62"/>
  <c r="AI404" i="62"/>
  <c r="AH404" i="62"/>
  <c r="AG404" i="62"/>
  <c r="AF404" i="62"/>
  <c r="AE404" i="62"/>
  <c r="AD404" i="62"/>
  <c r="AJ403" i="62"/>
  <c r="AI403" i="62"/>
  <c r="AH403" i="62"/>
  <c r="AG403" i="62"/>
  <c r="AF403" i="62"/>
  <c r="AE403" i="62"/>
  <c r="AD403" i="62"/>
  <c r="J403" i="62"/>
  <c r="T403" i="62" s="1"/>
  <c r="I403" i="62"/>
  <c r="S403" i="62" s="1"/>
  <c r="H403" i="62"/>
  <c r="Z403" i="62" s="1"/>
  <c r="G403" i="62"/>
  <c r="Q403" i="62" s="1"/>
  <c r="F403" i="62"/>
  <c r="P403" i="62" s="1"/>
  <c r="E403" i="62"/>
  <c r="W403" i="62" s="1"/>
  <c r="D403" i="62"/>
  <c r="V403" i="62" s="1"/>
  <c r="AJ402" i="62"/>
  <c r="AI402" i="62"/>
  <c r="AH402" i="62"/>
  <c r="AG402" i="62"/>
  <c r="AF402" i="62"/>
  <c r="AE402" i="62"/>
  <c r="AD402" i="62"/>
  <c r="AJ401" i="62"/>
  <c r="AI401" i="62"/>
  <c r="AH401" i="62"/>
  <c r="AG401" i="62"/>
  <c r="AF401" i="62"/>
  <c r="AE401" i="62"/>
  <c r="AD401" i="62"/>
  <c r="AJ400" i="62"/>
  <c r="AI400" i="62"/>
  <c r="AH400" i="62"/>
  <c r="AG400" i="62"/>
  <c r="AF400" i="62"/>
  <c r="AE400" i="62"/>
  <c r="AD400" i="62"/>
  <c r="AJ403" i="61"/>
  <c r="AI403" i="61"/>
  <c r="AH403" i="61"/>
  <c r="AG403" i="61"/>
  <c r="AF403" i="61"/>
  <c r="AE403" i="61"/>
  <c r="AD403" i="61"/>
  <c r="AJ402" i="61"/>
  <c r="AI402" i="61"/>
  <c r="AH402" i="61"/>
  <c r="AG402" i="61"/>
  <c r="AF402" i="61"/>
  <c r="AE402" i="61"/>
  <c r="AD402" i="61"/>
  <c r="J402" i="61"/>
  <c r="T402" i="61" s="1"/>
  <c r="I402" i="61"/>
  <c r="AA402" i="61" s="1"/>
  <c r="H402" i="61"/>
  <c r="Z402" i="61" s="1"/>
  <c r="G402" i="61"/>
  <c r="Q402" i="61" s="1"/>
  <c r="F402" i="61"/>
  <c r="P402" i="61" s="1"/>
  <c r="E402" i="61"/>
  <c r="W402" i="61" s="1"/>
  <c r="D402" i="61"/>
  <c r="V402" i="61" s="1"/>
  <c r="AJ401" i="61"/>
  <c r="AI401" i="61"/>
  <c r="AH401" i="61"/>
  <c r="AG401" i="61"/>
  <c r="AF401" i="61"/>
  <c r="AE401" i="61"/>
  <c r="AD401" i="61"/>
  <c r="AJ400" i="61"/>
  <c r="AI400" i="61"/>
  <c r="AH400" i="61"/>
  <c r="AG400" i="61"/>
  <c r="AF400" i="61"/>
  <c r="AE400" i="61"/>
  <c r="AD400" i="61"/>
  <c r="AJ399" i="61"/>
  <c r="AI399" i="61"/>
  <c r="AH399" i="61"/>
  <c r="AG399" i="61"/>
  <c r="AF399" i="61"/>
  <c r="AE399" i="61"/>
  <c r="AD399" i="61"/>
  <c r="AJ182" i="60"/>
  <c r="AI182" i="60"/>
  <c r="AH182" i="60"/>
  <c r="AG182" i="60"/>
  <c r="AF182" i="60"/>
  <c r="AE182" i="60"/>
  <c r="AD182" i="60"/>
  <c r="AJ181" i="60"/>
  <c r="AI181" i="60"/>
  <c r="AH181" i="60"/>
  <c r="AG181" i="60"/>
  <c r="AF181" i="60"/>
  <c r="AE181" i="60"/>
  <c r="AD181" i="60"/>
  <c r="J181" i="60"/>
  <c r="T181" i="60" s="1"/>
  <c r="I181" i="60"/>
  <c r="S181" i="60" s="1"/>
  <c r="H181" i="60"/>
  <c r="Z181" i="60" s="1"/>
  <c r="G181" i="60"/>
  <c r="Q181" i="60" s="1"/>
  <c r="F181" i="60"/>
  <c r="P181" i="60" s="1"/>
  <c r="E181" i="60"/>
  <c r="O181" i="60" s="1"/>
  <c r="D181" i="60"/>
  <c r="V181" i="60" s="1"/>
  <c r="AJ180" i="60"/>
  <c r="AI180" i="60"/>
  <c r="AH180" i="60"/>
  <c r="AG180" i="60"/>
  <c r="AF180" i="60"/>
  <c r="AE180" i="60"/>
  <c r="AD180" i="60"/>
  <c r="AJ179" i="60"/>
  <c r="AI179" i="60"/>
  <c r="AH179" i="60"/>
  <c r="AG179" i="60"/>
  <c r="AF179" i="60"/>
  <c r="AE179" i="60"/>
  <c r="AD179" i="60"/>
  <c r="AJ178" i="60"/>
  <c r="AI178" i="60"/>
  <c r="AH178" i="60"/>
  <c r="AG178" i="60"/>
  <c r="AF178" i="60"/>
  <c r="AE178" i="60"/>
  <c r="AD178" i="60"/>
  <c r="AJ404" i="59"/>
  <c r="AI404" i="59"/>
  <c r="AH404" i="59"/>
  <c r="AG404" i="59"/>
  <c r="AF404" i="59"/>
  <c r="AE404" i="59"/>
  <c r="AD404" i="59"/>
  <c r="AJ403" i="59"/>
  <c r="AI403" i="59"/>
  <c r="AH403" i="59"/>
  <c r="AG403" i="59"/>
  <c r="AF403" i="59"/>
  <c r="AE403" i="59"/>
  <c r="AD403" i="59"/>
  <c r="J403" i="59"/>
  <c r="AB403" i="59" s="1"/>
  <c r="I403" i="59"/>
  <c r="S403" i="59" s="1"/>
  <c r="H403" i="59"/>
  <c r="Z403" i="59" s="1"/>
  <c r="G403" i="59"/>
  <c r="Q403" i="59" s="1"/>
  <c r="F403" i="59"/>
  <c r="X403" i="59" s="1"/>
  <c r="E403" i="59"/>
  <c r="O403" i="59" s="1"/>
  <c r="D403" i="59"/>
  <c r="V403" i="59" s="1"/>
  <c r="AJ402" i="59"/>
  <c r="AI402" i="59"/>
  <c r="AH402" i="59"/>
  <c r="AG402" i="59"/>
  <c r="AF402" i="59"/>
  <c r="AE402" i="59"/>
  <c r="AD402" i="59"/>
  <c r="AJ401" i="59"/>
  <c r="AI401" i="59"/>
  <c r="AH401" i="59"/>
  <c r="AG401" i="59"/>
  <c r="AF401" i="59"/>
  <c r="AE401" i="59"/>
  <c r="AD401" i="59"/>
  <c r="AJ400" i="59"/>
  <c r="AI400" i="59"/>
  <c r="AH400" i="59"/>
  <c r="AG400" i="59"/>
  <c r="AF400" i="59"/>
  <c r="AE400" i="59"/>
  <c r="AD400" i="59"/>
  <c r="AJ410" i="58"/>
  <c r="AI410" i="58"/>
  <c r="AH410" i="58"/>
  <c r="AG410" i="58"/>
  <c r="AF410" i="58"/>
  <c r="AE410" i="58"/>
  <c r="AD410" i="58"/>
  <c r="AJ409" i="58"/>
  <c r="AI409" i="58"/>
  <c r="AH409" i="58"/>
  <c r="AG409" i="58"/>
  <c r="AF409" i="58"/>
  <c r="AE409" i="58"/>
  <c r="AD409" i="58"/>
  <c r="AB409" i="58"/>
  <c r="T409" i="58"/>
  <c r="I409" i="58"/>
  <c r="S409" i="58" s="1"/>
  <c r="H409" i="58"/>
  <c r="Z409" i="58" s="1"/>
  <c r="G409" i="58"/>
  <c r="Q409" i="58" s="1"/>
  <c r="F409" i="58"/>
  <c r="P409" i="58" s="1"/>
  <c r="E409" i="58"/>
  <c r="O409" i="58" s="1"/>
  <c r="D409" i="58"/>
  <c r="V409" i="58" s="1"/>
  <c r="AJ408" i="58"/>
  <c r="AI408" i="58"/>
  <c r="AH408" i="58"/>
  <c r="AG408" i="58"/>
  <c r="AF408" i="58"/>
  <c r="AE408" i="58"/>
  <c r="AD408" i="58"/>
  <c r="AJ407" i="58"/>
  <c r="AI407" i="58"/>
  <c r="AH407" i="58"/>
  <c r="AG407" i="58"/>
  <c r="AF407" i="58"/>
  <c r="AE407" i="58"/>
  <c r="AD407" i="58"/>
  <c r="AJ406" i="58"/>
  <c r="AI406" i="58"/>
  <c r="AH406" i="58"/>
  <c r="AG406" i="58"/>
  <c r="AF406" i="58"/>
  <c r="AE406" i="58"/>
  <c r="AD406" i="58"/>
  <c r="AJ362" i="62"/>
  <c r="AI362" i="62"/>
  <c r="AH362" i="62"/>
  <c r="AG362" i="62"/>
  <c r="AF362" i="62"/>
  <c r="AE362" i="62"/>
  <c r="AD362" i="62"/>
  <c r="AJ361" i="62"/>
  <c r="AI361" i="62"/>
  <c r="AH361" i="62"/>
  <c r="AG361" i="62"/>
  <c r="AF361" i="62"/>
  <c r="AE361" i="62"/>
  <c r="AD361" i="62"/>
  <c r="J361" i="62"/>
  <c r="T361" i="62" s="1"/>
  <c r="I361" i="62"/>
  <c r="AA361" i="62" s="1"/>
  <c r="H361" i="62"/>
  <c r="Z361" i="62" s="1"/>
  <c r="G361" i="62"/>
  <c r="Q361" i="62" s="1"/>
  <c r="F361" i="62"/>
  <c r="P361" i="62" s="1"/>
  <c r="E361" i="62"/>
  <c r="W361" i="62" s="1"/>
  <c r="D361" i="62"/>
  <c r="V361" i="62" s="1"/>
  <c r="AJ360" i="62"/>
  <c r="AI360" i="62"/>
  <c r="AH360" i="62"/>
  <c r="AG360" i="62"/>
  <c r="AF360" i="62"/>
  <c r="AE360" i="62"/>
  <c r="AD360" i="62"/>
  <c r="AJ359" i="62"/>
  <c r="AI359" i="62"/>
  <c r="AH359" i="62"/>
  <c r="AG359" i="62"/>
  <c r="AF359" i="62"/>
  <c r="AE359" i="62"/>
  <c r="AD359" i="62"/>
  <c r="AJ358" i="62"/>
  <c r="AI358" i="62"/>
  <c r="AH358" i="62"/>
  <c r="AG358" i="62"/>
  <c r="AF358" i="62"/>
  <c r="AE358" i="62"/>
  <c r="AD358" i="62"/>
  <c r="AJ361" i="61"/>
  <c r="AI361" i="61"/>
  <c r="AH361" i="61"/>
  <c r="AG361" i="61"/>
  <c r="AF361" i="61"/>
  <c r="AE361" i="61"/>
  <c r="AD361" i="61"/>
  <c r="AJ360" i="61"/>
  <c r="AI360" i="61"/>
  <c r="AH360" i="61"/>
  <c r="AG360" i="61"/>
  <c r="AF360" i="61"/>
  <c r="AE360" i="61"/>
  <c r="AD360" i="61"/>
  <c r="J360" i="61"/>
  <c r="AB360" i="61" s="1"/>
  <c r="I360" i="61"/>
  <c r="S360" i="61" s="1"/>
  <c r="H360" i="61"/>
  <c r="Z360" i="61" s="1"/>
  <c r="G360" i="61"/>
  <c r="Q360" i="61" s="1"/>
  <c r="F360" i="61"/>
  <c r="X360" i="61" s="1"/>
  <c r="E360" i="61"/>
  <c r="O360" i="61" s="1"/>
  <c r="D360" i="61"/>
  <c r="V360" i="61" s="1"/>
  <c r="AJ359" i="61"/>
  <c r="AI359" i="61"/>
  <c r="AH359" i="61"/>
  <c r="AG359" i="61"/>
  <c r="AF359" i="61"/>
  <c r="AE359" i="61"/>
  <c r="AD359" i="61"/>
  <c r="AJ358" i="61"/>
  <c r="AI358" i="61"/>
  <c r="AH358" i="61"/>
  <c r="AG358" i="61"/>
  <c r="AF358" i="61"/>
  <c r="AE358" i="61"/>
  <c r="AD358" i="61"/>
  <c r="AJ357" i="61"/>
  <c r="AI357" i="61"/>
  <c r="AH357" i="61"/>
  <c r="AG357" i="61"/>
  <c r="AF357" i="61"/>
  <c r="AE357" i="61"/>
  <c r="AD357" i="61"/>
  <c r="AJ140" i="60"/>
  <c r="AI140" i="60"/>
  <c r="AH140" i="60"/>
  <c r="AG140" i="60"/>
  <c r="AF140" i="60"/>
  <c r="AE140" i="60"/>
  <c r="AD140" i="60"/>
  <c r="AJ139" i="60"/>
  <c r="AI139" i="60"/>
  <c r="AH139" i="60"/>
  <c r="AG139" i="60"/>
  <c r="AF139" i="60"/>
  <c r="AE139" i="60"/>
  <c r="AD139" i="60"/>
  <c r="J139" i="60"/>
  <c r="T139" i="60" s="1"/>
  <c r="I139" i="60"/>
  <c r="S139" i="60" s="1"/>
  <c r="H139" i="60"/>
  <c r="Z139" i="60" s="1"/>
  <c r="G139" i="60"/>
  <c r="Q139" i="60" s="1"/>
  <c r="F139" i="60"/>
  <c r="P139" i="60" s="1"/>
  <c r="E139" i="60"/>
  <c r="D139" i="60"/>
  <c r="V139" i="60" s="1"/>
  <c r="AJ138" i="60"/>
  <c r="AI138" i="60"/>
  <c r="AH138" i="60"/>
  <c r="AG138" i="60"/>
  <c r="AF138" i="60"/>
  <c r="AE138" i="60"/>
  <c r="AD138" i="60"/>
  <c r="AJ137" i="60"/>
  <c r="AI137" i="60"/>
  <c r="AH137" i="60"/>
  <c r="AG137" i="60"/>
  <c r="AF137" i="60"/>
  <c r="AE137" i="60"/>
  <c r="AD137" i="60"/>
  <c r="AJ136" i="60"/>
  <c r="AI136" i="60"/>
  <c r="AH136" i="60"/>
  <c r="AG136" i="60"/>
  <c r="AF136" i="60"/>
  <c r="AE136" i="60"/>
  <c r="AD136" i="60"/>
  <c r="AJ362" i="59"/>
  <c r="AI362" i="59"/>
  <c r="AH362" i="59"/>
  <c r="AG362" i="59"/>
  <c r="AF362" i="59"/>
  <c r="AE362" i="59"/>
  <c r="AD362" i="59"/>
  <c r="AJ361" i="59"/>
  <c r="AI361" i="59"/>
  <c r="AH361" i="59"/>
  <c r="AG361" i="59"/>
  <c r="AF361" i="59"/>
  <c r="AE361" i="59"/>
  <c r="AD361" i="59"/>
  <c r="J361" i="59"/>
  <c r="T361" i="59" s="1"/>
  <c r="I361" i="59"/>
  <c r="S361" i="59" s="1"/>
  <c r="H361" i="59"/>
  <c r="R361" i="59" s="1"/>
  <c r="G361" i="59"/>
  <c r="Y361" i="59" s="1"/>
  <c r="F361" i="59"/>
  <c r="P361" i="59" s="1"/>
  <c r="E361" i="59"/>
  <c r="O361" i="59" s="1"/>
  <c r="D361" i="59"/>
  <c r="AJ360" i="59"/>
  <c r="AI360" i="59"/>
  <c r="AH360" i="59"/>
  <c r="AG360" i="59"/>
  <c r="AF360" i="59"/>
  <c r="AE360" i="59"/>
  <c r="AD360" i="59"/>
  <c r="AJ359" i="59"/>
  <c r="AI359" i="59"/>
  <c r="AH359" i="59"/>
  <c r="AG359" i="59"/>
  <c r="AF359" i="59"/>
  <c r="AE359" i="59"/>
  <c r="AD359" i="59"/>
  <c r="AJ358" i="59"/>
  <c r="AI358" i="59"/>
  <c r="AH358" i="59"/>
  <c r="AG358" i="59"/>
  <c r="AF358" i="59"/>
  <c r="AE358" i="59"/>
  <c r="AD358" i="59"/>
  <c r="AJ362" i="58"/>
  <c r="AI362" i="58"/>
  <c r="AH362" i="58"/>
  <c r="AG362" i="58"/>
  <c r="AF362" i="58"/>
  <c r="AE362" i="58"/>
  <c r="AD362" i="58"/>
  <c r="AJ361" i="58"/>
  <c r="AI361" i="58"/>
  <c r="AH361" i="58"/>
  <c r="AG361" i="58"/>
  <c r="AF361" i="58"/>
  <c r="AE361" i="58"/>
  <c r="AD361" i="58"/>
  <c r="W361" i="58"/>
  <c r="O361" i="58"/>
  <c r="J361" i="58"/>
  <c r="T361" i="58" s="1"/>
  <c r="I361" i="58"/>
  <c r="AA361" i="58" s="1"/>
  <c r="H361" i="58"/>
  <c r="G361" i="58"/>
  <c r="Y361" i="58" s="1"/>
  <c r="F361" i="58"/>
  <c r="P361" i="58" s="1"/>
  <c r="D361" i="58"/>
  <c r="AJ360" i="58"/>
  <c r="AI360" i="58"/>
  <c r="AH360" i="58"/>
  <c r="AG360" i="58"/>
  <c r="AF360" i="58"/>
  <c r="AE360" i="58"/>
  <c r="AD360" i="58"/>
  <c r="AJ359" i="58"/>
  <c r="AI359" i="58"/>
  <c r="AH359" i="58"/>
  <c r="AG359" i="58"/>
  <c r="AF359" i="58"/>
  <c r="AE359" i="58"/>
  <c r="AD359" i="58"/>
  <c r="AJ358" i="58"/>
  <c r="AI358" i="58"/>
  <c r="AH358" i="58"/>
  <c r="AG358" i="58"/>
  <c r="AF358" i="58"/>
  <c r="AE358" i="58"/>
  <c r="AD358" i="58"/>
  <c r="R403" i="59" l="1"/>
  <c r="N403" i="62"/>
  <c r="L409" i="62"/>
  <c r="T360" i="61"/>
  <c r="S402" i="61"/>
  <c r="Q361" i="58"/>
  <c r="L361" i="58"/>
  <c r="O361" i="62"/>
  <c r="S361" i="62"/>
  <c r="Q409" i="62"/>
  <c r="X408" i="61"/>
  <c r="K139" i="60"/>
  <c r="N181" i="60"/>
  <c r="W409" i="58"/>
  <c r="N361" i="62"/>
  <c r="R403" i="62"/>
  <c r="K409" i="62"/>
  <c r="R361" i="62"/>
  <c r="K360" i="61"/>
  <c r="P360" i="61"/>
  <c r="O402" i="61"/>
  <c r="O408" i="61"/>
  <c r="R139" i="60"/>
  <c r="R181" i="60"/>
  <c r="X187" i="60"/>
  <c r="N139" i="60"/>
  <c r="O187" i="60"/>
  <c r="Q361" i="59"/>
  <c r="K361" i="59"/>
  <c r="T403" i="59"/>
  <c r="N403" i="59"/>
  <c r="N409" i="59"/>
  <c r="W409" i="59"/>
  <c r="P403" i="59"/>
  <c r="X409" i="59"/>
  <c r="K361" i="58"/>
  <c r="S361" i="58"/>
  <c r="AA409" i="58"/>
  <c r="N415" i="58"/>
  <c r="AA415" i="58"/>
  <c r="V361" i="58"/>
  <c r="Y409" i="58"/>
  <c r="Z409" i="62"/>
  <c r="N409" i="62"/>
  <c r="W409" i="62"/>
  <c r="AA409" i="62"/>
  <c r="V409" i="62"/>
  <c r="X409" i="62"/>
  <c r="AB409" i="62"/>
  <c r="N408" i="61"/>
  <c r="AB408" i="61"/>
  <c r="K408" i="61"/>
  <c r="Y408" i="61"/>
  <c r="L408" i="61"/>
  <c r="N187" i="60"/>
  <c r="AB187" i="60"/>
  <c r="K187" i="60"/>
  <c r="Y187" i="60"/>
  <c r="L187" i="60"/>
  <c r="AB409" i="59"/>
  <c r="K409" i="59"/>
  <c r="Y409" i="59"/>
  <c r="L409" i="59"/>
  <c r="X415" i="58"/>
  <c r="K415" i="58"/>
  <c r="Y415" i="58"/>
  <c r="R415" i="58"/>
  <c r="L415" i="58"/>
  <c r="AA403" i="62"/>
  <c r="O403" i="62"/>
  <c r="X403" i="62"/>
  <c r="AB403" i="62"/>
  <c r="K403" i="62"/>
  <c r="Y403" i="62"/>
  <c r="L403" i="62"/>
  <c r="X402" i="61"/>
  <c r="AB402" i="61"/>
  <c r="N402" i="61"/>
  <c r="R402" i="61"/>
  <c r="K402" i="61"/>
  <c r="Y402" i="61"/>
  <c r="L402" i="61"/>
  <c r="W181" i="60"/>
  <c r="AA181" i="60"/>
  <c r="X181" i="60"/>
  <c r="AB181" i="60"/>
  <c r="K181" i="60"/>
  <c r="Y181" i="60"/>
  <c r="L181" i="60"/>
  <c r="W403" i="59"/>
  <c r="AA403" i="59"/>
  <c r="K403" i="59"/>
  <c r="Y403" i="59"/>
  <c r="L403" i="59"/>
  <c r="N409" i="58"/>
  <c r="R409" i="58"/>
  <c r="X409" i="58"/>
  <c r="K409" i="58"/>
  <c r="L409" i="58"/>
  <c r="X361" i="62"/>
  <c r="AB361" i="62"/>
  <c r="K361" i="62"/>
  <c r="Y361" i="62"/>
  <c r="L361" i="62"/>
  <c r="N360" i="61"/>
  <c r="R360" i="61"/>
  <c r="W360" i="61"/>
  <c r="AA360" i="61"/>
  <c r="Y360" i="61"/>
  <c r="L360" i="61"/>
  <c r="W139" i="60"/>
  <c r="AA139" i="60"/>
  <c r="O139" i="60"/>
  <c r="X139" i="60"/>
  <c r="AB139" i="60"/>
  <c r="Y139" i="60"/>
  <c r="L139" i="60"/>
  <c r="L361" i="59"/>
  <c r="V361" i="59"/>
  <c r="Z361" i="59"/>
  <c r="N361" i="59"/>
  <c r="W361" i="59"/>
  <c r="AA361" i="59"/>
  <c r="X361" i="59"/>
  <c r="AB361" i="59"/>
  <c r="Z361" i="58"/>
  <c r="N361" i="58"/>
  <c r="R361" i="58"/>
  <c r="X361" i="58"/>
  <c r="AB361" i="58"/>
  <c r="AJ404" i="58"/>
  <c r="AI404" i="58"/>
  <c r="AH404" i="58"/>
  <c r="AG404" i="58"/>
  <c r="AF404" i="58"/>
  <c r="AE404" i="58"/>
  <c r="AD404" i="58"/>
  <c r="AJ403" i="58"/>
  <c r="AI403" i="58"/>
  <c r="AH403" i="58"/>
  <c r="AG403" i="58"/>
  <c r="AF403" i="58"/>
  <c r="AE403" i="58"/>
  <c r="AD403" i="58"/>
  <c r="AB403" i="58"/>
  <c r="T403" i="58"/>
  <c r="I403" i="58"/>
  <c r="S403" i="58" s="1"/>
  <c r="H403" i="58"/>
  <c r="Z403" i="58" s="1"/>
  <c r="G403" i="58"/>
  <c r="Q403" i="58" s="1"/>
  <c r="F403" i="58"/>
  <c r="P403" i="58" s="1"/>
  <c r="E403" i="58"/>
  <c r="O403" i="58" s="1"/>
  <c r="D403" i="58"/>
  <c r="V403" i="58" s="1"/>
  <c r="AJ402" i="58"/>
  <c r="AI402" i="58"/>
  <c r="AH402" i="58"/>
  <c r="AG402" i="58"/>
  <c r="AF402" i="58"/>
  <c r="AE402" i="58"/>
  <c r="AD402" i="58"/>
  <c r="AJ401" i="58"/>
  <c r="AI401" i="58"/>
  <c r="AH401" i="58"/>
  <c r="AG401" i="58"/>
  <c r="AF401" i="58"/>
  <c r="AE401" i="58"/>
  <c r="AD401" i="58"/>
  <c r="AJ400" i="58"/>
  <c r="AI400" i="58"/>
  <c r="AH400" i="58"/>
  <c r="AG400" i="58"/>
  <c r="AF400" i="58"/>
  <c r="AE400" i="58"/>
  <c r="AD400" i="58"/>
  <c r="W403" i="58" l="1"/>
  <c r="AA403" i="58"/>
  <c r="R403" i="58"/>
  <c r="X403" i="58"/>
  <c r="K403" i="58"/>
  <c r="Y403" i="58"/>
  <c r="N403" i="58"/>
  <c r="L403" i="58"/>
  <c r="AJ284" i="58" l="1"/>
  <c r="AI284" i="58"/>
  <c r="AH284" i="58"/>
  <c r="AG284" i="58"/>
  <c r="AF284" i="58"/>
  <c r="AE284" i="58"/>
  <c r="AD284" i="58"/>
  <c r="AJ283" i="58"/>
  <c r="AI283" i="58"/>
  <c r="AH283" i="58"/>
  <c r="AG283" i="58"/>
  <c r="AF283" i="58"/>
  <c r="AE283" i="58"/>
  <c r="AD283" i="58"/>
  <c r="AB283" i="58"/>
  <c r="W283" i="58"/>
  <c r="T283" i="58"/>
  <c r="O283" i="58"/>
  <c r="I283" i="58"/>
  <c r="S283" i="58" s="1"/>
  <c r="H283" i="58"/>
  <c r="Z283" i="58" s="1"/>
  <c r="G283" i="58"/>
  <c r="Q283" i="58" s="1"/>
  <c r="F283" i="58"/>
  <c r="P283" i="58" s="1"/>
  <c r="D283" i="58"/>
  <c r="V283" i="58" s="1"/>
  <c r="AJ282" i="58"/>
  <c r="AI282" i="58"/>
  <c r="AH282" i="58"/>
  <c r="AG282" i="58"/>
  <c r="AF282" i="58"/>
  <c r="AE282" i="58"/>
  <c r="AD282" i="58"/>
  <c r="AJ281" i="58"/>
  <c r="AI281" i="58"/>
  <c r="AH281" i="58"/>
  <c r="AG281" i="58"/>
  <c r="AF281" i="58"/>
  <c r="AE281" i="58"/>
  <c r="AD281" i="58"/>
  <c r="AJ280" i="58"/>
  <c r="AI280" i="58"/>
  <c r="AH280" i="58"/>
  <c r="AG280" i="58"/>
  <c r="AF280" i="58"/>
  <c r="AE280" i="58"/>
  <c r="AD280" i="58"/>
  <c r="AJ284" i="61"/>
  <c r="AI284" i="61"/>
  <c r="AH284" i="61"/>
  <c r="AG284" i="61"/>
  <c r="AF284" i="61"/>
  <c r="AE284" i="61"/>
  <c r="AD284" i="61"/>
  <c r="AJ283" i="61"/>
  <c r="AI283" i="61"/>
  <c r="AH283" i="61"/>
  <c r="AG283" i="61"/>
  <c r="AF283" i="61"/>
  <c r="AE283" i="61"/>
  <c r="AD283" i="61"/>
  <c r="T283" i="61"/>
  <c r="I283" i="61"/>
  <c r="AA283" i="61" s="1"/>
  <c r="H283" i="61"/>
  <c r="Z283" i="61" s="1"/>
  <c r="G283" i="61"/>
  <c r="Q283" i="61" s="1"/>
  <c r="F283" i="61"/>
  <c r="P283" i="61" s="1"/>
  <c r="E283" i="61"/>
  <c r="W283" i="61" s="1"/>
  <c r="D283" i="61"/>
  <c r="V283" i="61" s="1"/>
  <c r="AJ282" i="61"/>
  <c r="AI282" i="61"/>
  <c r="AH282" i="61"/>
  <c r="AG282" i="61"/>
  <c r="AF282" i="61"/>
  <c r="AE282" i="61"/>
  <c r="AD282" i="61"/>
  <c r="AJ281" i="61"/>
  <c r="AI281" i="61"/>
  <c r="AH281" i="61"/>
  <c r="AG281" i="61"/>
  <c r="AF281" i="61"/>
  <c r="AE281" i="61"/>
  <c r="AD281" i="61"/>
  <c r="AJ280" i="61"/>
  <c r="AI280" i="61"/>
  <c r="AH280" i="61"/>
  <c r="AG280" i="61"/>
  <c r="AF280" i="61"/>
  <c r="AE280" i="61"/>
  <c r="AD280" i="61"/>
  <c r="AJ62" i="60"/>
  <c r="AI62" i="60"/>
  <c r="AH62" i="60"/>
  <c r="AG62" i="60"/>
  <c r="AF62" i="60"/>
  <c r="AE62" i="60"/>
  <c r="AD62" i="60"/>
  <c r="AJ61" i="60"/>
  <c r="AI61" i="60"/>
  <c r="AH61" i="60"/>
  <c r="AG61" i="60"/>
  <c r="AF61" i="60"/>
  <c r="AE61" i="60"/>
  <c r="AD61" i="60"/>
  <c r="J61" i="60"/>
  <c r="T61" i="60" s="1"/>
  <c r="I61" i="60"/>
  <c r="AA61" i="60" s="1"/>
  <c r="H61" i="60"/>
  <c r="Z61" i="60" s="1"/>
  <c r="G61" i="60"/>
  <c r="Q61" i="60" s="1"/>
  <c r="F61" i="60"/>
  <c r="P61" i="60" s="1"/>
  <c r="E61" i="60"/>
  <c r="O61" i="60" s="1"/>
  <c r="D61" i="60"/>
  <c r="V61" i="60" s="1"/>
  <c r="AJ60" i="60"/>
  <c r="AI60" i="60"/>
  <c r="AH60" i="60"/>
  <c r="AG60" i="60"/>
  <c r="AF60" i="60"/>
  <c r="AE60" i="60"/>
  <c r="AD60" i="60"/>
  <c r="AJ59" i="60"/>
  <c r="AI59" i="60"/>
  <c r="AH59" i="60"/>
  <c r="AG59" i="60"/>
  <c r="AF59" i="60"/>
  <c r="AE59" i="60"/>
  <c r="AD59" i="60"/>
  <c r="AJ58" i="60"/>
  <c r="AI58" i="60"/>
  <c r="AH58" i="60"/>
  <c r="AG58" i="60"/>
  <c r="AF58" i="60"/>
  <c r="AE58" i="60"/>
  <c r="AD58" i="60"/>
  <c r="AJ284" i="59"/>
  <c r="AI284" i="59"/>
  <c r="AH284" i="59"/>
  <c r="AG284" i="59"/>
  <c r="AF284" i="59"/>
  <c r="AE284" i="59"/>
  <c r="AD284" i="59"/>
  <c r="AJ283" i="59"/>
  <c r="AI283" i="59"/>
  <c r="AH283" i="59"/>
  <c r="AG283" i="59"/>
  <c r="AF283" i="59"/>
  <c r="AE283" i="59"/>
  <c r="AD283" i="59"/>
  <c r="J283" i="59"/>
  <c r="T283" i="59" s="1"/>
  <c r="I283" i="59"/>
  <c r="S283" i="59" s="1"/>
  <c r="H283" i="59"/>
  <c r="R283" i="59" s="1"/>
  <c r="G283" i="59"/>
  <c r="Y283" i="59" s="1"/>
  <c r="F283" i="59"/>
  <c r="P283" i="59" s="1"/>
  <c r="E283" i="59"/>
  <c r="O283" i="59" s="1"/>
  <c r="AJ282" i="59"/>
  <c r="AI282" i="59"/>
  <c r="AH282" i="59"/>
  <c r="AG282" i="59"/>
  <c r="AF282" i="59"/>
  <c r="AE282" i="59"/>
  <c r="AD282" i="59"/>
  <c r="AJ281" i="59"/>
  <c r="AI281" i="59"/>
  <c r="AH281" i="59"/>
  <c r="AG281" i="59"/>
  <c r="AF281" i="59"/>
  <c r="AE281" i="59"/>
  <c r="AD281" i="59"/>
  <c r="AJ280" i="59"/>
  <c r="AI280" i="59"/>
  <c r="AH280" i="59"/>
  <c r="AG280" i="59"/>
  <c r="AF280" i="59"/>
  <c r="AE280" i="59"/>
  <c r="AD280" i="59"/>
  <c r="AJ284" i="62"/>
  <c r="AI284" i="62"/>
  <c r="AH284" i="62"/>
  <c r="AG284" i="62"/>
  <c r="AF284" i="62"/>
  <c r="AE284" i="62"/>
  <c r="AD284" i="62"/>
  <c r="AJ283" i="62"/>
  <c r="AI283" i="62"/>
  <c r="AH283" i="62"/>
  <c r="AG283" i="62"/>
  <c r="AF283" i="62"/>
  <c r="AE283" i="62"/>
  <c r="AD283" i="62"/>
  <c r="J283" i="62"/>
  <c r="T283" i="62" s="1"/>
  <c r="I283" i="62"/>
  <c r="AA283" i="62" s="1"/>
  <c r="H283" i="62"/>
  <c r="Z283" i="62" s="1"/>
  <c r="G283" i="62"/>
  <c r="Q283" i="62" s="1"/>
  <c r="F283" i="62"/>
  <c r="P283" i="62" s="1"/>
  <c r="E283" i="62"/>
  <c r="W283" i="62" s="1"/>
  <c r="D283" i="62"/>
  <c r="V283" i="62" s="1"/>
  <c r="AJ282" i="62"/>
  <c r="AI282" i="62"/>
  <c r="AH282" i="62"/>
  <c r="AG282" i="62"/>
  <c r="AF282" i="62"/>
  <c r="AE282" i="62"/>
  <c r="AD282" i="62"/>
  <c r="AJ281" i="62"/>
  <c r="AI281" i="62"/>
  <c r="AH281" i="62"/>
  <c r="AG281" i="62"/>
  <c r="AF281" i="62"/>
  <c r="AE281" i="62"/>
  <c r="AD281" i="62"/>
  <c r="AJ280" i="62"/>
  <c r="AI280" i="62"/>
  <c r="AH280" i="62"/>
  <c r="AG280" i="62"/>
  <c r="AF280" i="62"/>
  <c r="AE280" i="62"/>
  <c r="AD280" i="62"/>
  <c r="N283" i="62" l="1"/>
  <c r="R283" i="62"/>
  <c r="N283" i="61"/>
  <c r="N283" i="58"/>
  <c r="R283" i="61"/>
  <c r="K283" i="59"/>
  <c r="R61" i="60"/>
  <c r="N61" i="60"/>
  <c r="Q283" i="59"/>
  <c r="X283" i="58"/>
  <c r="AA283" i="58"/>
  <c r="R283" i="58"/>
  <c r="K283" i="58"/>
  <c r="Y283" i="58"/>
  <c r="L283" i="58"/>
  <c r="O283" i="61"/>
  <c r="S283" i="61"/>
  <c r="X283" i="61"/>
  <c r="AB283" i="61"/>
  <c r="K283" i="61"/>
  <c r="Y283" i="61"/>
  <c r="L283" i="61"/>
  <c r="W61" i="60"/>
  <c r="S61" i="60"/>
  <c r="X61" i="60"/>
  <c r="AB61" i="60"/>
  <c r="K61" i="60"/>
  <c r="Y61" i="60"/>
  <c r="L61" i="60"/>
  <c r="L283" i="59"/>
  <c r="V283" i="59"/>
  <c r="Z283" i="59"/>
  <c r="N283" i="59"/>
  <c r="W283" i="59"/>
  <c r="AA283" i="59"/>
  <c r="X283" i="59"/>
  <c r="AB283" i="59"/>
  <c r="O283" i="62"/>
  <c r="S283" i="62"/>
  <c r="X283" i="62"/>
  <c r="AB283" i="62"/>
  <c r="K283" i="62"/>
  <c r="Y283" i="62"/>
  <c r="L283" i="62"/>
  <c r="D6" i="65" l="1"/>
  <c r="D12" i="65"/>
  <c r="D18" i="65"/>
  <c r="E24" i="65"/>
  <c r="F24" i="65"/>
  <c r="D30" i="65"/>
  <c r="D36" i="65"/>
  <c r="E36" i="65"/>
  <c r="D42" i="65"/>
  <c r="D48" i="65"/>
  <c r="D54" i="65"/>
  <c r="D60" i="65"/>
  <c r="D66" i="65"/>
  <c r="D72" i="65"/>
  <c r="D78" i="65"/>
  <c r="D84" i="65"/>
  <c r="D90" i="65"/>
  <c r="D96" i="65"/>
  <c r="D102" i="65"/>
  <c r="D108" i="65"/>
  <c r="D114" i="65"/>
  <c r="D120" i="65"/>
  <c r="D126" i="65"/>
  <c r="D132" i="65"/>
  <c r="D138" i="65"/>
  <c r="D144" i="65"/>
  <c r="D150" i="65"/>
  <c r="D156" i="65"/>
  <c r="D162" i="65"/>
  <c r="D168" i="65"/>
  <c r="D174" i="65"/>
  <c r="D180" i="65"/>
  <c r="D186" i="65"/>
  <c r="D198" i="65"/>
  <c r="D204" i="65"/>
  <c r="D210" i="65"/>
  <c r="D216" i="65"/>
  <c r="D222" i="65"/>
  <c r="D228" i="65"/>
  <c r="D234" i="65"/>
  <c r="D240" i="65"/>
  <c r="E240" i="65" s="1"/>
  <c r="D246" i="65"/>
  <c r="D252" i="65"/>
  <c r="D258" i="65"/>
  <c r="D264" i="65"/>
  <c r="D270" i="65"/>
  <c r="D276" i="65"/>
  <c r="D281" i="65"/>
  <c r="D282" i="65"/>
  <c r="G505" i="65" s="1"/>
  <c r="E282" i="65"/>
  <c r="E90" i="65" l="1"/>
  <c r="E66" i="65"/>
  <c r="F192" i="65"/>
  <c r="E216" i="65"/>
  <c r="E78" i="65"/>
  <c r="E228" i="65"/>
  <c r="E222" i="65"/>
  <c r="F132" i="65"/>
  <c r="E132" i="65"/>
  <c r="E12" i="65"/>
  <c r="G504" i="65"/>
  <c r="F270" i="65"/>
  <c r="E186" i="65"/>
  <c r="E18" i="65"/>
  <c r="E156" i="65"/>
  <c r="E258" i="65"/>
  <c r="E198" i="65"/>
  <c r="E174" i="65"/>
  <c r="E168" i="65"/>
  <c r="F156" i="65"/>
  <c r="F108" i="65"/>
  <c r="E276" i="65"/>
  <c r="E270" i="65"/>
  <c r="F240" i="65"/>
  <c r="E234" i="65"/>
  <c r="F222" i="65"/>
  <c r="E192" i="65"/>
  <c r="E150" i="65"/>
  <c r="E144" i="65"/>
  <c r="E138" i="65"/>
  <c r="E126" i="65"/>
  <c r="E120" i="65"/>
  <c r="F90" i="65"/>
  <c r="E84" i="65"/>
  <c r="F72" i="65"/>
  <c r="F36" i="65"/>
  <c r="E30" i="65"/>
  <c r="E6" i="65"/>
  <c r="F144" i="65"/>
  <c r="F138" i="65"/>
  <c r="F120" i="65"/>
  <c r="E72" i="65"/>
  <c r="F264" i="65"/>
  <c r="F246" i="65"/>
  <c r="E204" i="65"/>
  <c r="E162" i="65"/>
  <c r="F114" i="65"/>
  <c r="F96" i="65"/>
  <c r="E54" i="65"/>
  <c r="F42" i="65"/>
  <c r="F12" i="65"/>
  <c r="E264" i="65"/>
  <c r="E252" i="65"/>
  <c r="E246" i="65"/>
  <c r="F216" i="65"/>
  <c r="F210" i="65"/>
  <c r="E210" i="65"/>
  <c r="F198" i="65"/>
  <c r="F186" i="65"/>
  <c r="F180" i="65"/>
  <c r="E180" i="65"/>
  <c r="F168" i="65"/>
  <c r="F162" i="65"/>
  <c r="E114" i="65"/>
  <c r="E102" i="65"/>
  <c r="E96" i="65"/>
  <c r="F66" i="65"/>
  <c r="F60" i="65"/>
  <c r="E60" i="65"/>
  <c r="E48" i="65"/>
  <c r="E42" i="65"/>
  <c r="F18" i="65"/>
  <c r="F258" i="65"/>
  <c r="F234" i="65"/>
  <c r="F84" i="65"/>
  <c r="F30" i="65"/>
  <c r="F276" i="65"/>
  <c r="F252" i="65"/>
  <c r="F228" i="65"/>
  <c r="F204" i="65"/>
  <c r="F174" i="65"/>
  <c r="F150" i="65"/>
  <c r="F126" i="65"/>
  <c r="E108" i="65"/>
  <c r="F102" i="65"/>
  <c r="F78" i="65"/>
  <c r="F54" i="65"/>
  <c r="F6" i="65"/>
  <c r="F48" i="65"/>
  <c r="F281" i="65" l="1"/>
  <c r="AJ398" i="62" l="1"/>
  <c r="AI398" i="62"/>
  <c r="AH398" i="62"/>
  <c r="AG398" i="62"/>
  <c r="AF398" i="62"/>
  <c r="AE398" i="62"/>
  <c r="AD398" i="62"/>
  <c r="AJ397" i="62"/>
  <c r="AI397" i="62"/>
  <c r="AH397" i="62"/>
  <c r="AG397" i="62"/>
  <c r="AF397" i="62"/>
  <c r="AE397" i="62"/>
  <c r="AD397" i="62"/>
  <c r="J397" i="62"/>
  <c r="T397" i="62" s="1"/>
  <c r="I397" i="62"/>
  <c r="AA397" i="62" s="1"/>
  <c r="H397" i="62"/>
  <c r="Z397" i="62" s="1"/>
  <c r="G397" i="62"/>
  <c r="Q397" i="62" s="1"/>
  <c r="F397" i="62"/>
  <c r="P397" i="62" s="1"/>
  <c r="E397" i="62"/>
  <c r="O397" i="62" s="1"/>
  <c r="D397" i="62"/>
  <c r="V397" i="62" s="1"/>
  <c r="AJ396" i="62"/>
  <c r="AI396" i="62"/>
  <c r="AH396" i="62"/>
  <c r="AG396" i="62"/>
  <c r="AF396" i="62"/>
  <c r="AE396" i="62"/>
  <c r="AD396" i="62"/>
  <c r="AJ395" i="62"/>
  <c r="AI395" i="62"/>
  <c r="AH395" i="62"/>
  <c r="AG395" i="62"/>
  <c r="AF395" i="62"/>
  <c r="AE395" i="62"/>
  <c r="AD395" i="62"/>
  <c r="AJ394" i="62"/>
  <c r="AI394" i="62"/>
  <c r="AH394" i="62"/>
  <c r="AG394" i="62"/>
  <c r="AF394" i="62"/>
  <c r="AE394" i="62"/>
  <c r="AD394" i="62"/>
  <c r="AJ397" i="61"/>
  <c r="AI397" i="61"/>
  <c r="AH397" i="61"/>
  <c r="AG397" i="61"/>
  <c r="AF397" i="61"/>
  <c r="AE397" i="61"/>
  <c r="AD397" i="61"/>
  <c r="AJ396" i="61"/>
  <c r="AI396" i="61"/>
  <c r="AH396" i="61"/>
  <c r="AG396" i="61"/>
  <c r="AF396" i="61"/>
  <c r="AE396" i="61"/>
  <c r="AD396" i="61"/>
  <c r="J396" i="61"/>
  <c r="T396" i="61" s="1"/>
  <c r="I396" i="61"/>
  <c r="AA396" i="61" s="1"/>
  <c r="H396" i="61"/>
  <c r="Z396" i="61" s="1"/>
  <c r="G396" i="61"/>
  <c r="Y396" i="61" s="1"/>
  <c r="F396" i="61"/>
  <c r="P396" i="61" s="1"/>
  <c r="E396" i="61"/>
  <c r="O396" i="61" s="1"/>
  <c r="D396" i="61"/>
  <c r="V396" i="61" s="1"/>
  <c r="AJ395" i="61"/>
  <c r="AI395" i="61"/>
  <c r="AH395" i="61"/>
  <c r="AG395" i="61"/>
  <c r="AF395" i="61"/>
  <c r="AE395" i="61"/>
  <c r="AD395" i="61"/>
  <c r="AJ394" i="61"/>
  <c r="AI394" i="61"/>
  <c r="AH394" i="61"/>
  <c r="AG394" i="61"/>
  <c r="AF394" i="61"/>
  <c r="AE394" i="61"/>
  <c r="AD394" i="61"/>
  <c r="AJ393" i="61"/>
  <c r="AI393" i="61"/>
  <c r="AH393" i="61"/>
  <c r="AG393" i="61"/>
  <c r="AF393" i="61"/>
  <c r="AE393" i="61"/>
  <c r="AD393" i="61"/>
  <c r="AJ176" i="60"/>
  <c r="AI176" i="60"/>
  <c r="AH176" i="60"/>
  <c r="AG176" i="60"/>
  <c r="AF176" i="60"/>
  <c r="AE176" i="60"/>
  <c r="AD176" i="60"/>
  <c r="AJ175" i="60"/>
  <c r="AI175" i="60"/>
  <c r="AH175" i="60"/>
  <c r="AG175" i="60"/>
  <c r="AF175" i="60"/>
  <c r="AE175" i="60"/>
  <c r="AD175" i="60"/>
  <c r="J175" i="60"/>
  <c r="AB175" i="60" s="1"/>
  <c r="I175" i="60"/>
  <c r="H175" i="60"/>
  <c r="Z175" i="60" s="1"/>
  <c r="G175" i="60"/>
  <c r="Q175" i="60" s="1"/>
  <c r="F175" i="60"/>
  <c r="X175" i="60" s="1"/>
  <c r="E175" i="60"/>
  <c r="O175" i="60" s="1"/>
  <c r="D175" i="60"/>
  <c r="N175" i="60" s="1"/>
  <c r="AJ174" i="60"/>
  <c r="AI174" i="60"/>
  <c r="AH174" i="60"/>
  <c r="AG174" i="60"/>
  <c r="AF174" i="60"/>
  <c r="AE174" i="60"/>
  <c r="AD174" i="60"/>
  <c r="AJ173" i="60"/>
  <c r="AI173" i="60"/>
  <c r="AH173" i="60"/>
  <c r="AG173" i="60"/>
  <c r="AF173" i="60"/>
  <c r="AE173" i="60"/>
  <c r="AD173" i="60"/>
  <c r="AJ172" i="60"/>
  <c r="AI172" i="60"/>
  <c r="AH172" i="60"/>
  <c r="AG172" i="60"/>
  <c r="AF172" i="60"/>
  <c r="AE172" i="60"/>
  <c r="AD172" i="60"/>
  <c r="AJ398" i="59"/>
  <c r="AI398" i="59"/>
  <c r="AH398" i="59"/>
  <c r="AG398" i="59"/>
  <c r="AF398" i="59"/>
  <c r="AE398" i="59"/>
  <c r="AD398" i="59"/>
  <c r="AJ397" i="59"/>
  <c r="AI397" i="59"/>
  <c r="AH397" i="59"/>
  <c r="AG397" i="59"/>
  <c r="AF397" i="59"/>
  <c r="AE397" i="59"/>
  <c r="AD397" i="59"/>
  <c r="J397" i="59"/>
  <c r="T397" i="59" s="1"/>
  <c r="I397" i="59"/>
  <c r="S397" i="59" s="1"/>
  <c r="H397" i="59"/>
  <c r="Z397" i="59" s="1"/>
  <c r="G397" i="59"/>
  <c r="Q397" i="59" s="1"/>
  <c r="F397" i="59"/>
  <c r="P397" i="59" s="1"/>
  <c r="E397" i="59"/>
  <c r="W397" i="59" s="1"/>
  <c r="D397" i="59"/>
  <c r="N397" i="59" s="1"/>
  <c r="AJ396" i="59"/>
  <c r="AI396" i="59"/>
  <c r="AH396" i="59"/>
  <c r="AG396" i="59"/>
  <c r="AF396" i="59"/>
  <c r="AE396" i="59"/>
  <c r="AD396" i="59"/>
  <c r="AJ395" i="59"/>
  <c r="AI395" i="59"/>
  <c r="AH395" i="59"/>
  <c r="AG395" i="59"/>
  <c r="AF395" i="59"/>
  <c r="AE395" i="59"/>
  <c r="AD395" i="59"/>
  <c r="AJ394" i="59"/>
  <c r="AI394" i="59"/>
  <c r="AH394" i="59"/>
  <c r="AG394" i="59"/>
  <c r="AF394" i="59"/>
  <c r="AE394" i="59"/>
  <c r="AD394" i="59"/>
  <c r="AJ398" i="58"/>
  <c r="AI398" i="58"/>
  <c r="AH398" i="58"/>
  <c r="AG398" i="58"/>
  <c r="AF398" i="58"/>
  <c r="AE398" i="58"/>
  <c r="AD398" i="58"/>
  <c r="AJ397" i="58"/>
  <c r="AI397" i="58"/>
  <c r="AH397" i="58"/>
  <c r="AG397" i="58"/>
  <c r="AF397" i="58"/>
  <c r="AE397" i="58"/>
  <c r="AD397" i="58"/>
  <c r="J397" i="58"/>
  <c r="T397" i="58" s="1"/>
  <c r="I397" i="58"/>
  <c r="AA397" i="58" s="1"/>
  <c r="H397" i="58"/>
  <c r="Z397" i="58" s="1"/>
  <c r="G397" i="58"/>
  <c r="Q397" i="58" s="1"/>
  <c r="F397" i="58"/>
  <c r="P397" i="58" s="1"/>
  <c r="E397" i="58"/>
  <c r="W397" i="58" s="1"/>
  <c r="D397" i="58"/>
  <c r="V397" i="58" s="1"/>
  <c r="AJ396" i="58"/>
  <c r="AI396" i="58"/>
  <c r="AH396" i="58"/>
  <c r="AG396" i="58"/>
  <c r="AF396" i="58"/>
  <c r="AE396" i="58"/>
  <c r="AD396" i="58"/>
  <c r="AJ395" i="58"/>
  <c r="AI395" i="58"/>
  <c r="AH395" i="58"/>
  <c r="AG395" i="58"/>
  <c r="AF395" i="58"/>
  <c r="AE395" i="58"/>
  <c r="AD395" i="58"/>
  <c r="AJ394" i="58"/>
  <c r="AI394" i="58"/>
  <c r="AH394" i="58"/>
  <c r="AG394" i="58"/>
  <c r="AF394" i="58"/>
  <c r="AE394" i="58"/>
  <c r="AD394" i="58"/>
  <c r="AJ332" i="62"/>
  <c r="AI332" i="62"/>
  <c r="AH332" i="62"/>
  <c r="AG332" i="62"/>
  <c r="AF332" i="62"/>
  <c r="AE332" i="62"/>
  <c r="AD332" i="62"/>
  <c r="AJ331" i="62"/>
  <c r="AI331" i="62"/>
  <c r="AH331" i="62"/>
  <c r="AG331" i="62"/>
  <c r="AF331" i="62"/>
  <c r="AE331" i="62"/>
  <c r="AD331" i="62"/>
  <c r="J331" i="62"/>
  <c r="T331" i="62" s="1"/>
  <c r="I331" i="62"/>
  <c r="AA331" i="62" s="1"/>
  <c r="H331" i="62"/>
  <c r="Z331" i="62" s="1"/>
  <c r="G331" i="62"/>
  <c r="Q331" i="62" s="1"/>
  <c r="F331" i="62"/>
  <c r="P331" i="62" s="1"/>
  <c r="E331" i="62"/>
  <c r="W331" i="62" s="1"/>
  <c r="D331" i="62"/>
  <c r="V331" i="62" s="1"/>
  <c r="AJ330" i="62"/>
  <c r="AI330" i="62"/>
  <c r="AH330" i="62"/>
  <c r="AG330" i="62"/>
  <c r="AF330" i="62"/>
  <c r="AE330" i="62"/>
  <c r="AD330" i="62"/>
  <c r="AJ329" i="62"/>
  <c r="AI329" i="62"/>
  <c r="AH329" i="62"/>
  <c r="AG329" i="62"/>
  <c r="AF329" i="62"/>
  <c r="AE329" i="62"/>
  <c r="AD329" i="62"/>
  <c r="AJ328" i="62"/>
  <c r="AI328" i="62"/>
  <c r="AH328" i="62"/>
  <c r="AG328" i="62"/>
  <c r="AF328" i="62"/>
  <c r="AE328" i="62"/>
  <c r="AD328" i="62"/>
  <c r="AJ331" i="61"/>
  <c r="AI331" i="61"/>
  <c r="AH331" i="61"/>
  <c r="AG331" i="61"/>
  <c r="AF331" i="61"/>
  <c r="AE331" i="61"/>
  <c r="AD331" i="61"/>
  <c r="AJ330" i="61"/>
  <c r="AI330" i="61"/>
  <c r="AH330" i="61"/>
  <c r="AG330" i="61"/>
  <c r="AF330" i="61"/>
  <c r="AE330" i="61"/>
  <c r="AD330" i="61"/>
  <c r="J330" i="61"/>
  <c r="T330" i="61" s="1"/>
  <c r="I330" i="61"/>
  <c r="AA330" i="61" s="1"/>
  <c r="H330" i="61"/>
  <c r="Z330" i="61" s="1"/>
  <c r="G330" i="61"/>
  <c r="Q330" i="61" s="1"/>
  <c r="F330" i="61"/>
  <c r="P330" i="61" s="1"/>
  <c r="E330" i="61"/>
  <c r="W330" i="61" s="1"/>
  <c r="D330" i="61"/>
  <c r="V330" i="61" s="1"/>
  <c r="AJ329" i="61"/>
  <c r="AI329" i="61"/>
  <c r="AH329" i="61"/>
  <c r="AG329" i="61"/>
  <c r="AF329" i="61"/>
  <c r="AE329" i="61"/>
  <c r="AD329" i="61"/>
  <c r="AJ328" i="61"/>
  <c r="AI328" i="61"/>
  <c r="AH328" i="61"/>
  <c r="AG328" i="61"/>
  <c r="AF328" i="61"/>
  <c r="AE328" i="61"/>
  <c r="AD328" i="61"/>
  <c r="AJ327" i="61"/>
  <c r="AI327" i="61"/>
  <c r="AH327" i="61"/>
  <c r="AG327" i="61"/>
  <c r="AF327" i="61"/>
  <c r="AE327" i="61"/>
  <c r="AD327" i="61"/>
  <c r="AJ110" i="60"/>
  <c r="AI110" i="60"/>
  <c r="AH110" i="60"/>
  <c r="AG110" i="60"/>
  <c r="AF110" i="60"/>
  <c r="AE110" i="60"/>
  <c r="AD110" i="60"/>
  <c r="AJ109" i="60"/>
  <c r="AI109" i="60"/>
  <c r="AH109" i="60"/>
  <c r="AG109" i="60"/>
  <c r="AF109" i="60"/>
  <c r="AE109" i="60"/>
  <c r="AD109" i="60"/>
  <c r="J109" i="60"/>
  <c r="T109" i="60" s="1"/>
  <c r="I109" i="60"/>
  <c r="AA109" i="60" s="1"/>
  <c r="H109" i="60"/>
  <c r="Z109" i="60" s="1"/>
  <c r="G109" i="60"/>
  <c r="Q109" i="60" s="1"/>
  <c r="P109" i="60"/>
  <c r="E109" i="60"/>
  <c r="D109" i="60"/>
  <c r="V109" i="60" s="1"/>
  <c r="AJ108" i="60"/>
  <c r="AI108" i="60"/>
  <c r="AH108" i="60"/>
  <c r="AG108" i="60"/>
  <c r="AF108" i="60"/>
  <c r="AE108" i="60"/>
  <c r="AD108" i="60"/>
  <c r="AJ107" i="60"/>
  <c r="AI107" i="60"/>
  <c r="AH107" i="60"/>
  <c r="AG107" i="60"/>
  <c r="AF107" i="60"/>
  <c r="AE107" i="60"/>
  <c r="AD107" i="60"/>
  <c r="AJ106" i="60"/>
  <c r="AI106" i="60"/>
  <c r="AH106" i="60"/>
  <c r="AG106" i="60"/>
  <c r="AF106" i="60"/>
  <c r="AE106" i="60"/>
  <c r="AD106" i="60"/>
  <c r="AJ332" i="59"/>
  <c r="AI332" i="59"/>
  <c r="AH332" i="59"/>
  <c r="AG332" i="59"/>
  <c r="AF332" i="59"/>
  <c r="AE332" i="59"/>
  <c r="AD332" i="59"/>
  <c r="AJ331" i="59"/>
  <c r="AI331" i="59"/>
  <c r="AH331" i="59"/>
  <c r="AG331" i="59"/>
  <c r="AF331" i="59"/>
  <c r="AE331" i="59"/>
  <c r="AD331" i="59"/>
  <c r="J331" i="59"/>
  <c r="AB331" i="59" s="1"/>
  <c r="I331" i="59"/>
  <c r="S331" i="59" s="1"/>
  <c r="R331" i="59"/>
  <c r="G331" i="59"/>
  <c r="Q331" i="59" s="1"/>
  <c r="F331" i="59"/>
  <c r="X331" i="59" s="1"/>
  <c r="E331" i="59"/>
  <c r="O331" i="59" s="1"/>
  <c r="D331" i="59"/>
  <c r="N331" i="59" s="1"/>
  <c r="AJ330" i="59"/>
  <c r="AI330" i="59"/>
  <c r="AH330" i="59"/>
  <c r="AG330" i="59"/>
  <c r="AF330" i="59"/>
  <c r="AE330" i="59"/>
  <c r="AD330" i="59"/>
  <c r="AJ329" i="59"/>
  <c r="AI329" i="59"/>
  <c r="AH329" i="59"/>
  <c r="AG329" i="59"/>
  <c r="AF329" i="59"/>
  <c r="AE329" i="59"/>
  <c r="AD329" i="59"/>
  <c r="AJ328" i="59"/>
  <c r="AI328" i="59"/>
  <c r="AH328" i="59"/>
  <c r="AG328" i="59"/>
  <c r="AF328" i="59"/>
  <c r="AE328" i="59"/>
  <c r="AD328" i="59"/>
  <c r="AJ332" i="58"/>
  <c r="AI332" i="58"/>
  <c r="AH332" i="58"/>
  <c r="AG332" i="58"/>
  <c r="AF332" i="58"/>
  <c r="AE332" i="58"/>
  <c r="AD332" i="58"/>
  <c r="AJ331" i="58"/>
  <c r="AI331" i="58"/>
  <c r="AH331" i="58"/>
  <c r="AG331" i="58"/>
  <c r="AF331" i="58"/>
  <c r="AE331" i="58"/>
  <c r="AD331" i="58"/>
  <c r="AB331" i="58"/>
  <c r="T331" i="58"/>
  <c r="I331" i="58"/>
  <c r="S331" i="58" s="1"/>
  <c r="H331" i="58"/>
  <c r="Z331" i="58" s="1"/>
  <c r="G331" i="58"/>
  <c r="Q331" i="58" s="1"/>
  <c r="F331" i="58"/>
  <c r="P331" i="58" s="1"/>
  <c r="E331" i="58"/>
  <c r="O331" i="58" s="1"/>
  <c r="D331" i="58"/>
  <c r="V331" i="58" s="1"/>
  <c r="AJ330" i="58"/>
  <c r="AI330" i="58"/>
  <c r="AH330" i="58"/>
  <c r="AG330" i="58"/>
  <c r="AF330" i="58"/>
  <c r="AE330" i="58"/>
  <c r="AD330" i="58"/>
  <c r="AJ329" i="58"/>
  <c r="AI329" i="58"/>
  <c r="AH329" i="58"/>
  <c r="AG329" i="58"/>
  <c r="AF329" i="58"/>
  <c r="AE329" i="58"/>
  <c r="AD329" i="58"/>
  <c r="AJ328" i="58"/>
  <c r="AI328" i="58"/>
  <c r="AH328" i="58"/>
  <c r="AG328" i="58"/>
  <c r="AF328" i="58"/>
  <c r="AE328" i="58"/>
  <c r="AD328" i="58"/>
  <c r="AB397" i="58" l="1"/>
  <c r="N397" i="62"/>
  <c r="O397" i="59"/>
  <c r="R397" i="58"/>
  <c r="R397" i="62"/>
  <c r="W397" i="62"/>
  <c r="Q396" i="61"/>
  <c r="R396" i="61"/>
  <c r="K175" i="60"/>
  <c r="P175" i="60"/>
  <c r="R175" i="60"/>
  <c r="AB397" i="59"/>
  <c r="R397" i="59"/>
  <c r="N397" i="58"/>
  <c r="S397" i="62"/>
  <c r="AB397" i="62"/>
  <c r="K397" i="62"/>
  <c r="L397" i="62"/>
  <c r="X397" i="62"/>
  <c r="Y397" i="62"/>
  <c r="S396" i="61"/>
  <c r="AB396" i="61"/>
  <c r="K396" i="61"/>
  <c r="L396" i="61"/>
  <c r="N396" i="61"/>
  <c r="W396" i="61"/>
  <c r="X396" i="61"/>
  <c r="AA175" i="60"/>
  <c r="T175" i="60"/>
  <c r="L175" i="60"/>
  <c r="V175" i="60"/>
  <c r="W175" i="60"/>
  <c r="S175" i="60"/>
  <c r="Y175" i="60"/>
  <c r="K397" i="59"/>
  <c r="L397" i="59"/>
  <c r="V397" i="59"/>
  <c r="AA397" i="59"/>
  <c r="X397" i="59"/>
  <c r="Y397" i="59"/>
  <c r="K397" i="58"/>
  <c r="L397" i="58"/>
  <c r="S397" i="58"/>
  <c r="O397" i="58"/>
  <c r="X397" i="58"/>
  <c r="Y397" i="58"/>
  <c r="P331" i="59"/>
  <c r="O330" i="61"/>
  <c r="R109" i="60"/>
  <c r="K109" i="60"/>
  <c r="AA331" i="58"/>
  <c r="N109" i="60"/>
  <c r="N331" i="62"/>
  <c r="R331" i="62"/>
  <c r="T331" i="59"/>
  <c r="S330" i="61"/>
  <c r="X331" i="58"/>
  <c r="W331" i="58"/>
  <c r="O331" i="62"/>
  <c r="S331" i="62"/>
  <c r="X331" i="62"/>
  <c r="AB331" i="62"/>
  <c r="K331" i="62"/>
  <c r="Y331" i="62"/>
  <c r="L331" i="62"/>
  <c r="X330" i="61"/>
  <c r="AB330" i="61"/>
  <c r="N330" i="61"/>
  <c r="R330" i="61"/>
  <c r="K330" i="61"/>
  <c r="Y330" i="61"/>
  <c r="L330" i="61"/>
  <c r="O109" i="60"/>
  <c r="S109" i="60"/>
  <c r="X109" i="60"/>
  <c r="AB109" i="60"/>
  <c r="W109" i="60"/>
  <c r="Y109" i="60"/>
  <c r="L109" i="60"/>
  <c r="K331" i="59"/>
  <c r="Y331" i="59"/>
  <c r="L331" i="59"/>
  <c r="V331" i="59"/>
  <c r="Z331" i="59"/>
  <c r="W331" i="59"/>
  <c r="AA331" i="59"/>
  <c r="K331" i="58"/>
  <c r="Y331" i="58"/>
  <c r="N331" i="58"/>
  <c r="R331" i="58"/>
  <c r="L331" i="58"/>
  <c r="AJ326" i="62"/>
  <c r="AI326" i="62"/>
  <c r="AH326" i="62"/>
  <c r="AG326" i="62"/>
  <c r="AF326" i="62"/>
  <c r="AE326" i="62"/>
  <c r="AD326" i="62"/>
  <c r="AJ325" i="62"/>
  <c r="AI325" i="62"/>
  <c r="AH325" i="62"/>
  <c r="AG325" i="62"/>
  <c r="AF325" i="62"/>
  <c r="AE325" i="62"/>
  <c r="AD325" i="62"/>
  <c r="J325" i="62"/>
  <c r="AB325" i="62" s="1"/>
  <c r="I325" i="62"/>
  <c r="AA325" i="62" s="1"/>
  <c r="H325" i="62"/>
  <c r="Z325" i="62" s="1"/>
  <c r="G325" i="62"/>
  <c r="Q325" i="62" s="1"/>
  <c r="F325" i="62"/>
  <c r="X325" i="62" s="1"/>
  <c r="E325" i="62"/>
  <c r="O325" i="62" s="1"/>
  <c r="D325" i="62"/>
  <c r="V325" i="62" s="1"/>
  <c r="AJ324" i="62"/>
  <c r="AI324" i="62"/>
  <c r="AH324" i="62"/>
  <c r="AG324" i="62"/>
  <c r="AF324" i="62"/>
  <c r="AE324" i="62"/>
  <c r="AD324" i="62"/>
  <c r="AJ323" i="62"/>
  <c r="AI323" i="62"/>
  <c r="AH323" i="62"/>
  <c r="AG323" i="62"/>
  <c r="AF323" i="62"/>
  <c r="AE323" i="62"/>
  <c r="AD323" i="62"/>
  <c r="AJ322" i="62"/>
  <c r="AI322" i="62"/>
  <c r="AH322" i="62"/>
  <c r="AG322" i="62"/>
  <c r="AF322" i="62"/>
  <c r="AE322" i="62"/>
  <c r="AD322" i="62"/>
  <c r="AJ325" i="61"/>
  <c r="AI325" i="61"/>
  <c r="AH325" i="61"/>
  <c r="AG325" i="61"/>
  <c r="AF325" i="61"/>
  <c r="AE325" i="61"/>
  <c r="AD325" i="61"/>
  <c r="AJ324" i="61"/>
  <c r="AI324" i="61"/>
  <c r="AH324" i="61"/>
  <c r="AG324" i="61"/>
  <c r="AF324" i="61"/>
  <c r="AE324" i="61"/>
  <c r="AD324" i="61"/>
  <c r="J324" i="61"/>
  <c r="T324" i="61" s="1"/>
  <c r="I324" i="61"/>
  <c r="S324" i="61" s="1"/>
  <c r="H324" i="61"/>
  <c r="Z324" i="61" s="1"/>
  <c r="G324" i="61"/>
  <c r="Q324" i="61" s="1"/>
  <c r="F324" i="61"/>
  <c r="P324" i="61" s="1"/>
  <c r="E324" i="61"/>
  <c r="D324" i="61"/>
  <c r="V324" i="61" s="1"/>
  <c r="AJ323" i="61"/>
  <c r="AI323" i="61"/>
  <c r="AH323" i="61"/>
  <c r="AG323" i="61"/>
  <c r="AF323" i="61"/>
  <c r="AE323" i="61"/>
  <c r="AD323" i="61"/>
  <c r="AJ322" i="61"/>
  <c r="AI322" i="61"/>
  <c r="AH322" i="61"/>
  <c r="AG322" i="61"/>
  <c r="AF322" i="61"/>
  <c r="AE322" i="61"/>
  <c r="AD322" i="61"/>
  <c r="AJ321" i="61"/>
  <c r="AI321" i="61"/>
  <c r="AH321" i="61"/>
  <c r="AG321" i="61"/>
  <c r="AF321" i="61"/>
  <c r="AE321" i="61"/>
  <c r="AD321" i="61"/>
  <c r="AJ104" i="60"/>
  <c r="AI104" i="60"/>
  <c r="AH104" i="60"/>
  <c r="AG104" i="60"/>
  <c r="AF104" i="60"/>
  <c r="AE104" i="60"/>
  <c r="AD104" i="60"/>
  <c r="AJ103" i="60"/>
  <c r="AI103" i="60"/>
  <c r="AH103" i="60"/>
  <c r="AG103" i="60"/>
  <c r="AF103" i="60"/>
  <c r="AE103" i="60"/>
  <c r="AD103" i="60"/>
  <c r="J103" i="60"/>
  <c r="AB103" i="60" s="1"/>
  <c r="I103" i="60"/>
  <c r="S103" i="60" s="1"/>
  <c r="H103" i="60"/>
  <c r="R103" i="60" s="1"/>
  <c r="G103" i="60"/>
  <c r="Q103" i="60" s="1"/>
  <c r="F103" i="60"/>
  <c r="X103" i="60" s="1"/>
  <c r="E103" i="60"/>
  <c r="O103" i="60" s="1"/>
  <c r="D103" i="60"/>
  <c r="N103" i="60" s="1"/>
  <c r="AJ102" i="60"/>
  <c r="AI102" i="60"/>
  <c r="AH102" i="60"/>
  <c r="AG102" i="60"/>
  <c r="AF102" i="60"/>
  <c r="AE102" i="60"/>
  <c r="AD102" i="60"/>
  <c r="AJ101" i="60"/>
  <c r="AI101" i="60"/>
  <c r="AH101" i="60"/>
  <c r="AG101" i="60"/>
  <c r="AF101" i="60"/>
  <c r="AE101" i="60"/>
  <c r="AD101" i="60"/>
  <c r="AJ100" i="60"/>
  <c r="AI100" i="60"/>
  <c r="AH100" i="60"/>
  <c r="AG100" i="60"/>
  <c r="AF100" i="60"/>
  <c r="AE100" i="60"/>
  <c r="AD100" i="60"/>
  <c r="AJ326" i="59"/>
  <c r="AI326" i="59"/>
  <c r="AH326" i="59"/>
  <c r="AG326" i="59"/>
  <c r="AF326" i="59"/>
  <c r="AE326" i="59"/>
  <c r="AD326" i="59"/>
  <c r="AJ325" i="59"/>
  <c r="AI325" i="59"/>
  <c r="AH325" i="59"/>
  <c r="AG325" i="59"/>
  <c r="AF325" i="59"/>
  <c r="AE325" i="59"/>
  <c r="AD325" i="59"/>
  <c r="J325" i="59"/>
  <c r="T325" i="59" s="1"/>
  <c r="S325" i="59"/>
  <c r="R325" i="59"/>
  <c r="G325" i="59"/>
  <c r="Y325" i="59" s="1"/>
  <c r="F325" i="59"/>
  <c r="P325" i="59" s="1"/>
  <c r="E325" i="59"/>
  <c r="O325" i="59" s="1"/>
  <c r="D325" i="59"/>
  <c r="AJ324" i="59"/>
  <c r="AI324" i="59"/>
  <c r="AH324" i="59"/>
  <c r="AG324" i="59"/>
  <c r="AF324" i="59"/>
  <c r="AE324" i="59"/>
  <c r="AD324" i="59"/>
  <c r="AJ323" i="59"/>
  <c r="AI323" i="59"/>
  <c r="AH323" i="59"/>
  <c r="AG323" i="59"/>
  <c r="AF323" i="59"/>
  <c r="AE323" i="59"/>
  <c r="AD323" i="59"/>
  <c r="AJ322" i="59"/>
  <c r="AI322" i="59"/>
  <c r="AH322" i="59"/>
  <c r="AG322" i="59"/>
  <c r="AF322" i="59"/>
  <c r="AE322" i="59"/>
  <c r="AD322" i="59"/>
  <c r="AJ326" i="58"/>
  <c r="AI326" i="58"/>
  <c r="AH326" i="58"/>
  <c r="AG326" i="58"/>
  <c r="AF326" i="58"/>
  <c r="AE326" i="58"/>
  <c r="AD326" i="58"/>
  <c r="AJ325" i="58"/>
  <c r="AI325" i="58"/>
  <c r="AH325" i="58"/>
  <c r="AG325" i="58"/>
  <c r="AF325" i="58"/>
  <c r="AE325" i="58"/>
  <c r="AD325" i="58"/>
  <c r="AB325" i="58"/>
  <c r="T325" i="58"/>
  <c r="I325" i="58"/>
  <c r="S325" i="58" s="1"/>
  <c r="H325" i="58"/>
  <c r="R325" i="58" s="1"/>
  <c r="G325" i="58"/>
  <c r="Y325" i="58" s="1"/>
  <c r="F325" i="58"/>
  <c r="P325" i="58" s="1"/>
  <c r="E325" i="58"/>
  <c r="O325" i="58" s="1"/>
  <c r="D325" i="58"/>
  <c r="V325" i="58" s="1"/>
  <c r="AJ324" i="58"/>
  <c r="AI324" i="58"/>
  <c r="AH324" i="58"/>
  <c r="AG324" i="58"/>
  <c r="AF324" i="58"/>
  <c r="AE324" i="58"/>
  <c r="AD324" i="58"/>
  <c r="AJ323" i="58"/>
  <c r="AI323" i="58"/>
  <c r="AH323" i="58"/>
  <c r="AG323" i="58"/>
  <c r="AF323" i="58"/>
  <c r="AE323" i="58"/>
  <c r="AD323" i="58"/>
  <c r="AJ322" i="58"/>
  <c r="AI322" i="58"/>
  <c r="AH322" i="58"/>
  <c r="AG322" i="58"/>
  <c r="AF322" i="58"/>
  <c r="AE322" i="58"/>
  <c r="AD322" i="58"/>
  <c r="AJ320" i="62"/>
  <c r="AI320" i="62"/>
  <c r="AH320" i="62"/>
  <c r="AG320" i="62"/>
  <c r="AF320" i="62"/>
  <c r="AE320" i="62"/>
  <c r="AD320" i="62"/>
  <c r="AJ319" i="62"/>
  <c r="AI319" i="62"/>
  <c r="AH319" i="62"/>
  <c r="AG319" i="62"/>
  <c r="AF319" i="62"/>
  <c r="AE319" i="62"/>
  <c r="AD319" i="62"/>
  <c r="J319" i="62"/>
  <c r="T319" i="62" s="1"/>
  <c r="I319" i="62"/>
  <c r="AA319" i="62" s="1"/>
  <c r="H319" i="62"/>
  <c r="R319" i="62" s="1"/>
  <c r="G319" i="62"/>
  <c r="Q319" i="62" s="1"/>
  <c r="F319" i="62"/>
  <c r="P319" i="62" s="1"/>
  <c r="E319" i="62"/>
  <c r="W319" i="62" s="1"/>
  <c r="D319" i="62"/>
  <c r="N319" i="62" s="1"/>
  <c r="AJ318" i="62"/>
  <c r="AI318" i="62"/>
  <c r="AH318" i="62"/>
  <c r="AG318" i="62"/>
  <c r="AF318" i="62"/>
  <c r="AE318" i="62"/>
  <c r="AD318" i="62"/>
  <c r="AJ317" i="62"/>
  <c r="AI317" i="62"/>
  <c r="AH317" i="62"/>
  <c r="AG317" i="62"/>
  <c r="AF317" i="62"/>
  <c r="AE317" i="62"/>
  <c r="AD317" i="62"/>
  <c r="AJ316" i="62"/>
  <c r="AI316" i="62"/>
  <c r="AH316" i="62"/>
  <c r="AG316" i="62"/>
  <c r="AF316" i="62"/>
  <c r="AE316" i="62"/>
  <c r="AD316" i="62"/>
  <c r="AJ319" i="61"/>
  <c r="AI319" i="61"/>
  <c r="AH319" i="61"/>
  <c r="AG319" i="61"/>
  <c r="AF319" i="61"/>
  <c r="AE319" i="61"/>
  <c r="AD319" i="61"/>
  <c r="AJ318" i="61"/>
  <c r="AI318" i="61"/>
  <c r="AH318" i="61"/>
  <c r="AG318" i="61"/>
  <c r="AF318" i="61"/>
  <c r="AE318" i="61"/>
  <c r="AD318" i="61"/>
  <c r="J318" i="61"/>
  <c r="AB318" i="61" s="1"/>
  <c r="I318" i="61"/>
  <c r="S318" i="61" s="1"/>
  <c r="H318" i="61"/>
  <c r="R318" i="61" s="1"/>
  <c r="G318" i="61"/>
  <c r="Q318" i="61" s="1"/>
  <c r="F318" i="61"/>
  <c r="X318" i="61" s="1"/>
  <c r="E318" i="61"/>
  <c r="O318" i="61" s="1"/>
  <c r="D318" i="61"/>
  <c r="N318" i="61" s="1"/>
  <c r="AJ317" i="61"/>
  <c r="AI317" i="61"/>
  <c r="AH317" i="61"/>
  <c r="AG317" i="61"/>
  <c r="AF317" i="61"/>
  <c r="AE317" i="61"/>
  <c r="AD317" i="61"/>
  <c r="AJ316" i="61"/>
  <c r="AI316" i="61"/>
  <c r="AH316" i="61"/>
  <c r="AG316" i="61"/>
  <c r="AF316" i="61"/>
  <c r="AE316" i="61"/>
  <c r="AD316" i="61"/>
  <c r="AJ315" i="61"/>
  <c r="AI315" i="61"/>
  <c r="AH315" i="61"/>
  <c r="AG315" i="61"/>
  <c r="AF315" i="61"/>
  <c r="AE315" i="61"/>
  <c r="AD315" i="61"/>
  <c r="AJ98" i="60"/>
  <c r="AI98" i="60"/>
  <c r="AH98" i="60"/>
  <c r="AG98" i="60"/>
  <c r="AF98" i="60"/>
  <c r="AE98" i="60"/>
  <c r="AD98" i="60"/>
  <c r="AJ97" i="60"/>
  <c r="AI97" i="60"/>
  <c r="AH97" i="60"/>
  <c r="AG97" i="60"/>
  <c r="AF97" i="60"/>
  <c r="AE97" i="60"/>
  <c r="AD97" i="60"/>
  <c r="J97" i="60"/>
  <c r="AB97" i="60" s="1"/>
  <c r="I97" i="60"/>
  <c r="S97" i="60" s="1"/>
  <c r="H97" i="60"/>
  <c r="Z97" i="60" s="1"/>
  <c r="G97" i="60"/>
  <c r="Q97" i="60" s="1"/>
  <c r="F97" i="60"/>
  <c r="X97" i="60" s="1"/>
  <c r="E97" i="60"/>
  <c r="O97" i="60" s="1"/>
  <c r="D97" i="60"/>
  <c r="N97" i="60" s="1"/>
  <c r="AJ96" i="60"/>
  <c r="AI96" i="60"/>
  <c r="AH96" i="60"/>
  <c r="AG96" i="60"/>
  <c r="AF96" i="60"/>
  <c r="AE96" i="60"/>
  <c r="AD96" i="60"/>
  <c r="AJ95" i="60"/>
  <c r="AI95" i="60"/>
  <c r="AH95" i="60"/>
  <c r="AG95" i="60"/>
  <c r="AF95" i="60"/>
  <c r="AE95" i="60"/>
  <c r="AD95" i="60"/>
  <c r="AJ94" i="60"/>
  <c r="AI94" i="60"/>
  <c r="AH94" i="60"/>
  <c r="AG94" i="60"/>
  <c r="AF94" i="60"/>
  <c r="AE94" i="60"/>
  <c r="AD94" i="60"/>
  <c r="AJ320" i="59"/>
  <c r="AI320" i="59"/>
  <c r="AH320" i="59"/>
  <c r="AG320" i="59"/>
  <c r="AF320" i="59"/>
  <c r="AE320" i="59"/>
  <c r="AD320" i="59"/>
  <c r="AJ319" i="59"/>
  <c r="AI319" i="59"/>
  <c r="AH319" i="59"/>
  <c r="AG319" i="59"/>
  <c r="AF319" i="59"/>
  <c r="AE319" i="59"/>
  <c r="AD319" i="59"/>
  <c r="J319" i="59"/>
  <c r="T319" i="59" s="1"/>
  <c r="S319" i="59"/>
  <c r="R319" i="59"/>
  <c r="G319" i="59"/>
  <c r="Y319" i="59" s="1"/>
  <c r="F319" i="59"/>
  <c r="P319" i="59" s="1"/>
  <c r="O319" i="59"/>
  <c r="AJ318" i="59"/>
  <c r="AI318" i="59"/>
  <c r="AH318" i="59"/>
  <c r="AG318" i="59"/>
  <c r="AF318" i="59"/>
  <c r="AE318" i="59"/>
  <c r="AD318" i="59"/>
  <c r="AJ317" i="59"/>
  <c r="AI317" i="59"/>
  <c r="AH317" i="59"/>
  <c r="AG317" i="59"/>
  <c r="AF317" i="59"/>
  <c r="AE317" i="59"/>
  <c r="AD317" i="59"/>
  <c r="AJ316" i="59"/>
  <c r="AI316" i="59"/>
  <c r="AH316" i="59"/>
  <c r="AG316" i="59"/>
  <c r="AF316" i="59"/>
  <c r="AE316" i="59"/>
  <c r="AD316" i="59"/>
  <c r="AJ320" i="58"/>
  <c r="AI320" i="58"/>
  <c r="AH320" i="58"/>
  <c r="AG320" i="58"/>
  <c r="AF320" i="58"/>
  <c r="AE320" i="58"/>
  <c r="AD320" i="58"/>
  <c r="AJ319" i="58"/>
  <c r="AI319" i="58"/>
  <c r="AH319" i="58"/>
  <c r="AG319" i="58"/>
  <c r="AF319" i="58"/>
  <c r="AE319" i="58"/>
  <c r="AD319" i="58"/>
  <c r="AB319" i="58"/>
  <c r="T319" i="58"/>
  <c r="I319" i="58"/>
  <c r="S319" i="58" s="1"/>
  <c r="H319" i="58"/>
  <c r="R319" i="58" s="1"/>
  <c r="G319" i="58"/>
  <c r="Y319" i="58" s="1"/>
  <c r="F319" i="58"/>
  <c r="P319" i="58" s="1"/>
  <c r="O319" i="58"/>
  <c r="D319" i="58"/>
  <c r="N319" i="58" s="1"/>
  <c r="AJ318" i="58"/>
  <c r="AI318" i="58"/>
  <c r="AH318" i="58"/>
  <c r="AG318" i="58"/>
  <c r="AF318" i="58"/>
  <c r="AE318" i="58"/>
  <c r="AD318" i="58"/>
  <c r="AJ317" i="58"/>
  <c r="AI317" i="58"/>
  <c r="AH317" i="58"/>
  <c r="AG317" i="58"/>
  <c r="AF317" i="58"/>
  <c r="AE317" i="58"/>
  <c r="AD317" i="58"/>
  <c r="AJ316" i="58"/>
  <c r="AI316" i="58"/>
  <c r="AH316" i="58"/>
  <c r="AG316" i="58"/>
  <c r="AF316" i="58"/>
  <c r="AE316" i="58"/>
  <c r="AD316" i="58"/>
  <c r="AJ392" i="62"/>
  <c r="AI392" i="62"/>
  <c r="AH392" i="62"/>
  <c r="AG392" i="62"/>
  <c r="AF392" i="62"/>
  <c r="AE392" i="62"/>
  <c r="AD392" i="62"/>
  <c r="AJ391" i="62"/>
  <c r="AI391" i="62"/>
  <c r="AH391" i="62"/>
  <c r="AG391" i="62"/>
  <c r="AF391" i="62"/>
  <c r="AE391" i="62"/>
  <c r="AD391" i="62"/>
  <c r="J391" i="62"/>
  <c r="T391" i="62" s="1"/>
  <c r="I391" i="62"/>
  <c r="S391" i="62" s="1"/>
  <c r="H391" i="62"/>
  <c r="R391" i="62" s="1"/>
  <c r="G391" i="62"/>
  <c r="Y391" i="62" s="1"/>
  <c r="F391" i="62"/>
  <c r="P391" i="62" s="1"/>
  <c r="E391" i="62"/>
  <c r="O391" i="62" s="1"/>
  <c r="D391" i="62"/>
  <c r="AJ390" i="62"/>
  <c r="AI390" i="62"/>
  <c r="AH390" i="62"/>
  <c r="AG390" i="62"/>
  <c r="AF390" i="62"/>
  <c r="AE390" i="62"/>
  <c r="AD390" i="62"/>
  <c r="AJ389" i="62"/>
  <c r="AI389" i="62"/>
  <c r="AH389" i="62"/>
  <c r="AG389" i="62"/>
  <c r="AF389" i="62"/>
  <c r="AE389" i="62"/>
  <c r="AD389" i="62"/>
  <c r="AJ388" i="62"/>
  <c r="AI388" i="62"/>
  <c r="AH388" i="62"/>
  <c r="AG388" i="62"/>
  <c r="AF388" i="62"/>
  <c r="AE388" i="62"/>
  <c r="AD388" i="62"/>
  <c r="AJ391" i="61"/>
  <c r="AI391" i="61"/>
  <c r="AH391" i="61"/>
  <c r="AG391" i="61"/>
  <c r="AF391" i="61"/>
  <c r="AE391" i="61"/>
  <c r="AD391" i="61"/>
  <c r="AJ390" i="61"/>
  <c r="AI390" i="61"/>
  <c r="AH390" i="61"/>
  <c r="AG390" i="61"/>
  <c r="AF390" i="61"/>
  <c r="AE390" i="61"/>
  <c r="AD390" i="61"/>
  <c r="J390" i="61"/>
  <c r="T390" i="61" s="1"/>
  <c r="I390" i="61"/>
  <c r="S390" i="61" s="1"/>
  <c r="H390" i="61"/>
  <c r="R390" i="61" s="1"/>
  <c r="G390" i="61"/>
  <c r="Y390" i="61" s="1"/>
  <c r="F390" i="61"/>
  <c r="P390" i="61" s="1"/>
  <c r="E390" i="61"/>
  <c r="O390" i="61" s="1"/>
  <c r="D390" i="61"/>
  <c r="AJ389" i="61"/>
  <c r="AI389" i="61"/>
  <c r="AH389" i="61"/>
  <c r="AG389" i="61"/>
  <c r="AF389" i="61"/>
  <c r="AE389" i="61"/>
  <c r="AD389" i="61"/>
  <c r="AJ388" i="61"/>
  <c r="AI388" i="61"/>
  <c r="AH388" i="61"/>
  <c r="AG388" i="61"/>
  <c r="AF388" i="61"/>
  <c r="AE388" i="61"/>
  <c r="AD388" i="61"/>
  <c r="AJ387" i="61"/>
  <c r="AI387" i="61"/>
  <c r="AH387" i="61"/>
  <c r="AG387" i="61"/>
  <c r="AF387" i="61"/>
  <c r="AE387" i="61"/>
  <c r="AD387" i="61"/>
  <c r="AJ170" i="60"/>
  <c r="AI170" i="60"/>
  <c r="AH170" i="60"/>
  <c r="AG170" i="60"/>
  <c r="AF170" i="60"/>
  <c r="AE170" i="60"/>
  <c r="AD170" i="60"/>
  <c r="AJ169" i="60"/>
  <c r="AI169" i="60"/>
  <c r="AH169" i="60"/>
  <c r="AG169" i="60"/>
  <c r="AF169" i="60"/>
  <c r="AE169" i="60"/>
  <c r="AD169" i="60"/>
  <c r="J169" i="60"/>
  <c r="T169" i="60" s="1"/>
  <c r="I169" i="60"/>
  <c r="S169" i="60" s="1"/>
  <c r="H169" i="60"/>
  <c r="R169" i="60" s="1"/>
  <c r="G169" i="60"/>
  <c r="Y169" i="60" s="1"/>
  <c r="P169" i="60"/>
  <c r="E169" i="60"/>
  <c r="O169" i="60" s="1"/>
  <c r="D169" i="60"/>
  <c r="AJ168" i="60"/>
  <c r="AI168" i="60"/>
  <c r="AH168" i="60"/>
  <c r="AG168" i="60"/>
  <c r="AF168" i="60"/>
  <c r="AE168" i="60"/>
  <c r="AD168" i="60"/>
  <c r="AJ167" i="60"/>
  <c r="AI167" i="60"/>
  <c r="AH167" i="60"/>
  <c r="AG167" i="60"/>
  <c r="AF167" i="60"/>
  <c r="AE167" i="60"/>
  <c r="AD167" i="60"/>
  <c r="AJ166" i="60"/>
  <c r="AI166" i="60"/>
  <c r="AH166" i="60"/>
  <c r="AG166" i="60"/>
  <c r="AF166" i="60"/>
  <c r="AE166" i="60"/>
  <c r="AD166" i="60"/>
  <c r="AJ392" i="59"/>
  <c r="AI392" i="59"/>
  <c r="AH392" i="59"/>
  <c r="AG392" i="59"/>
  <c r="AF392" i="59"/>
  <c r="AE392" i="59"/>
  <c r="AD392" i="59"/>
  <c r="AJ391" i="59"/>
  <c r="AI391" i="59"/>
  <c r="AH391" i="59"/>
  <c r="AG391" i="59"/>
  <c r="AF391" i="59"/>
  <c r="AE391" i="59"/>
  <c r="AD391" i="59"/>
  <c r="J391" i="59"/>
  <c r="T391" i="59" s="1"/>
  <c r="I391" i="59"/>
  <c r="S391" i="59" s="1"/>
  <c r="R391" i="59"/>
  <c r="G391" i="59"/>
  <c r="Y391" i="59" s="1"/>
  <c r="F391" i="59"/>
  <c r="P391" i="59" s="1"/>
  <c r="E391" i="59"/>
  <c r="O391" i="59" s="1"/>
  <c r="D391" i="59"/>
  <c r="AJ390" i="59"/>
  <c r="AI390" i="59"/>
  <c r="AH390" i="59"/>
  <c r="AG390" i="59"/>
  <c r="AF390" i="59"/>
  <c r="AE390" i="59"/>
  <c r="AD390" i="59"/>
  <c r="AJ389" i="59"/>
  <c r="AI389" i="59"/>
  <c r="AH389" i="59"/>
  <c r="AG389" i="59"/>
  <c r="AF389" i="59"/>
  <c r="AE389" i="59"/>
  <c r="AD389" i="59"/>
  <c r="AJ388" i="59"/>
  <c r="AI388" i="59"/>
  <c r="AH388" i="59"/>
  <c r="AG388" i="59"/>
  <c r="AF388" i="59"/>
  <c r="AE388" i="59"/>
  <c r="AD388" i="59"/>
  <c r="AJ392" i="58"/>
  <c r="AI392" i="58"/>
  <c r="AH392" i="58"/>
  <c r="AG392" i="58"/>
  <c r="AF392" i="58"/>
  <c r="AE392" i="58"/>
  <c r="AD392" i="58"/>
  <c r="AJ391" i="58"/>
  <c r="AI391" i="58"/>
  <c r="AH391" i="58"/>
  <c r="AG391" i="58"/>
  <c r="AF391" i="58"/>
  <c r="AE391" i="58"/>
  <c r="AD391" i="58"/>
  <c r="J391" i="58"/>
  <c r="T391" i="58" s="1"/>
  <c r="I391" i="58"/>
  <c r="S391" i="58" s="1"/>
  <c r="H391" i="58"/>
  <c r="Z391" i="58" s="1"/>
  <c r="G391" i="58"/>
  <c r="Q391" i="58" s="1"/>
  <c r="F391" i="58"/>
  <c r="P391" i="58" s="1"/>
  <c r="E391" i="58"/>
  <c r="D391" i="58"/>
  <c r="V391" i="58" s="1"/>
  <c r="AJ390" i="58"/>
  <c r="AI390" i="58"/>
  <c r="AH390" i="58"/>
  <c r="AG390" i="58"/>
  <c r="AF390" i="58"/>
  <c r="AE390" i="58"/>
  <c r="AD390" i="58"/>
  <c r="AJ389" i="58"/>
  <c r="AI389" i="58"/>
  <c r="AH389" i="58"/>
  <c r="AG389" i="58"/>
  <c r="AF389" i="58"/>
  <c r="AE389" i="58"/>
  <c r="AD389" i="58"/>
  <c r="AJ388" i="58"/>
  <c r="AI388" i="58"/>
  <c r="AH388" i="58"/>
  <c r="AG388" i="58"/>
  <c r="AF388" i="58"/>
  <c r="AE388" i="58"/>
  <c r="AD388" i="58"/>
  <c r="AJ314" i="62"/>
  <c r="AI314" i="62"/>
  <c r="AH314" i="62"/>
  <c r="AG314" i="62"/>
  <c r="AF314" i="62"/>
  <c r="AE314" i="62"/>
  <c r="AD314" i="62"/>
  <c r="AJ313" i="62"/>
  <c r="AI313" i="62"/>
  <c r="AH313" i="62"/>
  <c r="AG313" i="62"/>
  <c r="AF313" i="62"/>
  <c r="AE313" i="62"/>
  <c r="AD313" i="62"/>
  <c r="J313" i="62"/>
  <c r="T313" i="62" s="1"/>
  <c r="I313" i="62"/>
  <c r="S313" i="62" s="1"/>
  <c r="H313" i="62"/>
  <c r="Z313" i="62" s="1"/>
  <c r="G313" i="62"/>
  <c r="Q313" i="62" s="1"/>
  <c r="F313" i="62"/>
  <c r="P313" i="62" s="1"/>
  <c r="E313" i="62"/>
  <c r="W313" i="62" s="1"/>
  <c r="D313" i="62"/>
  <c r="V313" i="62" s="1"/>
  <c r="AJ312" i="62"/>
  <c r="AI312" i="62"/>
  <c r="AH312" i="62"/>
  <c r="AG312" i="62"/>
  <c r="AF312" i="62"/>
  <c r="AE312" i="62"/>
  <c r="AD312" i="62"/>
  <c r="AJ311" i="62"/>
  <c r="AI311" i="62"/>
  <c r="AH311" i="62"/>
  <c r="AG311" i="62"/>
  <c r="AF311" i="62"/>
  <c r="AE311" i="62"/>
  <c r="AD311" i="62"/>
  <c r="AJ310" i="62"/>
  <c r="AI310" i="62"/>
  <c r="AH310" i="62"/>
  <c r="AG310" i="62"/>
  <c r="AF310" i="62"/>
  <c r="AE310" i="62"/>
  <c r="AD310" i="62"/>
  <c r="AJ313" i="61"/>
  <c r="AI313" i="61"/>
  <c r="AH313" i="61"/>
  <c r="AG313" i="61"/>
  <c r="AF313" i="61"/>
  <c r="AE313" i="61"/>
  <c r="AD313" i="61"/>
  <c r="AJ312" i="61"/>
  <c r="AI312" i="61"/>
  <c r="AH312" i="61"/>
  <c r="AG312" i="61"/>
  <c r="AF312" i="61"/>
  <c r="AE312" i="61"/>
  <c r="AD312" i="61"/>
  <c r="J312" i="61"/>
  <c r="T312" i="61" s="1"/>
  <c r="I312" i="61"/>
  <c r="AA312" i="61" s="1"/>
  <c r="H312" i="61"/>
  <c r="Z312" i="61" s="1"/>
  <c r="G312" i="61"/>
  <c r="Q312" i="61" s="1"/>
  <c r="F312" i="61"/>
  <c r="E312" i="61"/>
  <c r="W312" i="61" s="1"/>
  <c r="D312" i="61"/>
  <c r="V312" i="61" s="1"/>
  <c r="AJ311" i="61"/>
  <c r="AI311" i="61"/>
  <c r="AH311" i="61"/>
  <c r="AG311" i="61"/>
  <c r="AF311" i="61"/>
  <c r="AE311" i="61"/>
  <c r="AD311" i="61"/>
  <c r="AJ310" i="61"/>
  <c r="AI310" i="61"/>
  <c r="AH310" i="61"/>
  <c r="AG310" i="61"/>
  <c r="AF310" i="61"/>
  <c r="AE310" i="61"/>
  <c r="AD310" i="61"/>
  <c r="AJ309" i="61"/>
  <c r="AI309" i="61"/>
  <c r="AH309" i="61"/>
  <c r="AG309" i="61"/>
  <c r="AF309" i="61"/>
  <c r="AE309" i="61"/>
  <c r="AD309" i="61"/>
  <c r="AJ92" i="60"/>
  <c r="AI92" i="60"/>
  <c r="AH92" i="60"/>
  <c r="AG92" i="60"/>
  <c r="AF92" i="60"/>
  <c r="AE92" i="60"/>
  <c r="AD92" i="60"/>
  <c r="AJ91" i="60"/>
  <c r="AI91" i="60"/>
  <c r="AH91" i="60"/>
  <c r="AG91" i="60"/>
  <c r="AF91" i="60"/>
  <c r="AE91" i="60"/>
  <c r="AD91" i="60"/>
  <c r="J91" i="60"/>
  <c r="AB91" i="60" s="1"/>
  <c r="I91" i="60"/>
  <c r="S91" i="60" s="1"/>
  <c r="H91" i="60"/>
  <c r="Z91" i="60" s="1"/>
  <c r="G91" i="60"/>
  <c r="Q91" i="60" s="1"/>
  <c r="F91" i="60"/>
  <c r="X91" i="60" s="1"/>
  <c r="E91" i="60"/>
  <c r="O91" i="60" s="1"/>
  <c r="D91" i="60"/>
  <c r="V91" i="60" s="1"/>
  <c r="AJ90" i="60"/>
  <c r="AI90" i="60"/>
  <c r="AH90" i="60"/>
  <c r="AG90" i="60"/>
  <c r="AF90" i="60"/>
  <c r="AE90" i="60"/>
  <c r="AD90" i="60"/>
  <c r="AJ89" i="60"/>
  <c r="AI89" i="60"/>
  <c r="AH89" i="60"/>
  <c r="AG89" i="60"/>
  <c r="AF89" i="60"/>
  <c r="AE89" i="60"/>
  <c r="AD89" i="60"/>
  <c r="AJ88" i="60"/>
  <c r="AI88" i="60"/>
  <c r="AH88" i="60"/>
  <c r="AG88" i="60"/>
  <c r="AF88" i="60"/>
  <c r="AE88" i="60"/>
  <c r="AD88" i="60"/>
  <c r="AJ314" i="58"/>
  <c r="AI314" i="58"/>
  <c r="AH314" i="58"/>
  <c r="AG314" i="58"/>
  <c r="AF314" i="58"/>
  <c r="AE314" i="58"/>
  <c r="AD314" i="58"/>
  <c r="AJ313" i="58"/>
  <c r="AI313" i="58"/>
  <c r="AH313" i="58"/>
  <c r="AG313" i="58"/>
  <c r="AF313" i="58"/>
  <c r="AE313" i="58"/>
  <c r="AD313" i="58"/>
  <c r="AB313" i="58"/>
  <c r="X313" i="58"/>
  <c r="W313" i="58"/>
  <c r="T313" i="58"/>
  <c r="I313" i="58"/>
  <c r="S313" i="58" s="1"/>
  <c r="H313" i="58"/>
  <c r="R313" i="58" s="1"/>
  <c r="G313" i="58"/>
  <c r="Y313" i="58" s="1"/>
  <c r="P313" i="58"/>
  <c r="O313" i="58"/>
  <c r="D313" i="58"/>
  <c r="AJ312" i="58"/>
  <c r="AI312" i="58"/>
  <c r="AH312" i="58"/>
  <c r="AG312" i="58"/>
  <c r="AF312" i="58"/>
  <c r="AE312" i="58"/>
  <c r="AD312" i="58"/>
  <c r="AJ311" i="58"/>
  <c r="AI311" i="58"/>
  <c r="AH311" i="58"/>
  <c r="AG311" i="58"/>
  <c r="AF311" i="58"/>
  <c r="AE311" i="58"/>
  <c r="AD311" i="58"/>
  <c r="AJ310" i="58"/>
  <c r="AI310" i="58"/>
  <c r="AH310" i="58"/>
  <c r="AG310" i="58"/>
  <c r="AF310" i="58"/>
  <c r="AE310" i="58"/>
  <c r="AD310" i="58"/>
  <c r="T103" i="60" l="1"/>
  <c r="T91" i="60"/>
  <c r="Q391" i="62"/>
  <c r="N324" i="61"/>
  <c r="P318" i="61"/>
  <c r="Q391" i="59"/>
  <c r="N325" i="62"/>
  <c r="O319" i="62"/>
  <c r="R325" i="62"/>
  <c r="T318" i="61"/>
  <c r="Q169" i="60"/>
  <c r="P91" i="60"/>
  <c r="R91" i="60"/>
  <c r="K391" i="59"/>
  <c r="N313" i="62"/>
  <c r="R313" i="62"/>
  <c r="K312" i="61"/>
  <c r="P97" i="60"/>
  <c r="P103" i="60"/>
  <c r="K319" i="59"/>
  <c r="AA325" i="58"/>
  <c r="AA313" i="58"/>
  <c r="K169" i="60"/>
  <c r="K313" i="58"/>
  <c r="S312" i="61"/>
  <c r="Q390" i="61"/>
  <c r="K325" i="59"/>
  <c r="K324" i="61"/>
  <c r="K97" i="60"/>
  <c r="T97" i="60"/>
  <c r="K91" i="60"/>
  <c r="Z313" i="58"/>
  <c r="N91" i="60"/>
  <c r="K390" i="61"/>
  <c r="Q319" i="59"/>
  <c r="K318" i="61"/>
  <c r="K391" i="62"/>
  <c r="O312" i="61"/>
  <c r="N391" i="58"/>
  <c r="S319" i="62"/>
  <c r="Q325" i="59"/>
  <c r="R324" i="61"/>
  <c r="Z325" i="58"/>
  <c r="R391" i="58"/>
  <c r="Z319" i="58"/>
  <c r="K391" i="58"/>
  <c r="L325" i="58"/>
  <c r="K325" i="58"/>
  <c r="W325" i="58"/>
  <c r="L319" i="58"/>
  <c r="V319" i="58"/>
  <c r="V313" i="58"/>
  <c r="S325" i="62"/>
  <c r="K325" i="62"/>
  <c r="P325" i="62"/>
  <c r="T325" i="62"/>
  <c r="Y325" i="62"/>
  <c r="W325" i="62"/>
  <c r="L325" i="62"/>
  <c r="W324" i="61"/>
  <c r="AA324" i="61"/>
  <c r="O324" i="61"/>
  <c r="X324" i="61"/>
  <c r="AB324" i="61"/>
  <c r="Y324" i="61"/>
  <c r="L324" i="61"/>
  <c r="K103" i="60"/>
  <c r="Y103" i="60"/>
  <c r="L103" i="60"/>
  <c r="V103" i="60"/>
  <c r="Z103" i="60"/>
  <c r="W103" i="60"/>
  <c r="AA103" i="60"/>
  <c r="L325" i="59"/>
  <c r="V325" i="59"/>
  <c r="Z325" i="59"/>
  <c r="N325" i="59"/>
  <c r="W325" i="59"/>
  <c r="AA325" i="59"/>
  <c r="X325" i="59"/>
  <c r="AB325" i="59"/>
  <c r="N325" i="58"/>
  <c r="Q325" i="58"/>
  <c r="X325" i="58"/>
  <c r="X319" i="62"/>
  <c r="AB319" i="62"/>
  <c r="K319" i="62"/>
  <c r="Y319" i="62"/>
  <c r="L319" i="62"/>
  <c r="V319" i="62"/>
  <c r="Z319" i="62"/>
  <c r="Y318" i="61"/>
  <c r="L318" i="61"/>
  <c r="V318" i="61"/>
  <c r="Z318" i="61"/>
  <c r="W318" i="61"/>
  <c r="AA318" i="61"/>
  <c r="L97" i="60"/>
  <c r="V97" i="60"/>
  <c r="R97" i="60"/>
  <c r="W97" i="60"/>
  <c r="AA97" i="60"/>
  <c r="Y97" i="60"/>
  <c r="L319" i="59"/>
  <c r="V319" i="59"/>
  <c r="Z319" i="59"/>
  <c r="N319" i="59"/>
  <c r="W319" i="59"/>
  <c r="AA319" i="59"/>
  <c r="X319" i="59"/>
  <c r="AB319" i="59"/>
  <c r="W319" i="58"/>
  <c r="AA319" i="58"/>
  <c r="Q319" i="58"/>
  <c r="X319" i="58"/>
  <c r="K319" i="58"/>
  <c r="L391" i="62"/>
  <c r="V391" i="62"/>
  <c r="Z391" i="62"/>
  <c r="N391" i="62"/>
  <c r="W391" i="62"/>
  <c r="AA391" i="62"/>
  <c r="X391" i="62"/>
  <c r="AB391" i="62"/>
  <c r="L390" i="61"/>
  <c r="V390" i="61"/>
  <c r="Z390" i="61"/>
  <c r="N390" i="61"/>
  <c r="W390" i="61"/>
  <c r="AA390" i="61"/>
  <c r="X390" i="61"/>
  <c r="AB390" i="61"/>
  <c r="L169" i="60"/>
  <c r="V169" i="60"/>
  <c r="Z169" i="60"/>
  <c r="N169" i="60"/>
  <c r="W169" i="60"/>
  <c r="AA169" i="60"/>
  <c r="X169" i="60"/>
  <c r="AB169" i="60"/>
  <c r="V391" i="59"/>
  <c r="N391" i="59"/>
  <c r="W391" i="59"/>
  <c r="AA391" i="59"/>
  <c r="X391" i="59"/>
  <c r="AB391" i="59"/>
  <c r="L391" i="59"/>
  <c r="Z391" i="59"/>
  <c r="W391" i="58"/>
  <c r="AA391" i="58"/>
  <c r="O391" i="58"/>
  <c r="X391" i="58"/>
  <c r="AB391" i="58"/>
  <c r="Y391" i="58"/>
  <c r="L391" i="58"/>
  <c r="AA313" i="62"/>
  <c r="O313" i="62"/>
  <c r="X313" i="62"/>
  <c r="AB313" i="62"/>
  <c r="K313" i="62"/>
  <c r="Y313" i="62"/>
  <c r="L313" i="62"/>
  <c r="AB312" i="61"/>
  <c r="P312" i="61"/>
  <c r="Y312" i="61"/>
  <c r="N312" i="61"/>
  <c r="R312" i="61"/>
  <c r="X312" i="61"/>
  <c r="L312" i="61"/>
  <c r="W91" i="60"/>
  <c r="AA91" i="60"/>
  <c r="Y91" i="60"/>
  <c r="L91" i="60"/>
  <c r="L313" i="58"/>
  <c r="Q313" i="58"/>
  <c r="N313" i="58"/>
  <c r="J97" i="64"/>
  <c r="I97" i="64"/>
  <c r="H97" i="64"/>
  <c r="G97" i="64"/>
  <c r="F97" i="64"/>
  <c r="E97" i="64"/>
  <c r="D97" i="64"/>
  <c r="J31" i="64"/>
  <c r="I31" i="64"/>
  <c r="H31" i="64"/>
  <c r="G31" i="64"/>
  <c r="F31" i="64"/>
  <c r="E31" i="64"/>
  <c r="D31" i="64"/>
  <c r="AJ248" i="62"/>
  <c r="AI248" i="62"/>
  <c r="AH248" i="62"/>
  <c r="AG248" i="62"/>
  <c r="AF248" i="62"/>
  <c r="AE248" i="62"/>
  <c r="AD248" i="62"/>
  <c r="AJ247" i="62"/>
  <c r="AI247" i="62"/>
  <c r="AH247" i="62"/>
  <c r="AG247" i="62"/>
  <c r="AF247" i="62"/>
  <c r="AE247" i="62"/>
  <c r="AD247" i="62"/>
  <c r="AB247" i="62"/>
  <c r="AA247" i="62"/>
  <c r="Z247" i="62"/>
  <c r="Y247" i="62"/>
  <c r="X247" i="62"/>
  <c r="W247" i="62"/>
  <c r="V247" i="62"/>
  <c r="T247" i="62"/>
  <c r="S247" i="62"/>
  <c r="R247" i="62"/>
  <c r="Q247" i="62"/>
  <c r="P247" i="62"/>
  <c r="O247" i="62"/>
  <c r="N247" i="62"/>
  <c r="L247" i="62"/>
  <c r="K247" i="62"/>
  <c r="AJ246" i="62"/>
  <c r="AI246" i="62"/>
  <c r="AH246" i="62"/>
  <c r="AG246" i="62"/>
  <c r="AF246" i="62"/>
  <c r="AE246" i="62"/>
  <c r="AD246" i="62"/>
  <c r="AJ245" i="62"/>
  <c r="AI245" i="62"/>
  <c r="AH245" i="62"/>
  <c r="AG245" i="62"/>
  <c r="AF245" i="62"/>
  <c r="AE245" i="62"/>
  <c r="AD245" i="62"/>
  <c r="AJ244" i="62"/>
  <c r="AI244" i="62"/>
  <c r="AH244" i="62"/>
  <c r="AG244" i="62"/>
  <c r="AF244" i="62"/>
  <c r="AE244" i="62"/>
  <c r="AD244" i="62"/>
  <c r="AJ248" i="61"/>
  <c r="AI248" i="61"/>
  <c r="AH248" i="61"/>
  <c r="AG248" i="61"/>
  <c r="AF248" i="61"/>
  <c r="AE248" i="61"/>
  <c r="AD248" i="61"/>
  <c r="AJ247" i="61"/>
  <c r="AI247" i="61"/>
  <c r="AH247" i="61"/>
  <c r="AG247" i="61"/>
  <c r="AF247" i="61"/>
  <c r="AE247" i="61"/>
  <c r="AD247" i="61"/>
  <c r="AB247" i="61"/>
  <c r="AA247" i="61"/>
  <c r="Z247" i="61"/>
  <c r="Y247" i="61"/>
  <c r="X247" i="61"/>
  <c r="W247" i="61"/>
  <c r="V247" i="61"/>
  <c r="T247" i="61"/>
  <c r="S247" i="61"/>
  <c r="R247" i="61"/>
  <c r="Q247" i="61"/>
  <c r="P247" i="61"/>
  <c r="O247" i="61"/>
  <c r="N247" i="61"/>
  <c r="L247" i="61"/>
  <c r="K247" i="61"/>
  <c r="AJ246" i="61"/>
  <c r="AI246" i="61"/>
  <c r="AH246" i="61"/>
  <c r="AG246" i="61"/>
  <c r="AF246" i="61"/>
  <c r="AE246" i="61"/>
  <c r="AD246" i="61"/>
  <c r="AJ245" i="61"/>
  <c r="AI245" i="61"/>
  <c r="AH245" i="61"/>
  <c r="AG245" i="61"/>
  <c r="AF245" i="61"/>
  <c r="AE245" i="61"/>
  <c r="AD245" i="61"/>
  <c r="AJ244" i="61"/>
  <c r="AI244" i="61"/>
  <c r="AH244" i="61"/>
  <c r="AG244" i="61"/>
  <c r="AF244" i="61"/>
  <c r="AE244" i="61"/>
  <c r="AD244" i="61"/>
  <c r="AJ26" i="60"/>
  <c r="AI26" i="60"/>
  <c r="AH26" i="60"/>
  <c r="AG26" i="60"/>
  <c r="AF26" i="60"/>
  <c r="AE26" i="60"/>
  <c r="AD26" i="60"/>
  <c r="AJ25" i="60"/>
  <c r="AI25" i="60"/>
  <c r="AH25" i="60"/>
  <c r="AG25" i="60"/>
  <c r="AF25" i="60"/>
  <c r="AE25" i="60"/>
  <c r="AD25" i="60"/>
  <c r="AB25" i="60"/>
  <c r="AA25" i="60"/>
  <c r="Z25" i="60"/>
  <c r="Y25" i="60"/>
  <c r="X25" i="60"/>
  <c r="W25" i="60"/>
  <c r="V25" i="60"/>
  <c r="T25" i="60"/>
  <c r="S25" i="60"/>
  <c r="R25" i="60"/>
  <c r="Q25" i="60"/>
  <c r="P25" i="60"/>
  <c r="O25" i="60"/>
  <c r="N25" i="60"/>
  <c r="L25" i="60"/>
  <c r="K25" i="60"/>
  <c r="AJ24" i="60"/>
  <c r="AI24" i="60"/>
  <c r="AH24" i="60"/>
  <c r="AG24" i="60"/>
  <c r="AF24" i="60"/>
  <c r="AE24" i="60"/>
  <c r="AD24" i="60"/>
  <c r="AJ23" i="60"/>
  <c r="AI23" i="60"/>
  <c r="AH23" i="60"/>
  <c r="AG23" i="60"/>
  <c r="AF23" i="60"/>
  <c r="AE23" i="60"/>
  <c r="AD23" i="60"/>
  <c r="AJ22" i="60"/>
  <c r="AI22" i="60"/>
  <c r="AH22" i="60"/>
  <c r="AG22" i="60"/>
  <c r="AF22" i="60"/>
  <c r="AE22" i="60"/>
  <c r="AD22" i="60"/>
  <c r="AJ26" i="59"/>
  <c r="AI26" i="59"/>
  <c r="AH26" i="59"/>
  <c r="AG26" i="59"/>
  <c r="AF26" i="59"/>
  <c r="AE26" i="59"/>
  <c r="AD26" i="59"/>
  <c r="AJ25" i="59"/>
  <c r="AI25" i="59"/>
  <c r="AH25" i="59"/>
  <c r="AG25" i="59"/>
  <c r="AF25" i="59"/>
  <c r="AE25" i="59"/>
  <c r="AD25" i="59"/>
  <c r="AB25" i="59"/>
  <c r="AA25" i="59"/>
  <c r="Z25" i="59"/>
  <c r="Y25" i="59"/>
  <c r="X25" i="59"/>
  <c r="W25" i="59"/>
  <c r="V25" i="59"/>
  <c r="T25" i="59"/>
  <c r="S25" i="59"/>
  <c r="R25" i="59"/>
  <c r="Q25" i="59"/>
  <c r="P25" i="59"/>
  <c r="O25" i="59"/>
  <c r="N25" i="59"/>
  <c r="L25" i="59"/>
  <c r="K25" i="59"/>
  <c r="AJ24" i="59"/>
  <c r="AI24" i="59"/>
  <c r="AH24" i="59"/>
  <c r="AG24" i="59"/>
  <c r="AF24" i="59"/>
  <c r="AE24" i="59"/>
  <c r="AD24" i="59"/>
  <c r="AJ23" i="59"/>
  <c r="AI23" i="59"/>
  <c r="AH23" i="59"/>
  <c r="AG23" i="59"/>
  <c r="AF23" i="59"/>
  <c r="AE23" i="59"/>
  <c r="AD23" i="59"/>
  <c r="AJ22" i="59"/>
  <c r="AI22" i="59"/>
  <c r="AH22" i="59"/>
  <c r="AG22" i="59"/>
  <c r="AF22" i="59"/>
  <c r="AE22" i="59"/>
  <c r="AD22" i="59"/>
  <c r="AJ248" i="58"/>
  <c r="AI248" i="58"/>
  <c r="AH248" i="58"/>
  <c r="AG248" i="58"/>
  <c r="AF248" i="58"/>
  <c r="AE248" i="58"/>
  <c r="AD248" i="58"/>
  <c r="AJ247" i="58"/>
  <c r="AI247" i="58"/>
  <c r="AH247" i="58"/>
  <c r="AG247" i="58"/>
  <c r="AF247" i="58"/>
  <c r="AE247" i="58"/>
  <c r="AD247" i="58"/>
  <c r="V247" i="58"/>
  <c r="N247" i="58"/>
  <c r="J247" i="58"/>
  <c r="AB247" i="58" s="1"/>
  <c r="I247" i="58"/>
  <c r="S247" i="58" s="1"/>
  <c r="H247" i="58"/>
  <c r="R247" i="58" s="1"/>
  <c r="G247" i="58"/>
  <c r="Q247" i="58" s="1"/>
  <c r="F247" i="58"/>
  <c r="X247" i="58" s="1"/>
  <c r="E247" i="58"/>
  <c r="O247" i="58" s="1"/>
  <c r="AJ246" i="58"/>
  <c r="AI246" i="58"/>
  <c r="AH246" i="58"/>
  <c r="AG246" i="58"/>
  <c r="AF246" i="58"/>
  <c r="AE246" i="58"/>
  <c r="AD246" i="58"/>
  <c r="AJ245" i="58"/>
  <c r="AI245" i="58"/>
  <c r="AH245" i="58"/>
  <c r="AG245" i="58"/>
  <c r="AF245" i="58"/>
  <c r="AE245" i="58"/>
  <c r="AD245" i="58"/>
  <c r="AJ244" i="58"/>
  <c r="AI244" i="58"/>
  <c r="AH244" i="58"/>
  <c r="AG244" i="58"/>
  <c r="AF244" i="58"/>
  <c r="AE244" i="58"/>
  <c r="AD244" i="58"/>
  <c r="T247" i="58" l="1"/>
  <c r="L97" i="64"/>
  <c r="P247" i="58"/>
  <c r="L31" i="64"/>
  <c r="K97" i="64"/>
  <c r="K31" i="64"/>
  <c r="K247" i="58"/>
  <c r="Y247" i="58"/>
  <c r="L247" i="58"/>
  <c r="Z247" i="58"/>
  <c r="W247" i="58"/>
  <c r="AA247" i="58"/>
  <c r="J187" i="64"/>
  <c r="I187" i="64"/>
  <c r="H187" i="64"/>
  <c r="G187" i="64"/>
  <c r="F187" i="64"/>
  <c r="E187" i="64"/>
  <c r="D187" i="64"/>
  <c r="AJ374" i="62"/>
  <c r="AI374" i="62"/>
  <c r="AH374" i="62"/>
  <c r="AG374" i="62"/>
  <c r="AF374" i="62"/>
  <c r="AE374" i="62"/>
  <c r="AD374" i="62"/>
  <c r="AJ373" i="62"/>
  <c r="AI373" i="62"/>
  <c r="AH373" i="62"/>
  <c r="AG373" i="62"/>
  <c r="AF373" i="62"/>
  <c r="AE373" i="62"/>
  <c r="AD373" i="62"/>
  <c r="J373" i="62"/>
  <c r="T373" i="62" s="1"/>
  <c r="I373" i="62"/>
  <c r="AA373" i="62" s="1"/>
  <c r="H373" i="62"/>
  <c r="Z373" i="62" s="1"/>
  <c r="G373" i="62"/>
  <c r="Q373" i="62" s="1"/>
  <c r="F373" i="62"/>
  <c r="P373" i="62" s="1"/>
  <c r="E373" i="62"/>
  <c r="W373" i="62" s="1"/>
  <c r="D373" i="62"/>
  <c r="V373" i="62" s="1"/>
  <c r="AJ372" i="62"/>
  <c r="AI372" i="62"/>
  <c r="AH372" i="62"/>
  <c r="AG372" i="62"/>
  <c r="AF372" i="62"/>
  <c r="AE372" i="62"/>
  <c r="AD372" i="62"/>
  <c r="AJ371" i="62"/>
  <c r="AI371" i="62"/>
  <c r="AH371" i="62"/>
  <c r="AG371" i="62"/>
  <c r="AF371" i="62"/>
  <c r="AE371" i="62"/>
  <c r="AD371" i="62"/>
  <c r="AJ370" i="62"/>
  <c r="AI370" i="62"/>
  <c r="AH370" i="62"/>
  <c r="AG370" i="62"/>
  <c r="AF370" i="62"/>
  <c r="AE370" i="62"/>
  <c r="AD370" i="62"/>
  <c r="AJ373" i="61"/>
  <c r="AI373" i="61"/>
  <c r="AH373" i="61"/>
  <c r="AG373" i="61"/>
  <c r="AF373" i="61"/>
  <c r="AE373" i="61"/>
  <c r="AD373" i="61"/>
  <c r="AJ372" i="61"/>
  <c r="AI372" i="61"/>
  <c r="AH372" i="61"/>
  <c r="AG372" i="61"/>
  <c r="AF372" i="61"/>
  <c r="AE372" i="61"/>
  <c r="AD372" i="61"/>
  <c r="O372" i="61"/>
  <c r="J372" i="61"/>
  <c r="AB372" i="61" s="1"/>
  <c r="I372" i="61"/>
  <c r="AA372" i="61" s="1"/>
  <c r="H372" i="61"/>
  <c r="Z372" i="61" s="1"/>
  <c r="G372" i="61"/>
  <c r="Q372" i="61" s="1"/>
  <c r="F372" i="61"/>
  <c r="P372" i="61" s="1"/>
  <c r="W372" i="61"/>
  <c r="V372" i="61"/>
  <c r="AJ371" i="61"/>
  <c r="AI371" i="61"/>
  <c r="AH371" i="61"/>
  <c r="AG371" i="61"/>
  <c r="AF371" i="61"/>
  <c r="AE371" i="61"/>
  <c r="AD371" i="61"/>
  <c r="AJ370" i="61"/>
  <c r="AI370" i="61"/>
  <c r="AH370" i="61"/>
  <c r="AG370" i="61"/>
  <c r="AF370" i="61"/>
  <c r="AE370" i="61"/>
  <c r="AD370" i="61"/>
  <c r="AJ369" i="61"/>
  <c r="AI369" i="61"/>
  <c r="AH369" i="61"/>
  <c r="AG369" i="61"/>
  <c r="AF369" i="61"/>
  <c r="AE369" i="61"/>
  <c r="AD369" i="61"/>
  <c r="AJ152" i="60"/>
  <c r="AI152" i="60"/>
  <c r="AH152" i="60"/>
  <c r="AG152" i="60"/>
  <c r="AF152" i="60"/>
  <c r="AE152" i="60"/>
  <c r="AD152" i="60"/>
  <c r="AJ151" i="60"/>
  <c r="AI151" i="60"/>
  <c r="AH151" i="60"/>
  <c r="AG151" i="60"/>
  <c r="AF151" i="60"/>
  <c r="AE151" i="60"/>
  <c r="AD151" i="60"/>
  <c r="J151" i="60"/>
  <c r="T151" i="60" s="1"/>
  <c r="I151" i="60"/>
  <c r="S151" i="60" s="1"/>
  <c r="H151" i="60"/>
  <c r="Z151" i="60" s="1"/>
  <c r="G151" i="60"/>
  <c r="Q151" i="60" s="1"/>
  <c r="F151" i="60"/>
  <c r="P151" i="60" s="1"/>
  <c r="E151" i="60"/>
  <c r="D151" i="60"/>
  <c r="V151" i="60" s="1"/>
  <c r="AJ150" i="60"/>
  <c r="AI150" i="60"/>
  <c r="AH150" i="60"/>
  <c r="AG150" i="60"/>
  <c r="AF150" i="60"/>
  <c r="AE150" i="60"/>
  <c r="AD150" i="60"/>
  <c r="AJ149" i="60"/>
  <c r="AI149" i="60"/>
  <c r="AH149" i="60"/>
  <c r="AG149" i="60"/>
  <c r="AF149" i="60"/>
  <c r="AE149" i="60"/>
  <c r="AD149" i="60"/>
  <c r="AJ148" i="60"/>
  <c r="AI148" i="60"/>
  <c r="AH148" i="60"/>
  <c r="AG148" i="60"/>
  <c r="AF148" i="60"/>
  <c r="AE148" i="60"/>
  <c r="AD148" i="60"/>
  <c r="AJ374" i="59"/>
  <c r="AI374" i="59"/>
  <c r="AH374" i="59"/>
  <c r="AG374" i="59"/>
  <c r="AF374" i="59"/>
  <c r="AE374" i="59"/>
  <c r="AD374" i="59"/>
  <c r="AJ373" i="59"/>
  <c r="AI373" i="59"/>
  <c r="AH373" i="59"/>
  <c r="AG373" i="59"/>
  <c r="AF373" i="59"/>
  <c r="AE373" i="59"/>
  <c r="AD373" i="59"/>
  <c r="J373" i="59"/>
  <c r="T373" i="59" s="1"/>
  <c r="I373" i="59"/>
  <c r="S373" i="59" s="1"/>
  <c r="R373" i="59"/>
  <c r="G373" i="59"/>
  <c r="Y373" i="59" s="1"/>
  <c r="F373" i="59"/>
  <c r="P373" i="59" s="1"/>
  <c r="E373" i="59"/>
  <c r="O373" i="59" s="1"/>
  <c r="D373" i="59"/>
  <c r="AJ372" i="59"/>
  <c r="AI372" i="59"/>
  <c r="AH372" i="59"/>
  <c r="AG372" i="59"/>
  <c r="AF372" i="59"/>
  <c r="AE372" i="59"/>
  <c r="AD372" i="59"/>
  <c r="AJ371" i="59"/>
  <c r="AI371" i="59"/>
  <c r="AH371" i="59"/>
  <c r="AG371" i="59"/>
  <c r="AF371" i="59"/>
  <c r="AE371" i="59"/>
  <c r="AD371" i="59"/>
  <c r="AJ370" i="59"/>
  <c r="AI370" i="59"/>
  <c r="AH370" i="59"/>
  <c r="AG370" i="59"/>
  <c r="AF370" i="59"/>
  <c r="AE370" i="59"/>
  <c r="AD370" i="59"/>
  <c r="AJ374" i="58"/>
  <c r="AI374" i="58"/>
  <c r="AH374" i="58"/>
  <c r="AG374" i="58"/>
  <c r="AF374" i="58"/>
  <c r="AE374" i="58"/>
  <c r="AD374" i="58"/>
  <c r="AJ373" i="58"/>
  <c r="AI373" i="58"/>
  <c r="AH373" i="58"/>
  <c r="AG373" i="58"/>
  <c r="AF373" i="58"/>
  <c r="AE373" i="58"/>
  <c r="AD373" i="58"/>
  <c r="AB373" i="58"/>
  <c r="T373" i="58"/>
  <c r="I373" i="58"/>
  <c r="S373" i="58" s="1"/>
  <c r="H373" i="58"/>
  <c r="R373" i="58" s="1"/>
  <c r="G373" i="58"/>
  <c r="Y373" i="58" s="1"/>
  <c r="F373" i="58"/>
  <c r="P373" i="58" s="1"/>
  <c r="E373" i="58"/>
  <c r="O373" i="58" s="1"/>
  <c r="D373" i="58"/>
  <c r="AJ372" i="58"/>
  <c r="AI372" i="58"/>
  <c r="AH372" i="58"/>
  <c r="AG372" i="58"/>
  <c r="AF372" i="58"/>
  <c r="AE372" i="58"/>
  <c r="AD372" i="58"/>
  <c r="AJ371" i="58"/>
  <c r="AI371" i="58"/>
  <c r="AH371" i="58"/>
  <c r="AG371" i="58"/>
  <c r="AF371" i="58"/>
  <c r="AE371" i="58"/>
  <c r="AD371" i="58"/>
  <c r="AJ370" i="58"/>
  <c r="AI370" i="58"/>
  <c r="AH370" i="58"/>
  <c r="AG370" i="58"/>
  <c r="AF370" i="58"/>
  <c r="AE370" i="58"/>
  <c r="AD370" i="58"/>
  <c r="J181" i="64"/>
  <c r="I181" i="64"/>
  <c r="H181" i="64"/>
  <c r="G181" i="64"/>
  <c r="F181" i="64"/>
  <c r="E181" i="64"/>
  <c r="D181" i="64"/>
  <c r="AJ356" i="62"/>
  <c r="AI356" i="62"/>
  <c r="AH356" i="62"/>
  <c r="AG356" i="62"/>
  <c r="AF356" i="62"/>
  <c r="AE356" i="62"/>
  <c r="AD356" i="62"/>
  <c r="AJ355" i="62"/>
  <c r="AI355" i="62"/>
  <c r="AH355" i="62"/>
  <c r="AG355" i="62"/>
  <c r="AF355" i="62"/>
  <c r="AE355" i="62"/>
  <c r="AD355" i="62"/>
  <c r="J355" i="62"/>
  <c r="AB355" i="62" s="1"/>
  <c r="I355" i="62"/>
  <c r="AA355" i="62" s="1"/>
  <c r="H355" i="62"/>
  <c r="Z355" i="62" s="1"/>
  <c r="G355" i="62"/>
  <c r="Q355" i="62" s="1"/>
  <c r="F355" i="62"/>
  <c r="P355" i="62" s="1"/>
  <c r="E355" i="62"/>
  <c r="W355" i="62" s="1"/>
  <c r="D355" i="62"/>
  <c r="V355" i="62" s="1"/>
  <c r="AJ354" i="62"/>
  <c r="AI354" i="62"/>
  <c r="AH354" i="62"/>
  <c r="AG354" i="62"/>
  <c r="AF354" i="62"/>
  <c r="AE354" i="62"/>
  <c r="AD354" i="62"/>
  <c r="AJ353" i="62"/>
  <c r="AI353" i="62"/>
  <c r="AH353" i="62"/>
  <c r="AG353" i="62"/>
  <c r="AF353" i="62"/>
  <c r="AE353" i="62"/>
  <c r="AD353" i="62"/>
  <c r="AJ352" i="62"/>
  <c r="AI352" i="62"/>
  <c r="AH352" i="62"/>
  <c r="AG352" i="62"/>
  <c r="AF352" i="62"/>
  <c r="AE352" i="62"/>
  <c r="AD352" i="62"/>
  <c r="AJ355" i="61"/>
  <c r="AI355" i="61"/>
  <c r="AH355" i="61"/>
  <c r="AG355" i="61"/>
  <c r="AF355" i="61"/>
  <c r="AE355" i="61"/>
  <c r="AD355" i="61"/>
  <c r="AJ354" i="61"/>
  <c r="AI354" i="61"/>
  <c r="AH354" i="61"/>
  <c r="AG354" i="61"/>
  <c r="AF354" i="61"/>
  <c r="AE354" i="61"/>
  <c r="AD354" i="61"/>
  <c r="J354" i="61"/>
  <c r="T354" i="61" s="1"/>
  <c r="I354" i="61"/>
  <c r="AA354" i="61" s="1"/>
  <c r="H354" i="61"/>
  <c r="Z354" i="61" s="1"/>
  <c r="G354" i="61"/>
  <c r="Q354" i="61" s="1"/>
  <c r="F354" i="61"/>
  <c r="P354" i="61" s="1"/>
  <c r="E354" i="61"/>
  <c r="W354" i="61" s="1"/>
  <c r="D354" i="61"/>
  <c r="V354" i="61" s="1"/>
  <c r="AJ353" i="61"/>
  <c r="AI353" i="61"/>
  <c r="AH353" i="61"/>
  <c r="AG353" i="61"/>
  <c r="AF353" i="61"/>
  <c r="AE353" i="61"/>
  <c r="AD353" i="61"/>
  <c r="AJ352" i="61"/>
  <c r="AI352" i="61"/>
  <c r="AH352" i="61"/>
  <c r="AG352" i="61"/>
  <c r="AF352" i="61"/>
  <c r="AE352" i="61"/>
  <c r="AD352" i="61"/>
  <c r="AJ351" i="61"/>
  <c r="AI351" i="61"/>
  <c r="AH351" i="61"/>
  <c r="AG351" i="61"/>
  <c r="AF351" i="61"/>
  <c r="AE351" i="61"/>
  <c r="AD351" i="61"/>
  <c r="AJ134" i="60"/>
  <c r="AI134" i="60"/>
  <c r="AH134" i="60"/>
  <c r="AG134" i="60"/>
  <c r="AF134" i="60"/>
  <c r="AE134" i="60"/>
  <c r="AD134" i="60"/>
  <c r="AJ133" i="60"/>
  <c r="AI133" i="60"/>
  <c r="AH133" i="60"/>
  <c r="AG133" i="60"/>
  <c r="AF133" i="60"/>
  <c r="AE133" i="60"/>
  <c r="AD133" i="60"/>
  <c r="J133" i="60"/>
  <c r="T133" i="60" s="1"/>
  <c r="I133" i="60"/>
  <c r="AA133" i="60" s="1"/>
  <c r="Z133" i="60"/>
  <c r="G133" i="60"/>
  <c r="Q133" i="60" s="1"/>
  <c r="F133" i="60"/>
  <c r="P133" i="60" s="1"/>
  <c r="E133" i="60"/>
  <c r="W133" i="60" s="1"/>
  <c r="D133" i="60"/>
  <c r="V133" i="60" s="1"/>
  <c r="AJ132" i="60"/>
  <c r="AI132" i="60"/>
  <c r="AH132" i="60"/>
  <c r="AG132" i="60"/>
  <c r="AF132" i="60"/>
  <c r="AE132" i="60"/>
  <c r="AD132" i="60"/>
  <c r="AJ131" i="60"/>
  <c r="AI131" i="60"/>
  <c r="AH131" i="60"/>
  <c r="AG131" i="60"/>
  <c r="AF131" i="60"/>
  <c r="AE131" i="60"/>
  <c r="AD131" i="60"/>
  <c r="AJ130" i="60"/>
  <c r="AI130" i="60"/>
  <c r="AH130" i="60"/>
  <c r="AG130" i="60"/>
  <c r="AF130" i="60"/>
  <c r="AE130" i="60"/>
  <c r="AD130" i="60"/>
  <c r="AJ356" i="59"/>
  <c r="AI356" i="59"/>
  <c r="AH356" i="59"/>
  <c r="AG356" i="59"/>
  <c r="AF356" i="59"/>
  <c r="AE356" i="59"/>
  <c r="AD356" i="59"/>
  <c r="AJ355" i="59"/>
  <c r="AI355" i="59"/>
  <c r="AH355" i="59"/>
  <c r="AG355" i="59"/>
  <c r="AF355" i="59"/>
  <c r="AE355" i="59"/>
  <c r="AD355" i="59"/>
  <c r="J355" i="59"/>
  <c r="T355" i="59" s="1"/>
  <c r="I355" i="59"/>
  <c r="S355" i="59" s="1"/>
  <c r="Z355" i="59"/>
  <c r="G355" i="59"/>
  <c r="Y355" i="59" s="1"/>
  <c r="F355" i="59"/>
  <c r="P355" i="59" s="1"/>
  <c r="E355" i="59"/>
  <c r="O355" i="59" s="1"/>
  <c r="D355" i="59"/>
  <c r="AJ354" i="59"/>
  <c r="AI354" i="59"/>
  <c r="AH354" i="59"/>
  <c r="AG354" i="59"/>
  <c r="AF354" i="59"/>
  <c r="AE354" i="59"/>
  <c r="AD354" i="59"/>
  <c r="AJ353" i="59"/>
  <c r="AI353" i="59"/>
  <c r="AH353" i="59"/>
  <c r="AG353" i="59"/>
  <c r="AF353" i="59"/>
  <c r="AE353" i="59"/>
  <c r="AD353" i="59"/>
  <c r="AJ352" i="59"/>
  <c r="AI352" i="59"/>
  <c r="AH352" i="59"/>
  <c r="AG352" i="59"/>
  <c r="AF352" i="59"/>
  <c r="AE352" i="59"/>
  <c r="AD352" i="59"/>
  <c r="AJ356" i="58"/>
  <c r="AI356" i="58"/>
  <c r="AH356" i="58"/>
  <c r="AG356" i="58"/>
  <c r="AF356" i="58"/>
  <c r="AE356" i="58"/>
  <c r="AD356" i="58"/>
  <c r="AJ355" i="58"/>
  <c r="AI355" i="58"/>
  <c r="AH355" i="58"/>
  <c r="AG355" i="58"/>
  <c r="AF355" i="58"/>
  <c r="AE355" i="58"/>
  <c r="AD355" i="58"/>
  <c r="J355" i="58"/>
  <c r="T355" i="58" s="1"/>
  <c r="S355" i="58"/>
  <c r="H355" i="58"/>
  <c r="R355" i="58" s="1"/>
  <c r="G355" i="58"/>
  <c r="Y355" i="58" s="1"/>
  <c r="F355" i="58"/>
  <c r="P355" i="58" s="1"/>
  <c r="E355" i="58"/>
  <c r="O355" i="58" s="1"/>
  <c r="D355" i="58"/>
  <c r="AJ354" i="58"/>
  <c r="AI354" i="58"/>
  <c r="AH354" i="58"/>
  <c r="AG354" i="58"/>
  <c r="AF354" i="58"/>
  <c r="AE354" i="58"/>
  <c r="AD354" i="58"/>
  <c r="AJ353" i="58"/>
  <c r="AI353" i="58"/>
  <c r="AH353" i="58"/>
  <c r="AG353" i="58"/>
  <c r="AF353" i="58"/>
  <c r="AE353" i="58"/>
  <c r="AD353" i="58"/>
  <c r="AJ352" i="58"/>
  <c r="AI352" i="58"/>
  <c r="AH352" i="58"/>
  <c r="AG352" i="58"/>
  <c r="AF352" i="58"/>
  <c r="AE352" i="58"/>
  <c r="AD352" i="58"/>
  <c r="J247" i="64"/>
  <c r="I247" i="64"/>
  <c r="H247" i="64"/>
  <c r="G247" i="64"/>
  <c r="F247" i="64"/>
  <c r="E247" i="64"/>
  <c r="D247" i="64"/>
  <c r="J253" i="64"/>
  <c r="I253" i="64"/>
  <c r="H253" i="64"/>
  <c r="G253" i="64"/>
  <c r="F253" i="64"/>
  <c r="E253" i="64"/>
  <c r="D253" i="64"/>
  <c r="J25" i="64"/>
  <c r="I25" i="64"/>
  <c r="H25" i="64"/>
  <c r="G25" i="64"/>
  <c r="F25" i="64"/>
  <c r="E25" i="64"/>
  <c r="D25" i="64"/>
  <c r="K355" i="58" l="1"/>
  <c r="L25" i="64"/>
  <c r="O373" i="62"/>
  <c r="O354" i="61"/>
  <c r="S354" i="61"/>
  <c r="R151" i="60"/>
  <c r="K253" i="64"/>
  <c r="L247" i="64"/>
  <c r="L187" i="64"/>
  <c r="K187" i="64"/>
  <c r="L181" i="64"/>
  <c r="O355" i="62"/>
  <c r="S372" i="61"/>
  <c r="O133" i="60"/>
  <c r="K373" i="58"/>
  <c r="S355" i="62"/>
  <c r="S373" i="62"/>
  <c r="S133" i="60"/>
  <c r="K151" i="60"/>
  <c r="N151" i="60"/>
  <c r="V373" i="58"/>
  <c r="L373" i="58"/>
  <c r="Z373" i="58"/>
  <c r="W373" i="58"/>
  <c r="Q355" i="58"/>
  <c r="AA373" i="58"/>
  <c r="K373" i="59"/>
  <c r="Q373" i="59"/>
  <c r="Q355" i="59"/>
  <c r="K355" i="59"/>
  <c r="N373" i="62"/>
  <c r="R373" i="62"/>
  <c r="X373" i="62"/>
  <c r="AB373" i="62"/>
  <c r="K373" i="62"/>
  <c r="Y373" i="62"/>
  <c r="L373" i="62"/>
  <c r="N372" i="61"/>
  <c r="R372" i="61"/>
  <c r="X372" i="61"/>
  <c r="K372" i="61"/>
  <c r="T372" i="61"/>
  <c r="Y372" i="61"/>
  <c r="L372" i="61"/>
  <c r="W151" i="60"/>
  <c r="AA151" i="60"/>
  <c r="O151" i="60"/>
  <c r="X151" i="60"/>
  <c r="AB151" i="60"/>
  <c r="Y151" i="60"/>
  <c r="L151" i="60"/>
  <c r="L373" i="59"/>
  <c r="V373" i="59"/>
  <c r="Z373" i="59"/>
  <c r="N373" i="59"/>
  <c r="W373" i="59"/>
  <c r="AA373" i="59"/>
  <c r="X373" i="59"/>
  <c r="AB373" i="59"/>
  <c r="X373" i="58"/>
  <c r="Q373" i="58"/>
  <c r="N373" i="58"/>
  <c r="K181" i="64"/>
  <c r="X355" i="62"/>
  <c r="N355" i="62"/>
  <c r="R355" i="62"/>
  <c r="K355" i="62"/>
  <c r="T355" i="62"/>
  <c r="Y355" i="62"/>
  <c r="L355" i="62"/>
  <c r="X354" i="61"/>
  <c r="N354" i="61"/>
  <c r="R354" i="61"/>
  <c r="AB354" i="61"/>
  <c r="K354" i="61"/>
  <c r="Y354" i="61"/>
  <c r="L354" i="61"/>
  <c r="X133" i="60"/>
  <c r="AB133" i="60"/>
  <c r="N133" i="60"/>
  <c r="R133" i="60"/>
  <c r="K133" i="60"/>
  <c r="Y133" i="60"/>
  <c r="L133" i="60"/>
  <c r="L355" i="59"/>
  <c r="V355" i="59"/>
  <c r="N355" i="59"/>
  <c r="R355" i="59"/>
  <c r="W355" i="59"/>
  <c r="AA355" i="59"/>
  <c r="X355" i="59"/>
  <c r="AB355" i="59"/>
  <c r="L355" i="58"/>
  <c r="V355" i="58"/>
  <c r="N355" i="58"/>
  <c r="W355" i="58"/>
  <c r="AA355" i="58"/>
  <c r="X355" i="58"/>
  <c r="AB355" i="58"/>
  <c r="Z355" i="58"/>
  <c r="K247" i="64"/>
  <c r="L253" i="64"/>
  <c r="K25" i="64"/>
  <c r="J139" i="64"/>
  <c r="I139" i="64"/>
  <c r="H139" i="64"/>
  <c r="G139" i="64"/>
  <c r="F139" i="64"/>
  <c r="E139" i="64"/>
  <c r="D139" i="64"/>
  <c r="J294" i="64"/>
  <c r="I294" i="64"/>
  <c r="H294" i="64"/>
  <c r="G294" i="64"/>
  <c r="F294" i="64"/>
  <c r="E294" i="64"/>
  <c r="D294" i="64"/>
  <c r="J293" i="64"/>
  <c r="I293" i="64"/>
  <c r="H293" i="64"/>
  <c r="G293" i="64"/>
  <c r="F293" i="64"/>
  <c r="E293" i="64"/>
  <c r="D293" i="64"/>
  <c r="J292" i="64"/>
  <c r="I292" i="64"/>
  <c r="H292" i="64"/>
  <c r="G292" i="64"/>
  <c r="F292" i="64"/>
  <c r="E292" i="64"/>
  <c r="D292" i="64"/>
  <c r="J291" i="64"/>
  <c r="I291" i="64"/>
  <c r="H291" i="64"/>
  <c r="G291" i="64"/>
  <c r="F291" i="64"/>
  <c r="E291" i="64"/>
  <c r="D291" i="64"/>
  <c r="J290" i="64"/>
  <c r="I290" i="64"/>
  <c r="H290" i="64"/>
  <c r="G290" i="64"/>
  <c r="F290" i="64"/>
  <c r="E290" i="64"/>
  <c r="D290" i="64"/>
  <c r="K285" i="64"/>
  <c r="J283" i="64"/>
  <c r="J287" i="64" s="1"/>
  <c r="I283" i="64"/>
  <c r="I287" i="64" s="1"/>
  <c r="H283" i="64"/>
  <c r="H287" i="64" s="1"/>
  <c r="G283" i="64"/>
  <c r="G287" i="64" s="1"/>
  <c r="F283" i="64"/>
  <c r="F287" i="64" s="1"/>
  <c r="E283" i="64"/>
  <c r="E287" i="64" s="1"/>
  <c r="D283" i="64"/>
  <c r="D287" i="64" s="1"/>
  <c r="J282" i="64"/>
  <c r="I282" i="64"/>
  <c r="H282" i="64"/>
  <c r="G282" i="64"/>
  <c r="F282" i="64"/>
  <c r="E282" i="64"/>
  <c r="D282" i="64"/>
  <c r="J277" i="64"/>
  <c r="I277" i="64"/>
  <c r="H277" i="64"/>
  <c r="G277" i="64"/>
  <c r="F277" i="64"/>
  <c r="E277" i="64"/>
  <c r="D277" i="64"/>
  <c r="J271" i="64"/>
  <c r="I271" i="64"/>
  <c r="H271" i="64"/>
  <c r="G271" i="64"/>
  <c r="F271" i="64"/>
  <c r="E271" i="64"/>
  <c r="D271" i="64"/>
  <c r="J265" i="64"/>
  <c r="I265" i="64"/>
  <c r="H265" i="64"/>
  <c r="G265" i="64"/>
  <c r="F265" i="64"/>
  <c r="E265" i="64"/>
  <c r="D265" i="64"/>
  <c r="J259" i="64"/>
  <c r="I259" i="64"/>
  <c r="H259" i="64"/>
  <c r="G259" i="64"/>
  <c r="F259" i="64"/>
  <c r="E259" i="64"/>
  <c r="D259" i="64"/>
  <c r="J241" i="64"/>
  <c r="I241" i="64"/>
  <c r="H241" i="64"/>
  <c r="G241" i="64"/>
  <c r="F241" i="64"/>
  <c r="E241" i="64"/>
  <c r="D241" i="64"/>
  <c r="J235" i="64"/>
  <c r="I235" i="64"/>
  <c r="H235" i="64"/>
  <c r="G235" i="64"/>
  <c r="F235" i="64"/>
  <c r="E235" i="64"/>
  <c r="D235" i="64"/>
  <c r="J229" i="64"/>
  <c r="I229" i="64"/>
  <c r="H229" i="64"/>
  <c r="G229" i="64"/>
  <c r="F229" i="64"/>
  <c r="E229" i="64"/>
  <c r="D229" i="64"/>
  <c r="J223" i="64"/>
  <c r="I223" i="64"/>
  <c r="H223" i="64"/>
  <c r="G223" i="64"/>
  <c r="F223" i="64"/>
  <c r="E223" i="64"/>
  <c r="D223" i="64"/>
  <c r="J217" i="64"/>
  <c r="I217" i="64"/>
  <c r="H217" i="64"/>
  <c r="G217" i="64"/>
  <c r="F217" i="64"/>
  <c r="E217" i="64"/>
  <c r="D217" i="64"/>
  <c r="J211" i="64"/>
  <c r="I211" i="64"/>
  <c r="H211" i="64"/>
  <c r="G211" i="64"/>
  <c r="F211" i="64"/>
  <c r="E211" i="64"/>
  <c r="D211" i="64"/>
  <c r="J205" i="64"/>
  <c r="I205" i="64"/>
  <c r="H205" i="64"/>
  <c r="G205" i="64"/>
  <c r="F205" i="64"/>
  <c r="E205" i="64"/>
  <c r="D205" i="64"/>
  <c r="J199" i="64"/>
  <c r="I199" i="64"/>
  <c r="H199" i="64"/>
  <c r="G199" i="64"/>
  <c r="F199" i="64"/>
  <c r="E199" i="64"/>
  <c r="D199" i="64"/>
  <c r="J193" i="64"/>
  <c r="I193" i="64"/>
  <c r="H193" i="64"/>
  <c r="G193" i="64"/>
  <c r="F193" i="64"/>
  <c r="E193" i="64"/>
  <c r="D193" i="64"/>
  <c r="J175" i="64"/>
  <c r="I175" i="64"/>
  <c r="H175" i="64"/>
  <c r="G175" i="64"/>
  <c r="F175" i="64"/>
  <c r="E175" i="64"/>
  <c r="D175" i="64"/>
  <c r="J169" i="64"/>
  <c r="I169" i="64"/>
  <c r="H169" i="64"/>
  <c r="G169" i="64"/>
  <c r="F169" i="64"/>
  <c r="E169" i="64"/>
  <c r="D169" i="64"/>
  <c r="J163" i="64"/>
  <c r="I163" i="64"/>
  <c r="H163" i="64"/>
  <c r="G163" i="64"/>
  <c r="F163" i="64"/>
  <c r="E163" i="64"/>
  <c r="D163" i="64"/>
  <c r="J157" i="64"/>
  <c r="I157" i="64"/>
  <c r="H157" i="64"/>
  <c r="G157" i="64"/>
  <c r="F157" i="64"/>
  <c r="E157" i="64"/>
  <c r="D157" i="64"/>
  <c r="J151" i="64"/>
  <c r="I151" i="64"/>
  <c r="H151" i="64"/>
  <c r="G151" i="64"/>
  <c r="F151" i="64"/>
  <c r="E151" i="64"/>
  <c r="D151" i="64"/>
  <c r="J145" i="64"/>
  <c r="I145" i="64"/>
  <c r="H145" i="64"/>
  <c r="G145" i="64"/>
  <c r="F145" i="64"/>
  <c r="E145" i="64"/>
  <c r="D145" i="64"/>
  <c r="J133" i="64"/>
  <c r="I133" i="64"/>
  <c r="H133" i="64"/>
  <c r="G133" i="64"/>
  <c r="F133" i="64"/>
  <c r="E133" i="64"/>
  <c r="D133" i="64"/>
  <c r="J127" i="64"/>
  <c r="I127" i="64"/>
  <c r="H127" i="64"/>
  <c r="G127" i="64"/>
  <c r="F127" i="64"/>
  <c r="E127" i="64"/>
  <c r="D127" i="64"/>
  <c r="J121" i="64"/>
  <c r="I121" i="64"/>
  <c r="H121" i="64"/>
  <c r="G121" i="64"/>
  <c r="F121" i="64"/>
  <c r="E121" i="64"/>
  <c r="D121" i="64"/>
  <c r="J115" i="64"/>
  <c r="I115" i="64"/>
  <c r="H115" i="64"/>
  <c r="G115" i="64"/>
  <c r="F115" i="64"/>
  <c r="E115" i="64"/>
  <c r="D115" i="64"/>
  <c r="J109" i="64"/>
  <c r="I109" i="64"/>
  <c r="H109" i="64"/>
  <c r="G109" i="64"/>
  <c r="F109" i="64"/>
  <c r="E109" i="64"/>
  <c r="D109" i="64"/>
  <c r="J103" i="64"/>
  <c r="I103" i="64"/>
  <c r="H103" i="64"/>
  <c r="G103" i="64"/>
  <c r="F103" i="64"/>
  <c r="E103" i="64"/>
  <c r="D103" i="64"/>
  <c r="J91" i="64"/>
  <c r="I91" i="64"/>
  <c r="H91" i="64"/>
  <c r="G91" i="64"/>
  <c r="F91" i="64"/>
  <c r="E91" i="64"/>
  <c r="D91" i="64"/>
  <c r="J85" i="64"/>
  <c r="I85" i="64"/>
  <c r="H85" i="64"/>
  <c r="G85" i="64"/>
  <c r="F85" i="64"/>
  <c r="E85" i="64"/>
  <c r="D85" i="64"/>
  <c r="J79" i="64"/>
  <c r="I79" i="64"/>
  <c r="H79" i="64"/>
  <c r="G79" i="64"/>
  <c r="F79" i="64"/>
  <c r="E79" i="64"/>
  <c r="D79" i="64"/>
  <c r="J73" i="64"/>
  <c r="I73" i="64"/>
  <c r="H73" i="64"/>
  <c r="G73" i="64"/>
  <c r="F73" i="64"/>
  <c r="E73" i="64"/>
  <c r="D73" i="64"/>
  <c r="J67" i="64"/>
  <c r="I67" i="64"/>
  <c r="H67" i="64"/>
  <c r="G67" i="64"/>
  <c r="F67" i="64"/>
  <c r="E67" i="64"/>
  <c r="D67" i="64"/>
  <c r="J61" i="64"/>
  <c r="H61" i="64"/>
  <c r="G61" i="64"/>
  <c r="F61" i="64"/>
  <c r="E61" i="64"/>
  <c r="D61" i="64"/>
  <c r="J55" i="64"/>
  <c r="I55" i="64"/>
  <c r="H55" i="64"/>
  <c r="G55" i="64"/>
  <c r="F55" i="64"/>
  <c r="E55" i="64"/>
  <c r="D55" i="64"/>
  <c r="J49" i="64"/>
  <c r="I49" i="64"/>
  <c r="H49" i="64"/>
  <c r="G49" i="64"/>
  <c r="F49" i="64"/>
  <c r="E49" i="64"/>
  <c r="D49" i="64"/>
  <c r="J43" i="64"/>
  <c r="I43" i="64"/>
  <c r="H43" i="64"/>
  <c r="G43" i="64"/>
  <c r="F43" i="64"/>
  <c r="E43" i="64"/>
  <c r="D43" i="64"/>
  <c r="J37" i="64"/>
  <c r="I37" i="64"/>
  <c r="H37" i="64"/>
  <c r="G37" i="64"/>
  <c r="F37" i="64"/>
  <c r="E37" i="64"/>
  <c r="D37" i="64"/>
  <c r="J19" i="64"/>
  <c r="I19" i="64"/>
  <c r="H19" i="64"/>
  <c r="G19" i="64"/>
  <c r="F19" i="64"/>
  <c r="E19" i="64"/>
  <c r="D19" i="64"/>
  <c r="J13" i="64"/>
  <c r="I13" i="64"/>
  <c r="H13" i="64"/>
  <c r="G13" i="64"/>
  <c r="F13" i="64"/>
  <c r="E13" i="64"/>
  <c r="D13" i="64"/>
  <c r="J7" i="64"/>
  <c r="I7" i="64"/>
  <c r="H7" i="64"/>
  <c r="G7" i="64"/>
  <c r="F7" i="64"/>
  <c r="E7" i="64"/>
  <c r="D7" i="64"/>
  <c r="K283" i="64"/>
  <c r="AJ422" i="62"/>
  <c r="AI422" i="62"/>
  <c r="AH422" i="62"/>
  <c r="AG422" i="62"/>
  <c r="AF422" i="62"/>
  <c r="AE422" i="62"/>
  <c r="AD422" i="62"/>
  <c r="AJ421" i="62"/>
  <c r="AI421" i="62"/>
  <c r="AH421" i="62"/>
  <c r="AG421" i="62"/>
  <c r="AF421" i="62"/>
  <c r="AE421" i="62"/>
  <c r="AD421" i="62"/>
  <c r="J421" i="62"/>
  <c r="T421" i="62" s="1"/>
  <c r="I421" i="62"/>
  <c r="S421" i="62" s="1"/>
  <c r="H421" i="62"/>
  <c r="Z421" i="62" s="1"/>
  <c r="G421" i="62"/>
  <c r="Q421" i="62" s="1"/>
  <c r="F421" i="62"/>
  <c r="X421" i="62" s="1"/>
  <c r="E421" i="62"/>
  <c r="W421" i="62" s="1"/>
  <c r="D421" i="62"/>
  <c r="V421" i="62" s="1"/>
  <c r="AJ420" i="62"/>
  <c r="AI420" i="62"/>
  <c r="AH420" i="62"/>
  <c r="AG420" i="62"/>
  <c r="AF420" i="62"/>
  <c r="AE420" i="62"/>
  <c r="AD420" i="62"/>
  <c r="AJ419" i="62"/>
  <c r="AI419" i="62"/>
  <c r="AH419" i="62"/>
  <c r="AG419" i="62"/>
  <c r="AF419" i="62"/>
  <c r="AE419" i="62"/>
  <c r="AD419" i="62"/>
  <c r="AJ418" i="62"/>
  <c r="AI418" i="62"/>
  <c r="AH418" i="62"/>
  <c r="AG418" i="62"/>
  <c r="AF418" i="62"/>
  <c r="AE418" i="62"/>
  <c r="AD418" i="62"/>
  <c r="AJ421" i="61"/>
  <c r="AI421" i="61"/>
  <c r="AH421" i="61"/>
  <c r="AG421" i="61"/>
  <c r="AF421" i="61"/>
  <c r="AE421" i="61"/>
  <c r="AD421" i="61"/>
  <c r="AJ420" i="61"/>
  <c r="AI420" i="61"/>
  <c r="AH420" i="61"/>
  <c r="AG420" i="61"/>
  <c r="AF420" i="61"/>
  <c r="AE420" i="61"/>
  <c r="AD420" i="61"/>
  <c r="AA420" i="61"/>
  <c r="S420" i="61"/>
  <c r="J420" i="61"/>
  <c r="T420" i="61" s="1"/>
  <c r="H420" i="61"/>
  <c r="R420" i="61" s="1"/>
  <c r="G420" i="61"/>
  <c r="Y420" i="61" s="1"/>
  <c r="F420" i="61"/>
  <c r="P420" i="61" s="1"/>
  <c r="E420" i="61"/>
  <c r="O420" i="61" s="1"/>
  <c r="D420" i="61"/>
  <c r="N420" i="61" s="1"/>
  <c r="AJ419" i="61"/>
  <c r="AI419" i="61"/>
  <c r="AH419" i="61"/>
  <c r="AG419" i="61"/>
  <c r="AF419" i="61"/>
  <c r="AE419" i="61"/>
  <c r="AD419" i="61"/>
  <c r="AJ418" i="61"/>
  <c r="AI418" i="61"/>
  <c r="AH418" i="61"/>
  <c r="AG418" i="61"/>
  <c r="AF418" i="61"/>
  <c r="AE418" i="61"/>
  <c r="AD418" i="61"/>
  <c r="AJ417" i="61"/>
  <c r="AI417" i="61"/>
  <c r="AH417" i="61"/>
  <c r="AG417" i="61"/>
  <c r="AF417" i="61"/>
  <c r="AE417" i="61"/>
  <c r="AD417" i="61"/>
  <c r="AJ200" i="60"/>
  <c r="AI200" i="60"/>
  <c r="AH200" i="60"/>
  <c r="AG200" i="60"/>
  <c r="AF200" i="60"/>
  <c r="AE200" i="60"/>
  <c r="AD200" i="60"/>
  <c r="AJ199" i="60"/>
  <c r="AI199" i="60"/>
  <c r="AH199" i="60"/>
  <c r="AG199" i="60"/>
  <c r="AF199" i="60"/>
  <c r="AE199" i="60"/>
  <c r="AD199" i="60"/>
  <c r="J199" i="60"/>
  <c r="T199" i="60" s="1"/>
  <c r="I199" i="60"/>
  <c r="S199" i="60" s="1"/>
  <c r="H199" i="60"/>
  <c r="R199" i="60" s="1"/>
  <c r="G199" i="60"/>
  <c r="Y199" i="60" s="1"/>
  <c r="F199" i="60"/>
  <c r="P199" i="60" s="1"/>
  <c r="E199" i="60"/>
  <c r="O199" i="60" s="1"/>
  <c r="D199" i="60"/>
  <c r="AJ198" i="60"/>
  <c r="AI198" i="60"/>
  <c r="AH198" i="60"/>
  <c r="AG198" i="60"/>
  <c r="AF198" i="60"/>
  <c r="AE198" i="60"/>
  <c r="AD198" i="60"/>
  <c r="AJ197" i="60"/>
  <c r="AI197" i="60"/>
  <c r="AH197" i="60"/>
  <c r="AG197" i="60"/>
  <c r="AF197" i="60"/>
  <c r="AE197" i="60"/>
  <c r="AD197" i="60"/>
  <c r="AJ196" i="60"/>
  <c r="AI196" i="60"/>
  <c r="AH196" i="60"/>
  <c r="AG196" i="60"/>
  <c r="AF196" i="60"/>
  <c r="AE196" i="60"/>
  <c r="AD196" i="60"/>
  <c r="AJ422" i="59"/>
  <c r="AI422" i="59"/>
  <c r="AH422" i="59"/>
  <c r="AG422" i="59"/>
  <c r="AF422" i="59"/>
  <c r="AE422" i="59"/>
  <c r="AD422" i="59"/>
  <c r="AJ421" i="59"/>
  <c r="AI421" i="59"/>
  <c r="AH421" i="59"/>
  <c r="AG421" i="59"/>
  <c r="AF421" i="59"/>
  <c r="AE421" i="59"/>
  <c r="AD421" i="59"/>
  <c r="J421" i="59"/>
  <c r="T421" i="59" s="1"/>
  <c r="I421" i="59"/>
  <c r="S421" i="59" s="1"/>
  <c r="H421" i="59"/>
  <c r="Z421" i="59" s="1"/>
  <c r="G421" i="59"/>
  <c r="Q421" i="59" s="1"/>
  <c r="F421" i="59"/>
  <c r="P421" i="59" s="1"/>
  <c r="E421" i="59"/>
  <c r="W421" i="59" s="1"/>
  <c r="D421" i="59"/>
  <c r="V421" i="59" s="1"/>
  <c r="AJ420" i="59"/>
  <c r="AI420" i="59"/>
  <c r="AH420" i="59"/>
  <c r="AG420" i="59"/>
  <c r="AF420" i="59"/>
  <c r="AE420" i="59"/>
  <c r="AD420" i="59"/>
  <c r="AJ419" i="59"/>
  <c r="AI419" i="59"/>
  <c r="AH419" i="59"/>
  <c r="AG419" i="59"/>
  <c r="AF419" i="59"/>
  <c r="AE419" i="59"/>
  <c r="AD419" i="59"/>
  <c r="AJ418" i="59"/>
  <c r="AI418" i="59"/>
  <c r="AH418" i="59"/>
  <c r="AG418" i="59"/>
  <c r="AF418" i="59"/>
  <c r="AE418" i="59"/>
  <c r="AD418" i="59"/>
  <c r="AJ428" i="58"/>
  <c r="AI428" i="58"/>
  <c r="AH428" i="58"/>
  <c r="AG428" i="58"/>
  <c r="AF428" i="58"/>
  <c r="AE428" i="58"/>
  <c r="AD428" i="58"/>
  <c r="AJ427" i="58"/>
  <c r="AI427" i="58"/>
  <c r="AH427" i="58"/>
  <c r="AG427" i="58"/>
  <c r="AF427" i="58"/>
  <c r="AE427" i="58"/>
  <c r="AD427" i="58"/>
  <c r="AB427" i="58"/>
  <c r="T427" i="58"/>
  <c r="I427" i="58"/>
  <c r="S427" i="58" s="1"/>
  <c r="H427" i="58"/>
  <c r="R427" i="58" s="1"/>
  <c r="G427" i="58"/>
  <c r="Q427" i="58" s="1"/>
  <c r="F427" i="58"/>
  <c r="P427" i="58" s="1"/>
  <c r="E427" i="58"/>
  <c r="D427" i="58"/>
  <c r="N427" i="58" s="1"/>
  <c r="AJ426" i="58"/>
  <c r="AI426" i="58"/>
  <c r="AH426" i="58"/>
  <c r="AG426" i="58"/>
  <c r="AF426" i="58"/>
  <c r="AE426" i="58"/>
  <c r="AD426" i="58"/>
  <c r="AJ425" i="58"/>
  <c r="AI425" i="58"/>
  <c r="AH425" i="58"/>
  <c r="AG425" i="58"/>
  <c r="AF425" i="58"/>
  <c r="AE425" i="58"/>
  <c r="AD425" i="58"/>
  <c r="AJ424" i="58"/>
  <c r="AI424" i="58"/>
  <c r="AH424" i="58"/>
  <c r="AG424" i="58"/>
  <c r="AF424" i="58"/>
  <c r="AE424" i="58"/>
  <c r="AD424" i="58"/>
  <c r="L139" i="64" l="1"/>
  <c r="K139" i="64"/>
  <c r="K193" i="64"/>
  <c r="L37" i="64"/>
  <c r="K43" i="64"/>
  <c r="L49" i="64"/>
  <c r="K55" i="64"/>
  <c r="K67" i="64"/>
  <c r="L127" i="64"/>
  <c r="L265" i="64"/>
  <c r="L91" i="64"/>
  <c r="K103" i="64"/>
  <c r="L223" i="64"/>
  <c r="K229" i="64"/>
  <c r="K241" i="64"/>
  <c r="L19" i="64"/>
  <c r="L151" i="64"/>
  <c r="K271" i="64"/>
  <c r="K199" i="64"/>
  <c r="R421" i="62"/>
  <c r="N421" i="62"/>
  <c r="L420" i="61"/>
  <c r="V420" i="61"/>
  <c r="Z420" i="61"/>
  <c r="Q199" i="60"/>
  <c r="K199" i="60"/>
  <c r="N421" i="59"/>
  <c r="R421" i="59"/>
  <c r="K427" i="58"/>
  <c r="Y427" i="58"/>
  <c r="L427" i="58"/>
  <c r="X427" i="58"/>
  <c r="Z427" i="58"/>
  <c r="V427" i="58"/>
  <c r="L13" i="64"/>
  <c r="L61" i="64"/>
  <c r="L79" i="64"/>
  <c r="K109" i="64"/>
  <c r="L115" i="64"/>
  <c r="L145" i="64"/>
  <c r="L163" i="64"/>
  <c r="L169" i="64"/>
  <c r="K175" i="64"/>
  <c r="L211" i="64"/>
  <c r="K235" i="64"/>
  <c r="L271" i="64"/>
  <c r="L277" i="64"/>
  <c r="L7" i="64"/>
  <c r="K13" i="64"/>
  <c r="K19" i="64"/>
  <c r="L43" i="64"/>
  <c r="L55" i="64"/>
  <c r="L73" i="64"/>
  <c r="K79" i="64"/>
  <c r="L103" i="64"/>
  <c r="K133" i="64"/>
  <c r="K157" i="64"/>
  <c r="L199" i="64"/>
  <c r="L205" i="64"/>
  <c r="K211" i="64"/>
  <c r="L229" i="64"/>
  <c r="K85" i="64"/>
  <c r="L109" i="64"/>
  <c r="K115" i="64"/>
  <c r="L121" i="64"/>
  <c r="K127" i="64"/>
  <c r="K145" i="64"/>
  <c r="K151" i="64"/>
  <c r="K163" i="64"/>
  <c r="L175" i="64"/>
  <c r="K217" i="64"/>
  <c r="L241" i="64"/>
  <c r="L259" i="64"/>
  <c r="K265" i="64"/>
  <c r="M282" i="64"/>
  <c r="K287" i="64"/>
  <c r="L133" i="64"/>
  <c r="L157" i="64"/>
  <c r="L193" i="64"/>
  <c r="M283" i="64"/>
  <c r="K7" i="64"/>
  <c r="K37" i="64"/>
  <c r="K49" i="64"/>
  <c r="K73" i="64"/>
  <c r="K91" i="64"/>
  <c r="K121" i="64"/>
  <c r="K169" i="64"/>
  <c r="K205" i="64"/>
  <c r="K223" i="64"/>
  <c r="K259" i="64"/>
  <c r="K277" i="64"/>
  <c r="L235" i="64"/>
  <c r="K61" i="64"/>
  <c r="L67" i="64"/>
  <c r="L85" i="64"/>
  <c r="L217" i="64"/>
  <c r="AA421" i="62"/>
  <c r="O421" i="62"/>
  <c r="AB421" i="62"/>
  <c r="K421" i="62"/>
  <c r="P421" i="62"/>
  <c r="Y421" i="62"/>
  <c r="L421" i="62"/>
  <c r="Q420" i="61"/>
  <c r="W420" i="61"/>
  <c r="X420" i="61"/>
  <c r="AB420" i="61"/>
  <c r="K420" i="61"/>
  <c r="L199" i="60"/>
  <c r="V199" i="60"/>
  <c r="Z199" i="60"/>
  <c r="N199" i="60"/>
  <c r="W199" i="60"/>
  <c r="AA199" i="60"/>
  <c r="X199" i="60"/>
  <c r="AB199" i="60"/>
  <c r="O421" i="59"/>
  <c r="X421" i="59"/>
  <c r="AB421" i="59"/>
  <c r="K421" i="59"/>
  <c r="Y421" i="59"/>
  <c r="AA421" i="59"/>
  <c r="L421" i="59"/>
  <c r="W427" i="58"/>
  <c r="AA427" i="58"/>
  <c r="O427" i="58"/>
  <c r="L282" i="64" l="1"/>
  <c r="AJ386" i="62"/>
  <c r="AI386" i="62"/>
  <c r="AH386" i="62"/>
  <c r="AG386" i="62"/>
  <c r="AF386" i="62"/>
  <c r="AE386" i="62"/>
  <c r="AD386" i="62"/>
  <c r="AJ385" i="62"/>
  <c r="AI385" i="62"/>
  <c r="AH385" i="62"/>
  <c r="AG385" i="62"/>
  <c r="AF385" i="62"/>
  <c r="AE385" i="62"/>
  <c r="AD385" i="62"/>
  <c r="J385" i="62"/>
  <c r="T385" i="62" s="1"/>
  <c r="I385" i="62"/>
  <c r="AA385" i="62" s="1"/>
  <c r="H385" i="62"/>
  <c r="Z385" i="62" s="1"/>
  <c r="G385" i="62"/>
  <c r="Q385" i="62" s="1"/>
  <c r="F385" i="62"/>
  <c r="P385" i="62" s="1"/>
  <c r="E385" i="62"/>
  <c r="W385" i="62" s="1"/>
  <c r="D385" i="62"/>
  <c r="V385" i="62" s="1"/>
  <c r="AJ384" i="62"/>
  <c r="AI384" i="62"/>
  <c r="AH384" i="62"/>
  <c r="AG384" i="62"/>
  <c r="AF384" i="62"/>
  <c r="AE384" i="62"/>
  <c r="AD384" i="62"/>
  <c r="AJ383" i="62"/>
  <c r="AI383" i="62"/>
  <c r="AH383" i="62"/>
  <c r="AG383" i="62"/>
  <c r="AF383" i="62"/>
  <c r="AE383" i="62"/>
  <c r="AD383" i="62"/>
  <c r="AJ382" i="62"/>
  <c r="AI382" i="62"/>
  <c r="AH382" i="62"/>
  <c r="AG382" i="62"/>
  <c r="AF382" i="62"/>
  <c r="AE382" i="62"/>
  <c r="AD382" i="62"/>
  <c r="AJ385" i="61"/>
  <c r="AI385" i="61"/>
  <c r="AH385" i="61"/>
  <c r="AG385" i="61"/>
  <c r="AF385" i="61"/>
  <c r="AE385" i="61"/>
  <c r="AD385" i="61"/>
  <c r="AJ384" i="61"/>
  <c r="AI384" i="61"/>
  <c r="AH384" i="61"/>
  <c r="AG384" i="61"/>
  <c r="AF384" i="61"/>
  <c r="AE384" i="61"/>
  <c r="AD384" i="61"/>
  <c r="J384" i="61"/>
  <c r="T384" i="61" s="1"/>
  <c r="I384" i="61"/>
  <c r="S384" i="61" s="1"/>
  <c r="H384" i="61"/>
  <c r="R384" i="61" s="1"/>
  <c r="G384" i="61"/>
  <c r="Y384" i="61" s="1"/>
  <c r="F384" i="61"/>
  <c r="P384" i="61" s="1"/>
  <c r="E384" i="61"/>
  <c r="O384" i="61" s="1"/>
  <c r="D384" i="61"/>
  <c r="AJ383" i="61"/>
  <c r="AI383" i="61"/>
  <c r="AH383" i="61"/>
  <c r="AG383" i="61"/>
  <c r="AF383" i="61"/>
  <c r="AE383" i="61"/>
  <c r="AD383" i="61"/>
  <c r="AJ382" i="61"/>
  <c r="AI382" i="61"/>
  <c r="AH382" i="61"/>
  <c r="AG382" i="61"/>
  <c r="AF382" i="61"/>
  <c r="AE382" i="61"/>
  <c r="AD382" i="61"/>
  <c r="AJ381" i="61"/>
  <c r="AI381" i="61"/>
  <c r="AH381" i="61"/>
  <c r="AG381" i="61"/>
  <c r="AF381" i="61"/>
  <c r="AE381" i="61"/>
  <c r="AD381" i="61"/>
  <c r="AJ164" i="60"/>
  <c r="AI164" i="60"/>
  <c r="AH164" i="60"/>
  <c r="AG164" i="60"/>
  <c r="AF164" i="60"/>
  <c r="AE164" i="60"/>
  <c r="AD164" i="60"/>
  <c r="AJ163" i="60"/>
  <c r="AI163" i="60"/>
  <c r="AH163" i="60"/>
  <c r="AG163" i="60"/>
  <c r="AF163" i="60"/>
  <c r="AE163" i="60"/>
  <c r="AD163" i="60"/>
  <c r="J163" i="60"/>
  <c r="T163" i="60" s="1"/>
  <c r="I163" i="60"/>
  <c r="S163" i="60" s="1"/>
  <c r="H163" i="60"/>
  <c r="Z163" i="60" s="1"/>
  <c r="G163" i="60"/>
  <c r="Q163" i="60" s="1"/>
  <c r="F163" i="60"/>
  <c r="P163" i="60" s="1"/>
  <c r="E163" i="60"/>
  <c r="O163" i="60" s="1"/>
  <c r="D163" i="60"/>
  <c r="V163" i="60" s="1"/>
  <c r="AJ162" i="60"/>
  <c r="AI162" i="60"/>
  <c r="AH162" i="60"/>
  <c r="AG162" i="60"/>
  <c r="AF162" i="60"/>
  <c r="AE162" i="60"/>
  <c r="AD162" i="60"/>
  <c r="AJ161" i="60"/>
  <c r="AI161" i="60"/>
  <c r="AH161" i="60"/>
  <c r="AG161" i="60"/>
  <c r="AF161" i="60"/>
  <c r="AE161" i="60"/>
  <c r="AD161" i="60"/>
  <c r="AJ160" i="60"/>
  <c r="AI160" i="60"/>
  <c r="AH160" i="60"/>
  <c r="AG160" i="60"/>
  <c r="AF160" i="60"/>
  <c r="AE160" i="60"/>
  <c r="AD160" i="60"/>
  <c r="AJ386" i="59"/>
  <c r="AI386" i="59"/>
  <c r="AH386" i="59"/>
  <c r="AG386" i="59"/>
  <c r="AF386" i="59"/>
  <c r="AE386" i="59"/>
  <c r="AD386" i="59"/>
  <c r="AJ385" i="59"/>
  <c r="AI385" i="59"/>
  <c r="AH385" i="59"/>
  <c r="AG385" i="59"/>
  <c r="AF385" i="59"/>
  <c r="AE385" i="59"/>
  <c r="AD385" i="59"/>
  <c r="J385" i="59"/>
  <c r="T385" i="59" s="1"/>
  <c r="I385" i="59"/>
  <c r="S385" i="59" s="1"/>
  <c r="H385" i="59"/>
  <c r="Z385" i="59" s="1"/>
  <c r="G385" i="59"/>
  <c r="Q385" i="59" s="1"/>
  <c r="F385" i="59"/>
  <c r="P385" i="59" s="1"/>
  <c r="E385" i="59"/>
  <c r="D385" i="59"/>
  <c r="V385" i="59" s="1"/>
  <c r="AJ384" i="59"/>
  <c r="AI384" i="59"/>
  <c r="AH384" i="59"/>
  <c r="AG384" i="59"/>
  <c r="AF384" i="59"/>
  <c r="AE384" i="59"/>
  <c r="AD384" i="59"/>
  <c r="AJ383" i="59"/>
  <c r="AI383" i="59"/>
  <c r="AH383" i="59"/>
  <c r="AG383" i="59"/>
  <c r="AF383" i="59"/>
  <c r="AE383" i="59"/>
  <c r="AD383" i="59"/>
  <c r="AJ382" i="59"/>
  <c r="AI382" i="59"/>
  <c r="AH382" i="59"/>
  <c r="AG382" i="59"/>
  <c r="AF382" i="59"/>
  <c r="AE382" i="59"/>
  <c r="AD382" i="59"/>
  <c r="AJ386" i="58"/>
  <c r="AI386" i="58"/>
  <c r="AH386" i="58"/>
  <c r="AG386" i="58"/>
  <c r="AF386" i="58"/>
  <c r="AE386" i="58"/>
  <c r="AD386" i="58"/>
  <c r="AJ385" i="58"/>
  <c r="AI385" i="58"/>
  <c r="AH385" i="58"/>
  <c r="AG385" i="58"/>
  <c r="AF385" i="58"/>
  <c r="AE385" i="58"/>
  <c r="AD385" i="58"/>
  <c r="J385" i="58"/>
  <c r="T385" i="58" s="1"/>
  <c r="I385" i="58"/>
  <c r="S385" i="58" s="1"/>
  <c r="H385" i="58"/>
  <c r="Z385" i="58" s="1"/>
  <c r="G385" i="58"/>
  <c r="Y385" i="58" s="1"/>
  <c r="F385" i="58"/>
  <c r="P385" i="58" s="1"/>
  <c r="E385" i="58"/>
  <c r="O385" i="58" s="1"/>
  <c r="D385" i="58"/>
  <c r="AJ384" i="58"/>
  <c r="AI384" i="58"/>
  <c r="AH384" i="58"/>
  <c r="AG384" i="58"/>
  <c r="AF384" i="58"/>
  <c r="AE384" i="58"/>
  <c r="AD384" i="58"/>
  <c r="AJ383" i="58"/>
  <c r="AI383" i="58"/>
  <c r="AH383" i="58"/>
  <c r="AG383" i="58"/>
  <c r="AF383" i="58"/>
  <c r="AE383" i="58"/>
  <c r="AD383" i="58"/>
  <c r="AJ382" i="58"/>
  <c r="AI382" i="58"/>
  <c r="AH382" i="58"/>
  <c r="AG382" i="58"/>
  <c r="AF382" i="58"/>
  <c r="AE382" i="58"/>
  <c r="AD382" i="58"/>
  <c r="K385" i="58" l="1"/>
  <c r="N385" i="59"/>
  <c r="R385" i="62"/>
  <c r="S385" i="62"/>
  <c r="N385" i="62"/>
  <c r="O385" i="62"/>
  <c r="Q384" i="61"/>
  <c r="K384" i="61"/>
  <c r="N163" i="60"/>
  <c r="R163" i="60"/>
  <c r="R385" i="59"/>
  <c r="K385" i="59"/>
  <c r="Q385" i="58"/>
  <c r="X385" i="62"/>
  <c r="AB385" i="62"/>
  <c r="K385" i="62"/>
  <c r="Y385" i="62"/>
  <c r="L385" i="62"/>
  <c r="L384" i="61"/>
  <c r="V384" i="61"/>
  <c r="Z384" i="61"/>
  <c r="N384" i="61"/>
  <c r="W384" i="61"/>
  <c r="AA384" i="61"/>
  <c r="X384" i="61"/>
  <c r="AB384" i="61"/>
  <c r="W163" i="60"/>
  <c r="AA163" i="60"/>
  <c r="X163" i="60"/>
  <c r="AB163" i="60"/>
  <c r="K163" i="60"/>
  <c r="Y163" i="60"/>
  <c r="L163" i="60"/>
  <c r="W385" i="59"/>
  <c r="AA385" i="59"/>
  <c r="O385" i="59"/>
  <c r="X385" i="59"/>
  <c r="AB385" i="59"/>
  <c r="Y385" i="59"/>
  <c r="L385" i="59"/>
  <c r="L385" i="58"/>
  <c r="V385" i="58"/>
  <c r="N385" i="58"/>
  <c r="R385" i="58"/>
  <c r="W385" i="58"/>
  <c r="AA385" i="58"/>
  <c r="X385" i="58"/>
  <c r="AB385" i="58"/>
  <c r="AJ344" i="62"/>
  <c r="AI344" i="62"/>
  <c r="AH344" i="62"/>
  <c r="AG344" i="62"/>
  <c r="AF344" i="62"/>
  <c r="AE344" i="62"/>
  <c r="AD344" i="62"/>
  <c r="AJ343" i="62"/>
  <c r="AI343" i="62"/>
  <c r="AH343" i="62"/>
  <c r="AG343" i="62"/>
  <c r="AF343" i="62"/>
  <c r="AE343" i="62"/>
  <c r="AD343" i="62"/>
  <c r="J343" i="62"/>
  <c r="T343" i="62" s="1"/>
  <c r="I343" i="62"/>
  <c r="S343" i="62" s="1"/>
  <c r="H343" i="62"/>
  <c r="Z343" i="62" s="1"/>
  <c r="G343" i="62"/>
  <c r="Q343" i="62" s="1"/>
  <c r="F343" i="62"/>
  <c r="P343" i="62" s="1"/>
  <c r="E343" i="62"/>
  <c r="D343" i="62"/>
  <c r="V343" i="62" s="1"/>
  <c r="AJ342" i="62"/>
  <c r="AI342" i="62"/>
  <c r="AH342" i="62"/>
  <c r="AG342" i="62"/>
  <c r="AF342" i="62"/>
  <c r="AE342" i="62"/>
  <c r="AD342" i="62"/>
  <c r="AJ341" i="62"/>
  <c r="AI341" i="62"/>
  <c r="AH341" i="62"/>
  <c r="AG341" i="62"/>
  <c r="AF341" i="62"/>
  <c r="AE341" i="62"/>
  <c r="AD341" i="62"/>
  <c r="AJ340" i="62"/>
  <c r="AI340" i="62"/>
  <c r="AH340" i="62"/>
  <c r="AG340" i="62"/>
  <c r="AF340" i="62"/>
  <c r="AE340" i="62"/>
  <c r="AD340" i="62"/>
  <c r="AJ343" i="61"/>
  <c r="AI343" i="61"/>
  <c r="AH343" i="61"/>
  <c r="AG343" i="61"/>
  <c r="AF343" i="61"/>
  <c r="AE343" i="61"/>
  <c r="AD343" i="61"/>
  <c r="AJ342" i="61"/>
  <c r="AI342" i="61"/>
  <c r="AH342" i="61"/>
  <c r="AG342" i="61"/>
  <c r="AF342" i="61"/>
  <c r="AE342" i="61"/>
  <c r="AD342" i="61"/>
  <c r="J342" i="61"/>
  <c r="T342" i="61" s="1"/>
  <c r="I342" i="61"/>
  <c r="S342" i="61" s="1"/>
  <c r="H342" i="61"/>
  <c r="Z342" i="61" s="1"/>
  <c r="G342" i="61"/>
  <c r="Q342" i="61" s="1"/>
  <c r="F342" i="61"/>
  <c r="X342" i="61" s="1"/>
  <c r="E342" i="61"/>
  <c r="O342" i="61" s="1"/>
  <c r="V342" i="61"/>
  <c r="AJ341" i="61"/>
  <c r="AI341" i="61"/>
  <c r="AH341" i="61"/>
  <c r="AG341" i="61"/>
  <c r="AF341" i="61"/>
  <c r="AE341" i="61"/>
  <c r="AD341" i="61"/>
  <c r="AJ340" i="61"/>
  <c r="AI340" i="61"/>
  <c r="AH340" i="61"/>
  <c r="AG340" i="61"/>
  <c r="AF340" i="61"/>
  <c r="AE340" i="61"/>
  <c r="AD340" i="61"/>
  <c r="AJ339" i="61"/>
  <c r="AI339" i="61"/>
  <c r="AH339" i="61"/>
  <c r="AG339" i="61"/>
  <c r="AF339" i="61"/>
  <c r="AE339" i="61"/>
  <c r="AD339" i="61"/>
  <c r="AJ122" i="60"/>
  <c r="AI122" i="60"/>
  <c r="AH122" i="60"/>
  <c r="AG122" i="60"/>
  <c r="AF122" i="60"/>
  <c r="AE122" i="60"/>
  <c r="AD122" i="60"/>
  <c r="AJ121" i="60"/>
  <c r="AI121" i="60"/>
  <c r="AH121" i="60"/>
  <c r="AG121" i="60"/>
  <c r="AF121" i="60"/>
  <c r="AE121" i="60"/>
  <c r="AD121" i="60"/>
  <c r="J121" i="60"/>
  <c r="T121" i="60" s="1"/>
  <c r="I121" i="60"/>
  <c r="AA121" i="60" s="1"/>
  <c r="H121" i="60"/>
  <c r="Z121" i="60" s="1"/>
  <c r="G121" i="60"/>
  <c r="Y121" i="60" s="1"/>
  <c r="P121" i="60"/>
  <c r="E121" i="60"/>
  <c r="W121" i="60" s="1"/>
  <c r="D121" i="60"/>
  <c r="V121" i="60" s="1"/>
  <c r="AJ120" i="60"/>
  <c r="AI120" i="60"/>
  <c r="AH120" i="60"/>
  <c r="AG120" i="60"/>
  <c r="AF120" i="60"/>
  <c r="AE120" i="60"/>
  <c r="AD120" i="60"/>
  <c r="AJ119" i="60"/>
  <c r="AI119" i="60"/>
  <c r="AH119" i="60"/>
  <c r="AG119" i="60"/>
  <c r="AF119" i="60"/>
  <c r="AE119" i="60"/>
  <c r="AD119" i="60"/>
  <c r="AJ118" i="60"/>
  <c r="AI118" i="60"/>
  <c r="AH118" i="60"/>
  <c r="AG118" i="60"/>
  <c r="AF118" i="60"/>
  <c r="AE118" i="60"/>
  <c r="AD118" i="60"/>
  <c r="AJ347" i="59"/>
  <c r="AI347" i="59"/>
  <c r="AH347" i="59"/>
  <c r="AG347" i="59"/>
  <c r="AF347" i="59"/>
  <c r="AE347" i="59"/>
  <c r="AD347" i="59"/>
  <c r="AJ343" i="59"/>
  <c r="AI343" i="59"/>
  <c r="AH343" i="59"/>
  <c r="AG343" i="59"/>
  <c r="AF343" i="59"/>
  <c r="AE343" i="59"/>
  <c r="AD343" i="59"/>
  <c r="J343" i="59"/>
  <c r="T343" i="59" s="1"/>
  <c r="I343" i="59"/>
  <c r="S343" i="59" s="1"/>
  <c r="H343" i="59"/>
  <c r="Z343" i="59" s="1"/>
  <c r="Y343" i="59"/>
  <c r="F343" i="59"/>
  <c r="P343" i="59" s="1"/>
  <c r="E343" i="59"/>
  <c r="O343" i="59" s="1"/>
  <c r="D343" i="59"/>
  <c r="AJ342" i="59"/>
  <c r="AI342" i="59"/>
  <c r="AH342" i="59"/>
  <c r="AG342" i="59"/>
  <c r="AF342" i="59"/>
  <c r="AE342" i="59"/>
  <c r="AD342" i="59"/>
  <c r="AJ341" i="59"/>
  <c r="AI341" i="59"/>
  <c r="AH341" i="59"/>
  <c r="AG341" i="59"/>
  <c r="AF341" i="59"/>
  <c r="AE341" i="59"/>
  <c r="AD341" i="59"/>
  <c r="AJ340" i="59"/>
  <c r="AI340" i="59"/>
  <c r="AH340" i="59"/>
  <c r="AG340" i="59"/>
  <c r="AF340" i="59"/>
  <c r="AE340" i="59"/>
  <c r="AD340" i="59"/>
  <c r="AJ344" i="58"/>
  <c r="AI344" i="58"/>
  <c r="AH344" i="58"/>
  <c r="AG344" i="58"/>
  <c r="AF344" i="58"/>
  <c r="AE344" i="58"/>
  <c r="AD344" i="58"/>
  <c r="AJ343" i="58"/>
  <c r="AI343" i="58"/>
  <c r="AH343" i="58"/>
  <c r="AG343" i="58"/>
  <c r="AF343" i="58"/>
  <c r="AE343" i="58"/>
  <c r="AD343" i="58"/>
  <c r="AB343" i="58"/>
  <c r="T343" i="58"/>
  <c r="I343" i="58"/>
  <c r="S343" i="58" s="1"/>
  <c r="H343" i="58"/>
  <c r="Z343" i="58" s="1"/>
  <c r="G343" i="58"/>
  <c r="Q343" i="58" s="1"/>
  <c r="F343" i="58"/>
  <c r="P343" i="58" s="1"/>
  <c r="O343" i="58"/>
  <c r="D343" i="58"/>
  <c r="V343" i="58" s="1"/>
  <c r="AJ342" i="58"/>
  <c r="AI342" i="58"/>
  <c r="AH342" i="58"/>
  <c r="AG342" i="58"/>
  <c r="AF342" i="58"/>
  <c r="AE342" i="58"/>
  <c r="AD342" i="58"/>
  <c r="AJ341" i="58"/>
  <c r="AI341" i="58"/>
  <c r="AH341" i="58"/>
  <c r="AG341" i="58"/>
  <c r="AF341" i="58"/>
  <c r="AE341" i="58"/>
  <c r="AD341" i="58"/>
  <c r="AJ340" i="58"/>
  <c r="AI340" i="58"/>
  <c r="AH340" i="58"/>
  <c r="AG340" i="58"/>
  <c r="AF340" i="58"/>
  <c r="AE340" i="58"/>
  <c r="AD340" i="58"/>
  <c r="N342" i="61" l="1"/>
  <c r="Q121" i="60"/>
  <c r="K343" i="62"/>
  <c r="R343" i="62"/>
  <c r="N343" i="62"/>
  <c r="R342" i="61"/>
  <c r="S121" i="60"/>
  <c r="O121" i="60"/>
  <c r="Q343" i="59"/>
  <c r="K343" i="59"/>
  <c r="AA343" i="58"/>
  <c r="W343" i="58"/>
  <c r="X343" i="58"/>
  <c r="W343" i="62"/>
  <c r="AA343" i="62"/>
  <c r="O343" i="62"/>
  <c r="X343" i="62"/>
  <c r="AB343" i="62"/>
  <c r="Y343" i="62"/>
  <c r="L343" i="62"/>
  <c r="W342" i="61"/>
  <c r="AA342" i="61"/>
  <c r="AB342" i="61"/>
  <c r="K342" i="61"/>
  <c r="P342" i="61"/>
  <c r="Y342" i="61"/>
  <c r="L342" i="61"/>
  <c r="X121" i="60"/>
  <c r="L121" i="60"/>
  <c r="N121" i="60"/>
  <c r="R121" i="60"/>
  <c r="AB121" i="60"/>
  <c r="K121" i="60"/>
  <c r="N343" i="59"/>
  <c r="R343" i="59"/>
  <c r="W343" i="59"/>
  <c r="AA343" i="59"/>
  <c r="X343" i="59"/>
  <c r="AB343" i="59"/>
  <c r="L343" i="59"/>
  <c r="V343" i="59"/>
  <c r="N343" i="58"/>
  <c r="K343" i="58"/>
  <c r="Y343" i="58"/>
  <c r="R343" i="58"/>
  <c r="L343" i="58"/>
  <c r="AJ308" i="62"/>
  <c r="AI308" i="62"/>
  <c r="AH308" i="62"/>
  <c r="AG308" i="62"/>
  <c r="AF308" i="62"/>
  <c r="AE308" i="62"/>
  <c r="AD308" i="62"/>
  <c r="AJ307" i="62"/>
  <c r="AI307" i="62"/>
  <c r="AH307" i="62"/>
  <c r="AG307" i="62"/>
  <c r="AF307" i="62"/>
  <c r="AE307" i="62"/>
  <c r="AD307" i="62"/>
  <c r="J307" i="62"/>
  <c r="T307" i="62" s="1"/>
  <c r="I307" i="62"/>
  <c r="AA307" i="62" s="1"/>
  <c r="H307" i="62"/>
  <c r="R307" i="62" s="1"/>
  <c r="G307" i="62"/>
  <c r="Y307" i="62" s="1"/>
  <c r="F307" i="62"/>
  <c r="P307" i="62" s="1"/>
  <c r="E307" i="62"/>
  <c r="O307" i="62" s="1"/>
  <c r="D307" i="62"/>
  <c r="AJ306" i="62"/>
  <c r="AI306" i="62"/>
  <c r="AH306" i="62"/>
  <c r="AG306" i="62"/>
  <c r="AF306" i="62"/>
  <c r="AE306" i="62"/>
  <c r="AD306" i="62"/>
  <c r="AJ305" i="62"/>
  <c r="AI305" i="62"/>
  <c r="AH305" i="62"/>
  <c r="AG305" i="62"/>
  <c r="AF305" i="62"/>
  <c r="AE305" i="62"/>
  <c r="AD305" i="62"/>
  <c r="AJ304" i="62"/>
  <c r="AI304" i="62"/>
  <c r="AH304" i="62"/>
  <c r="AG304" i="62"/>
  <c r="AF304" i="62"/>
  <c r="AE304" i="62"/>
  <c r="AD304" i="62"/>
  <c r="AJ307" i="61"/>
  <c r="AI307" i="61"/>
  <c r="AH307" i="61"/>
  <c r="AG307" i="61"/>
  <c r="AF307" i="61"/>
  <c r="AE307" i="61"/>
  <c r="AD307" i="61"/>
  <c r="AJ306" i="61"/>
  <c r="AI306" i="61"/>
  <c r="AH306" i="61"/>
  <c r="AG306" i="61"/>
  <c r="AF306" i="61"/>
  <c r="AE306" i="61"/>
  <c r="AD306" i="61"/>
  <c r="J306" i="61"/>
  <c r="T306" i="61" s="1"/>
  <c r="I306" i="61"/>
  <c r="AA306" i="61" s="1"/>
  <c r="H306" i="61"/>
  <c r="R306" i="61" s="1"/>
  <c r="G306" i="61"/>
  <c r="Y306" i="61" s="1"/>
  <c r="F306" i="61"/>
  <c r="P306" i="61" s="1"/>
  <c r="E306" i="61"/>
  <c r="W306" i="61" s="1"/>
  <c r="AJ305" i="61"/>
  <c r="AI305" i="61"/>
  <c r="AH305" i="61"/>
  <c r="AG305" i="61"/>
  <c r="AF305" i="61"/>
  <c r="AE305" i="61"/>
  <c r="AD305" i="61"/>
  <c r="AJ304" i="61"/>
  <c r="AI304" i="61"/>
  <c r="AH304" i="61"/>
  <c r="AG304" i="61"/>
  <c r="AF304" i="61"/>
  <c r="AE304" i="61"/>
  <c r="AD304" i="61"/>
  <c r="AJ303" i="61"/>
  <c r="AI303" i="61"/>
  <c r="AH303" i="61"/>
  <c r="AG303" i="61"/>
  <c r="AF303" i="61"/>
  <c r="AE303" i="61"/>
  <c r="AD303" i="61"/>
  <c r="AJ86" i="60"/>
  <c r="AI86" i="60"/>
  <c r="AH86" i="60"/>
  <c r="AG86" i="60"/>
  <c r="AF86" i="60"/>
  <c r="AE86" i="60"/>
  <c r="AD86" i="60"/>
  <c r="AJ85" i="60"/>
  <c r="AI85" i="60"/>
  <c r="AH85" i="60"/>
  <c r="AG85" i="60"/>
  <c r="AF85" i="60"/>
  <c r="AE85" i="60"/>
  <c r="AD85" i="60"/>
  <c r="J85" i="60"/>
  <c r="T85" i="60" s="1"/>
  <c r="I85" i="60"/>
  <c r="AA85" i="60" s="1"/>
  <c r="H85" i="60"/>
  <c r="R85" i="60" s="1"/>
  <c r="G85" i="60"/>
  <c r="Y85" i="60" s="1"/>
  <c r="P85" i="60"/>
  <c r="E85" i="60"/>
  <c r="W85" i="60" s="1"/>
  <c r="D85" i="60"/>
  <c r="AJ84" i="60"/>
  <c r="AI84" i="60"/>
  <c r="AH84" i="60"/>
  <c r="AG84" i="60"/>
  <c r="AF84" i="60"/>
  <c r="AE84" i="60"/>
  <c r="AD84" i="60"/>
  <c r="AJ83" i="60"/>
  <c r="AI83" i="60"/>
  <c r="AH83" i="60"/>
  <c r="AG83" i="60"/>
  <c r="AF83" i="60"/>
  <c r="AE83" i="60"/>
  <c r="AD83" i="60"/>
  <c r="AJ82" i="60"/>
  <c r="AI82" i="60"/>
  <c r="AH82" i="60"/>
  <c r="AG82" i="60"/>
  <c r="AF82" i="60"/>
  <c r="AE82" i="60"/>
  <c r="AD82" i="60"/>
  <c r="AJ308" i="59"/>
  <c r="AI308" i="59"/>
  <c r="AH308" i="59"/>
  <c r="AG308" i="59"/>
  <c r="AF308" i="59"/>
  <c r="AE308" i="59"/>
  <c r="AD308" i="59"/>
  <c r="AJ307" i="59"/>
  <c r="AI307" i="59"/>
  <c r="AH307" i="59"/>
  <c r="AG307" i="59"/>
  <c r="AF307" i="59"/>
  <c r="AE307" i="59"/>
  <c r="AD307" i="59"/>
  <c r="J307" i="59"/>
  <c r="T307" i="59" s="1"/>
  <c r="I307" i="59"/>
  <c r="S307" i="59" s="1"/>
  <c r="Z307" i="59"/>
  <c r="G307" i="59"/>
  <c r="Q307" i="59" s="1"/>
  <c r="F307" i="59"/>
  <c r="X307" i="59" s="1"/>
  <c r="E307" i="59"/>
  <c r="O307" i="59" s="1"/>
  <c r="V307" i="59"/>
  <c r="AJ306" i="59"/>
  <c r="AI306" i="59"/>
  <c r="AH306" i="59"/>
  <c r="AG306" i="59"/>
  <c r="AF306" i="59"/>
  <c r="AE306" i="59"/>
  <c r="AD306" i="59"/>
  <c r="AJ305" i="59"/>
  <c r="AI305" i="59"/>
  <c r="AH305" i="59"/>
  <c r="AG305" i="59"/>
  <c r="AF305" i="59"/>
  <c r="AE305" i="59"/>
  <c r="AD305" i="59"/>
  <c r="AJ304" i="59"/>
  <c r="AI304" i="59"/>
  <c r="AH304" i="59"/>
  <c r="AG304" i="59"/>
  <c r="AF304" i="59"/>
  <c r="AE304" i="59"/>
  <c r="AD304" i="59"/>
  <c r="K306" i="61" l="1"/>
  <c r="K85" i="60"/>
  <c r="Q85" i="60"/>
  <c r="Q307" i="62"/>
  <c r="K307" i="62"/>
  <c r="Q306" i="61"/>
  <c r="S85" i="60"/>
  <c r="O85" i="60"/>
  <c r="N307" i="59"/>
  <c r="R307" i="59"/>
  <c r="Z307" i="62"/>
  <c r="N307" i="62"/>
  <c r="W307" i="62"/>
  <c r="S307" i="62"/>
  <c r="X307" i="62"/>
  <c r="AB307" i="62"/>
  <c r="L307" i="62"/>
  <c r="V307" i="62"/>
  <c r="Z306" i="61"/>
  <c r="O306" i="61"/>
  <c r="S306" i="61"/>
  <c r="X306" i="61"/>
  <c r="AB306" i="61"/>
  <c r="L306" i="61"/>
  <c r="V306" i="61"/>
  <c r="N306" i="61"/>
  <c r="L85" i="60"/>
  <c r="V85" i="60"/>
  <c r="Z85" i="60"/>
  <c r="N85" i="60"/>
  <c r="X85" i="60"/>
  <c r="AB85" i="60"/>
  <c r="AA307" i="59"/>
  <c r="AB307" i="59"/>
  <c r="K307" i="59"/>
  <c r="P307" i="59"/>
  <c r="Y307" i="59"/>
  <c r="W307" i="59"/>
  <c r="L307" i="59"/>
  <c r="AJ254" i="61" l="1"/>
  <c r="AI254" i="61"/>
  <c r="AH254" i="61"/>
  <c r="AG254" i="61"/>
  <c r="AF254" i="61"/>
  <c r="AE254" i="61"/>
  <c r="AD254" i="61"/>
  <c r="AJ253" i="61"/>
  <c r="AI253" i="61"/>
  <c r="AH253" i="61"/>
  <c r="AG253" i="61"/>
  <c r="AF253" i="61"/>
  <c r="AE253" i="61"/>
  <c r="AD253" i="61"/>
  <c r="AB253" i="61"/>
  <c r="AA253" i="61"/>
  <c r="Z253" i="61"/>
  <c r="Y253" i="61"/>
  <c r="X253" i="61"/>
  <c r="W253" i="61"/>
  <c r="V253" i="61"/>
  <c r="T253" i="61"/>
  <c r="S253" i="61"/>
  <c r="R253" i="61"/>
  <c r="Q253" i="61"/>
  <c r="P253" i="61"/>
  <c r="O253" i="61"/>
  <c r="N253" i="61"/>
  <c r="L253" i="61"/>
  <c r="K253" i="61"/>
  <c r="AJ252" i="61"/>
  <c r="AI252" i="61"/>
  <c r="AH252" i="61"/>
  <c r="AG252" i="61"/>
  <c r="AF252" i="61"/>
  <c r="AE252" i="61"/>
  <c r="AD252" i="61"/>
  <c r="AJ251" i="61"/>
  <c r="AI251" i="61"/>
  <c r="AH251" i="61"/>
  <c r="AG251" i="61"/>
  <c r="AF251" i="61"/>
  <c r="AE251" i="61"/>
  <c r="AD251" i="61"/>
  <c r="AJ250" i="61"/>
  <c r="AI250" i="61"/>
  <c r="AH250" i="61"/>
  <c r="AG250" i="61"/>
  <c r="AF250" i="61"/>
  <c r="AE250" i="61"/>
  <c r="AD250" i="61"/>
  <c r="AJ194" i="60" l="1"/>
  <c r="AI194" i="60"/>
  <c r="AH194" i="60"/>
  <c r="AG194" i="60"/>
  <c r="AF194" i="60"/>
  <c r="AE194" i="60"/>
  <c r="AD194" i="60"/>
  <c r="AJ193" i="60"/>
  <c r="AI193" i="60"/>
  <c r="AH193" i="60"/>
  <c r="AG193" i="60"/>
  <c r="AF193" i="60"/>
  <c r="AE193" i="60"/>
  <c r="AD193" i="60"/>
  <c r="J193" i="60"/>
  <c r="T193" i="60" s="1"/>
  <c r="I193" i="60"/>
  <c r="AA193" i="60" s="1"/>
  <c r="H193" i="60"/>
  <c r="Z193" i="60" s="1"/>
  <c r="G193" i="60"/>
  <c r="Q193" i="60" s="1"/>
  <c r="F193" i="60"/>
  <c r="P193" i="60" s="1"/>
  <c r="E193" i="60"/>
  <c r="W193" i="60" s="1"/>
  <c r="D193" i="60"/>
  <c r="V193" i="60" s="1"/>
  <c r="AJ192" i="60"/>
  <c r="AI192" i="60"/>
  <c r="AH192" i="60"/>
  <c r="AG192" i="60"/>
  <c r="AF192" i="60"/>
  <c r="AE192" i="60"/>
  <c r="AD192" i="60"/>
  <c r="AJ191" i="60"/>
  <c r="AI191" i="60"/>
  <c r="AH191" i="60"/>
  <c r="AG191" i="60"/>
  <c r="AF191" i="60"/>
  <c r="AE191" i="60"/>
  <c r="AD191" i="60"/>
  <c r="AJ190" i="60"/>
  <c r="AI190" i="60"/>
  <c r="AH190" i="60"/>
  <c r="AG190" i="60"/>
  <c r="AF190" i="60"/>
  <c r="AE190" i="60"/>
  <c r="AD190" i="60"/>
  <c r="AJ338" i="62"/>
  <c r="AI338" i="62"/>
  <c r="AH338" i="62"/>
  <c r="AG338" i="62"/>
  <c r="AF338" i="62"/>
  <c r="AE338" i="62"/>
  <c r="AD338" i="62"/>
  <c r="AJ337" i="62"/>
  <c r="AI337" i="62"/>
  <c r="AH337" i="62"/>
  <c r="AG337" i="62"/>
  <c r="AF337" i="62"/>
  <c r="AE337" i="62"/>
  <c r="AD337" i="62"/>
  <c r="J337" i="62"/>
  <c r="T337" i="62" s="1"/>
  <c r="I337" i="62"/>
  <c r="AA337" i="62" s="1"/>
  <c r="H337" i="62"/>
  <c r="Z337" i="62" s="1"/>
  <c r="G337" i="62"/>
  <c r="Q337" i="62" s="1"/>
  <c r="F337" i="62"/>
  <c r="P337" i="62" s="1"/>
  <c r="E337" i="62"/>
  <c r="W337" i="62" s="1"/>
  <c r="D337" i="62"/>
  <c r="V337" i="62" s="1"/>
  <c r="AJ336" i="62"/>
  <c r="AI336" i="62"/>
  <c r="AH336" i="62"/>
  <c r="AG336" i="62"/>
  <c r="AF336" i="62"/>
  <c r="AE336" i="62"/>
  <c r="AD336" i="62"/>
  <c r="AJ335" i="62"/>
  <c r="AI335" i="62"/>
  <c r="AH335" i="62"/>
  <c r="AG335" i="62"/>
  <c r="AF335" i="62"/>
  <c r="AE335" i="62"/>
  <c r="AD335" i="62"/>
  <c r="AJ334" i="62"/>
  <c r="AI334" i="62"/>
  <c r="AH334" i="62"/>
  <c r="AG334" i="62"/>
  <c r="AF334" i="62"/>
  <c r="AE334" i="62"/>
  <c r="AD334" i="62"/>
  <c r="AJ337" i="61"/>
  <c r="AI337" i="61"/>
  <c r="AH337" i="61"/>
  <c r="AG337" i="61"/>
  <c r="AF337" i="61"/>
  <c r="AE337" i="61"/>
  <c r="AD337" i="61"/>
  <c r="AJ336" i="61"/>
  <c r="AI336" i="61"/>
  <c r="AH336" i="61"/>
  <c r="AG336" i="61"/>
  <c r="AF336" i="61"/>
  <c r="AE336" i="61"/>
  <c r="AD336" i="61"/>
  <c r="J336" i="61"/>
  <c r="T336" i="61" s="1"/>
  <c r="I336" i="61"/>
  <c r="AA336" i="61" s="1"/>
  <c r="H336" i="61"/>
  <c r="Z336" i="61" s="1"/>
  <c r="G336" i="61"/>
  <c r="Q336" i="61" s="1"/>
  <c r="F336" i="61"/>
  <c r="P336" i="61" s="1"/>
  <c r="E336" i="61"/>
  <c r="W336" i="61" s="1"/>
  <c r="D336" i="61"/>
  <c r="V336" i="61" s="1"/>
  <c r="AJ335" i="61"/>
  <c r="AI335" i="61"/>
  <c r="AH335" i="61"/>
  <c r="AG335" i="61"/>
  <c r="AF335" i="61"/>
  <c r="AE335" i="61"/>
  <c r="AD335" i="61"/>
  <c r="AJ334" i="61"/>
  <c r="AI334" i="61"/>
  <c r="AH334" i="61"/>
  <c r="AG334" i="61"/>
  <c r="AF334" i="61"/>
  <c r="AE334" i="61"/>
  <c r="AD334" i="61"/>
  <c r="AJ333" i="61"/>
  <c r="AI333" i="61"/>
  <c r="AH333" i="61"/>
  <c r="AG333" i="61"/>
  <c r="AF333" i="61"/>
  <c r="AE333" i="61"/>
  <c r="AD333" i="61"/>
  <c r="AJ116" i="60"/>
  <c r="AI116" i="60"/>
  <c r="AH116" i="60"/>
  <c r="AG116" i="60"/>
  <c r="AF116" i="60"/>
  <c r="AE116" i="60"/>
  <c r="AD116" i="60"/>
  <c r="AJ115" i="60"/>
  <c r="AI115" i="60"/>
  <c r="AH115" i="60"/>
  <c r="AG115" i="60"/>
  <c r="AF115" i="60"/>
  <c r="AE115" i="60"/>
  <c r="AD115" i="60"/>
  <c r="J115" i="60"/>
  <c r="T115" i="60" s="1"/>
  <c r="I115" i="60"/>
  <c r="S115" i="60" s="1"/>
  <c r="H115" i="60"/>
  <c r="Z115" i="60" s="1"/>
  <c r="G115" i="60"/>
  <c r="Q115" i="60" s="1"/>
  <c r="F115" i="60"/>
  <c r="P115" i="60" s="1"/>
  <c r="E115" i="60"/>
  <c r="D115" i="60"/>
  <c r="V115" i="60" s="1"/>
  <c r="AJ114" i="60"/>
  <c r="AI114" i="60"/>
  <c r="AH114" i="60"/>
  <c r="AG114" i="60"/>
  <c r="AF114" i="60"/>
  <c r="AE114" i="60"/>
  <c r="AD114" i="60"/>
  <c r="AJ113" i="60"/>
  <c r="AI113" i="60"/>
  <c r="AH113" i="60"/>
  <c r="AG113" i="60"/>
  <c r="AF113" i="60"/>
  <c r="AE113" i="60"/>
  <c r="AD113" i="60"/>
  <c r="AJ112" i="60"/>
  <c r="AI112" i="60"/>
  <c r="AH112" i="60"/>
  <c r="AG112" i="60"/>
  <c r="AF112" i="60"/>
  <c r="AE112" i="60"/>
  <c r="AD112" i="60"/>
  <c r="AJ338" i="59"/>
  <c r="AI338" i="59"/>
  <c r="AH338" i="59"/>
  <c r="AG338" i="59"/>
  <c r="AF338" i="59"/>
  <c r="AE338" i="59"/>
  <c r="AD338" i="59"/>
  <c r="AJ337" i="59"/>
  <c r="AI337" i="59"/>
  <c r="AH337" i="59"/>
  <c r="AG337" i="59"/>
  <c r="AF337" i="59"/>
  <c r="AE337" i="59"/>
  <c r="AD337" i="59"/>
  <c r="J337" i="59"/>
  <c r="AB337" i="59" s="1"/>
  <c r="I337" i="59"/>
  <c r="S337" i="59" s="1"/>
  <c r="H337" i="59"/>
  <c r="Z337" i="59" s="1"/>
  <c r="G337" i="59"/>
  <c r="Q337" i="59" s="1"/>
  <c r="F337" i="59"/>
  <c r="X337" i="59" s="1"/>
  <c r="E337" i="59"/>
  <c r="W337" i="59" s="1"/>
  <c r="D337" i="59"/>
  <c r="V337" i="59" s="1"/>
  <c r="AJ336" i="59"/>
  <c r="AI336" i="59"/>
  <c r="AH336" i="59"/>
  <c r="AG336" i="59"/>
  <c r="AF336" i="59"/>
  <c r="AE336" i="59"/>
  <c r="AD336" i="59"/>
  <c r="AJ335" i="59"/>
  <c r="AI335" i="59"/>
  <c r="AH335" i="59"/>
  <c r="AG335" i="59"/>
  <c r="AF335" i="59"/>
  <c r="AE335" i="59"/>
  <c r="AD335" i="59"/>
  <c r="AJ334" i="59"/>
  <c r="AI334" i="59"/>
  <c r="AH334" i="59"/>
  <c r="AG334" i="59"/>
  <c r="AF334" i="59"/>
  <c r="AE334" i="59"/>
  <c r="AD334" i="59"/>
  <c r="AJ338" i="58"/>
  <c r="AI338" i="58"/>
  <c r="AH338" i="58"/>
  <c r="AG338" i="58"/>
  <c r="AF338" i="58"/>
  <c r="AE338" i="58"/>
  <c r="AD338" i="58"/>
  <c r="AJ337" i="58"/>
  <c r="AI337" i="58"/>
  <c r="AH337" i="58"/>
  <c r="AG337" i="58"/>
  <c r="AF337" i="58"/>
  <c r="AE337" i="58"/>
  <c r="AD337" i="58"/>
  <c r="AB337" i="58"/>
  <c r="T337" i="58"/>
  <c r="I337" i="58"/>
  <c r="S337" i="58" s="1"/>
  <c r="H337" i="58"/>
  <c r="R337" i="58" s="1"/>
  <c r="G337" i="58"/>
  <c r="Y337" i="58" s="1"/>
  <c r="F337" i="58"/>
  <c r="P337" i="58" s="1"/>
  <c r="E337" i="58"/>
  <c r="O337" i="58" s="1"/>
  <c r="D337" i="58"/>
  <c r="V337" i="58" s="1"/>
  <c r="AJ336" i="58"/>
  <c r="AI336" i="58"/>
  <c r="AH336" i="58"/>
  <c r="AG336" i="58"/>
  <c r="AF336" i="58"/>
  <c r="AE336" i="58"/>
  <c r="AD336" i="58"/>
  <c r="AJ335" i="58"/>
  <c r="AI335" i="58"/>
  <c r="AH335" i="58"/>
  <c r="AG335" i="58"/>
  <c r="AF335" i="58"/>
  <c r="AE335" i="58"/>
  <c r="AD335" i="58"/>
  <c r="AJ334" i="58"/>
  <c r="AI334" i="58"/>
  <c r="AH334" i="58"/>
  <c r="AG334" i="58"/>
  <c r="AF334" i="58"/>
  <c r="AE334" i="58"/>
  <c r="AD334" i="58"/>
  <c r="O336" i="61" l="1"/>
  <c r="N115" i="60"/>
  <c r="S193" i="60"/>
  <c r="O337" i="62"/>
  <c r="S337" i="62"/>
  <c r="Z337" i="58"/>
  <c r="K337" i="58"/>
  <c r="X337" i="58"/>
  <c r="N337" i="59"/>
  <c r="R337" i="59"/>
  <c r="K115" i="60"/>
  <c r="O193" i="60"/>
  <c r="R115" i="60"/>
  <c r="S336" i="61"/>
  <c r="N193" i="60"/>
  <c r="R193" i="60"/>
  <c r="X193" i="60"/>
  <c r="AB193" i="60"/>
  <c r="K193" i="60"/>
  <c r="Y193" i="60"/>
  <c r="L193" i="60"/>
  <c r="X337" i="62"/>
  <c r="N337" i="62"/>
  <c r="R337" i="62"/>
  <c r="AB337" i="62"/>
  <c r="K337" i="62"/>
  <c r="Y337" i="62"/>
  <c r="L337" i="62"/>
  <c r="X336" i="61"/>
  <c r="N336" i="61"/>
  <c r="R336" i="61"/>
  <c r="AB336" i="61"/>
  <c r="K336" i="61"/>
  <c r="Y336" i="61"/>
  <c r="L336" i="61"/>
  <c r="W115" i="60"/>
  <c r="AA115" i="60"/>
  <c r="O115" i="60"/>
  <c r="X115" i="60"/>
  <c r="AB115" i="60"/>
  <c r="Y115" i="60"/>
  <c r="L115" i="60"/>
  <c r="O337" i="59"/>
  <c r="K337" i="59"/>
  <c r="P337" i="59"/>
  <c r="T337" i="59"/>
  <c r="Y337" i="59"/>
  <c r="AA337" i="59"/>
  <c r="L337" i="59"/>
  <c r="L337" i="58"/>
  <c r="Q337" i="58"/>
  <c r="N337" i="58"/>
  <c r="W337" i="58"/>
  <c r="AA337" i="58"/>
  <c r="AJ242" i="58"/>
  <c r="AI242" i="58"/>
  <c r="AH242" i="58"/>
  <c r="AG242" i="58"/>
  <c r="AF242" i="58"/>
  <c r="AE242" i="58"/>
  <c r="AD242" i="58"/>
  <c r="AJ241" i="58"/>
  <c r="AI241" i="58"/>
  <c r="AH241" i="58"/>
  <c r="AG241" i="58"/>
  <c r="AF241" i="58"/>
  <c r="AE241" i="58"/>
  <c r="AD241" i="58"/>
  <c r="V241" i="58"/>
  <c r="N241" i="58"/>
  <c r="J241" i="58"/>
  <c r="AB241" i="58" s="1"/>
  <c r="I241" i="58"/>
  <c r="AA241" i="58" s="1"/>
  <c r="H241" i="58"/>
  <c r="Z241" i="58" s="1"/>
  <c r="G241" i="58"/>
  <c r="Q241" i="58" s="1"/>
  <c r="F241" i="58"/>
  <c r="X241" i="58" s="1"/>
  <c r="E241" i="58"/>
  <c r="AJ240" i="58"/>
  <c r="AI240" i="58"/>
  <c r="AH240" i="58"/>
  <c r="AG240" i="58"/>
  <c r="AF240" i="58"/>
  <c r="AE240" i="58"/>
  <c r="AD240" i="58"/>
  <c r="AJ239" i="58"/>
  <c r="AI239" i="58"/>
  <c r="AH239" i="58"/>
  <c r="AG239" i="58"/>
  <c r="AF239" i="58"/>
  <c r="AE239" i="58"/>
  <c r="AD239" i="58"/>
  <c r="AJ238" i="58"/>
  <c r="AI238" i="58"/>
  <c r="AH238" i="58"/>
  <c r="AG238" i="58"/>
  <c r="AF238" i="58"/>
  <c r="AE238" i="58"/>
  <c r="AD238" i="58"/>
  <c r="AJ20" i="59"/>
  <c r="AI20" i="59"/>
  <c r="AH20" i="59"/>
  <c r="AG20" i="59"/>
  <c r="AF20" i="59"/>
  <c r="AE20" i="59"/>
  <c r="AD20" i="59"/>
  <c r="AJ19" i="59"/>
  <c r="AI19" i="59"/>
  <c r="AH19" i="59"/>
  <c r="AG19" i="59"/>
  <c r="AF19" i="59"/>
  <c r="AE19" i="59"/>
  <c r="AD19" i="59"/>
  <c r="AB19" i="59"/>
  <c r="AA19" i="59"/>
  <c r="Z19" i="59"/>
  <c r="Y19" i="59"/>
  <c r="X19" i="59"/>
  <c r="W19" i="59"/>
  <c r="V19" i="59"/>
  <c r="T19" i="59"/>
  <c r="S19" i="59"/>
  <c r="R19" i="59"/>
  <c r="Q19" i="59"/>
  <c r="P19" i="59"/>
  <c r="O19" i="59"/>
  <c r="N19" i="59"/>
  <c r="L19" i="59"/>
  <c r="K19" i="59"/>
  <c r="AJ18" i="59"/>
  <c r="AI18" i="59"/>
  <c r="AH18" i="59"/>
  <c r="AG18" i="59"/>
  <c r="AF18" i="59"/>
  <c r="AE18" i="59"/>
  <c r="AD18" i="59"/>
  <c r="AJ17" i="59"/>
  <c r="AI17" i="59"/>
  <c r="AH17" i="59"/>
  <c r="AG17" i="59"/>
  <c r="AF17" i="59"/>
  <c r="AE17" i="59"/>
  <c r="AD17" i="59"/>
  <c r="AJ16" i="59"/>
  <c r="AI16" i="59"/>
  <c r="AH16" i="59"/>
  <c r="AG16" i="59"/>
  <c r="AF16" i="59"/>
  <c r="AE16" i="59"/>
  <c r="AD16" i="59"/>
  <c r="AJ20" i="60"/>
  <c r="AI20" i="60"/>
  <c r="AH20" i="60"/>
  <c r="AG20" i="60"/>
  <c r="AF20" i="60"/>
  <c r="AE20" i="60"/>
  <c r="AD20" i="60"/>
  <c r="AJ19" i="60"/>
  <c r="AI19" i="60"/>
  <c r="AH19" i="60"/>
  <c r="AG19" i="60"/>
  <c r="AF19" i="60"/>
  <c r="AE19" i="60"/>
  <c r="AD19" i="60"/>
  <c r="AB19" i="60"/>
  <c r="AA19" i="60"/>
  <c r="Z19" i="60"/>
  <c r="Y19" i="60"/>
  <c r="X19" i="60"/>
  <c r="W19" i="60"/>
  <c r="V19" i="60"/>
  <c r="T19" i="60"/>
  <c r="S19" i="60"/>
  <c r="R19" i="60"/>
  <c r="Q19" i="60"/>
  <c r="P19" i="60"/>
  <c r="O19" i="60"/>
  <c r="N19" i="60"/>
  <c r="L19" i="60"/>
  <c r="K19" i="60"/>
  <c r="AJ18" i="60"/>
  <c r="AI18" i="60"/>
  <c r="AH18" i="60"/>
  <c r="AG18" i="60"/>
  <c r="AF18" i="60"/>
  <c r="AE18" i="60"/>
  <c r="AD18" i="60"/>
  <c r="AJ17" i="60"/>
  <c r="AI17" i="60"/>
  <c r="AH17" i="60"/>
  <c r="AG17" i="60"/>
  <c r="AF17" i="60"/>
  <c r="AE17" i="60"/>
  <c r="AD17" i="60"/>
  <c r="AJ16" i="60"/>
  <c r="AI16" i="60"/>
  <c r="AH16" i="60"/>
  <c r="AG16" i="60"/>
  <c r="AF16" i="60"/>
  <c r="AE16" i="60"/>
  <c r="AD16" i="60"/>
  <c r="AJ242" i="61"/>
  <c r="AI242" i="61"/>
  <c r="AH242" i="61"/>
  <c r="AG242" i="61"/>
  <c r="AF242" i="61"/>
  <c r="AE242" i="61"/>
  <c r="AD242" i="61"/>
  <c r="AJ241" i="61"/>
  <c r="AI241" i="61"/>
  <c r="AH241" i="61"/>
  <c r="AG241" i="61"/>
  <c r="AF241" i="61"/>
  <c r="AE241" i="61"/>
  <c r="AD241" i="61"/>
  <c r="AB241" i="61"/>
  <c r="AA241" i="61"/>
  <c r="Z241" i="61"/>
  <c r="Y241" i="61"/>
  <c r="X241" i="61"/>
  <c r="W241" i="61"/>
  <c r="V241" i="61"/>
  <c r="T241" i="61"/>
  <c r="S241" i="61"/>
  <c r="R241" i="61"/>
  <c r="Q241" i="61"/>
  <c r="P241" i="61"/>
  <c r="O241" i="61"/>
  <c r="N241" i="61"/>
  <c r="L241" i="61"/>
  <c r="K241" i="61"/>
  <c r="AJ240" i="61"/>
  <c r="AI240" i="61"/>
  <c r="AH240" i="61"/>
  <c r="AG240" i="61"/>
  <c r="AF240" i="61"/>
  <c r="AE240" i="61"/>
  <c r="AD240" i="61"/>
  <c r="AJ239" i="61"/>
  <c r="AI239" i="61"/>
  <c r="AH239" i="61"/>
  <c r="AG239" i="61"/>
  <c r="AF239" i="61"/>
  <c r="AE239" i="61"/>
  <c r="AD239" i="61"/>
  <c r="AJ238" i="61"/>
  <c r="AI238" i="61"/>
  <c r="AH238" i="61"/>
  <c r="AG238" i="61"/>
  <c r="AF238" i="61"/>
  <c r="AE238" i="61"/>
  <c r="AD238" i="61"/>
  <c r="AJ242" i="62"/>
  <c r="AI242" i="62"/>
  <c r="AH242" i="62"/>
  <c r="AG242" i="62"/>
  <c r="AF242" i="62"/>
  <c r="AE242" i="62"/>
  <c r="AD242" i="62"/>
  <c r="AJ241" i="62"/>
  <c r="AI241" i="62"/>
  <c r="AH241" i="62"/>
  <c r="AG241" i="62"/>
  <c r="AF241" i="62"/>
  <c r="AE241" i="62"/>
  <c r="AD241" i="62"/>
  <c r="J241" i="62"/>
  <c r="AB241" i="62" s="1"/>
  <c r="I241" i="62"/>
  <c r="S241" i="62" s="1"/>
  <c r="H241" i="62"/>
  <c r="Z241" i="62" s="1"/>
  <c r="G241" i="62"/>
  <c r="Q241" i="62" s="1"/>
  <c r="F241" i="62"/>
  <c r="X241" i="62" s="1"/>
  <c r="E241" i="62"/>
  <c r="O241" i="62" s="1"/>
  <c r="D241" i="62"/>
  <c r="N241" i="62" s="1"/>
  <c r="AJ240" i="62"/>
  <c r="AI240" i="62"/>
  <c r="AH240" i="62"/>
  <c r="AG240" i="62"/>
  <c r="AF240" i="62"/>
  <c r="AE240" i="62"/>
  <c r="AD240" i="62"/>
  <c r="AJ239" i="62"/>
  <c r="AI239" i="62"/>
  <c r="AH239" i="62"/>
  <c r="AG239" i="62"/>
  <c r="AF239" i="62"/>
  <c r="AE239" i="62"/>
  <c r="AD239" i="62"/>
  <c r="AJ238" i="62"/>
  <c r="AI238" i="62"/>
  <c r="AH238" i="62"/>
  <c r="AG238" i="62"/>
  <c r="AF238" i="62"/>
  <c r="AE238" i="62"/>
  <c r="AD238" i="62"/>
  <c r="P241" i="62" l="1"/>
  <c r="K241" i="62"/>
  <c r="T241" i="62"/>
  <c r="L241" i="58"/>
  <c r="S241" i="58"/>
  <c r="O241" i="58"/>
  <c r="R241" i="58"/>
  <c r="W241" i="58"/>
  <c r="K241" i="58"/>
  <c r="P241" i="58"/>
  <c r="T241" i="58"/>
  <c r="Y241" i="58"/>
  <c r="L241" i="62"/>
  <c r="V241" i="62"/>
  <c r="R241" i="62"/>
  <c r="W241" i="62"/>
  <c r="AA241" i="62"/>
  <c r="Y241" i="62"/>
  <c r="AJ380" i="62"/>
  <c r="AI380" i="62"/>
  <c r="AH380" i="62"/>
  <c r="AG380" i="62"/>
  <c r="AF380" i="62"/>
  <c r="AE380" i="62"/>
  <c r="AD380" i="62"/>
  <c r="AJ379" i="62"/>
  <c r="AI379" i="62"/>
  <c r="AH379" i="62"/>
  <c r="AG379" i="62"/>
  <c r="AF379" i="62"/>
  <c r="AE379" i="62"/>
  <c r="AD379" i="62"/>
  <c r="J379" i="62"/>
  <c r="T379" i="62" s="1"/>
  <c r="I379" i="62"/>
  <c r="S379" i="62" s="1"/>
  <c r="H379" i="62"/>
  <c r="Z379" i="62" s="1"/>
  <c r="G379" i="62"/>
  <c r="Q379" i="62" s="1"/>
  <c r="F379" i="62"/>
  <c r="P379" i="62" s="1"/>
  <c r="E379" i="62"/>
  <c r="O379" i="62" s="1"/>
  <c r="D379" i="62"/>
  <c r="V379" i="62" s="1"/>
  <c r="AJ378" i="62"/>
  <c r="AI378" i="62"/>
  <c r="AH378" i="62"/>
  <c r="AG378" i="62"/>
  <c r="AF378" i="62"/>
  <c r="AE378" i="62"/>
  <c r="AD378" i="62"/>
  <c r="AJ377" i="62"/>
  <c r="AI377" i="62"/>
  <c r="AH377" i="62"/>
  <c r="AG377" i="62"/>
  <c r="AF377" i="62"/>
  <c r="AE377" i="62"/>
  <c r="AD377" i="62"/>
  <c r="AJ376" i="62"/>
  <c r="AI376" i="62"/>
  <c r="AH376" i="62"/>
  <c r="AG376" i="62"/>
  <c r="AF376" i="62"/>
  <c r="AE376" i="62"/>
  <c r="AD376" i="62"/>
  <c r="AJ379" i="61"/>
  <c r="AI379" i="61"/>
  <c r="AH379" i="61"/>
  <c r="AG379" i="61"/>
  <c r="AF379" i="61"/>
  <c r="AE379" i="61"/>
  <c r="AD379" i="61"/>
  <c r="AJ378" i="61"/>
  <c r="AI378" i="61"/>
  <c r="AH378" i="61"/>
  <c r="AG378" i="61"/>
  <c r="AF378" i="61"/>
  <c r="AE378" i="61"/>
  <c r="AD378" i="61"/>
  <c r="J378" i="61"/>
  <c r="AB378" i="61" s="1"/>
  <c r="I378" i="61"/>
  <c r="S378" i="61" s="1"/>
  <c r="H378" i="61"/>
  <c r="Z378" i="61" s="1"/>
  <c r="G378" i="61"/>
  <c r="Q378" i="61" s="1"/>
  <c r="F378" i="61"/>
  <c r="X378" i="61" s="1"/>
  <c r="E378" i="61"/>
  <c r="O378" i="61" s="1"/>
  <c r="V378" i="61"/>
  <c r="AJ377" i="61"/>
  <c r="AI377" i="61"/>
  <c r="AH377" i="61"/>
  <c r="AG377" i="61"/>
  <c r="AF377" i="61"/>
  <c r="AE377" i="61"/>
  <c r="AD377" i="61"/>
  <c r="AJ376" i="61"/>
  <c r="AI376" i="61"/>
  <c r="AH376" i="61"/>
  <c r="AG376" i="61"/>
  <c r="AF376" i="61"/>
  <c r="AE376" i="61"/>
  <c r="AD376" i="61"/>
  <c r="AJ375" i="61"/>
  <c r="AI375" i="61"/>
  <c r="AH375" i="61"/>
  <c r="AG375" i="61"/>
  <c r="AF375" i="61"/>
  <c r="AE375" i="61"/>
  <c r="AD375" i="61"/>
  <c r="AJ158" i="60"/>
  <c r="AI158" i="60"/>
  <c r="AH158" i="60"/>
  <c r="AG158" i="60"/>
  <c r="AF158" i="60"/>
  <c r="AE158" i="60"/>
  <c r="AD158" i="60"/>
  <c r="AJ157" i="60"/>
  <c r="AI157" i="60"/>
  <c r="AH157" i="60"/>
  <c r="AG157" i="60"/>
  <c r="AF157" i="60"/>
  <c r="AE157" i="60"/>
  <c r="AD157" i="60"/>
  <c r="J157" i="60"/>
  <c r="T157" i="60" s="1"/>
  <c r="I157" i="60"/>
  <c r="AA157" i="60" s="1"/>
  <c r="H157" i="60"/>
  <c r="Z157" i="60" s="1"/>
  <c r="G157" i="60"/>
  <c r="Q157" i="60" s="1"/>
  <c r="F157" i="60"/>
  <c r="P157" i="60" s="1"/>
  <c r="E157" i="60"/>
  <c r="W157" i="60" s="1"/>
  <c r="D157" i="60"/>
  <c r="V157" i="60" s="1"/>
  <c r="AJ156" i="60"/>
  <c r="AI156" i="60"/>
  <c r="AH156" i="60"/>
  <c r="AG156" i="60"/>
  <c r="AF156" i="60"/>
  <c r="AE156" i="60"/>
  <c r="AD156" i="60"/>
  <c r="AJ155" i="60"/>
  <c r="AI155" i="60"/>
  <c r="AH155" i="60"/>
  <c r="AG155" i="60"/>
  <c r="AF155" i="60"/>
  <c r="AE155" i="60"/>
  <c r="AD155" i="60"/>
  <c r="AJ154" i="60"/>
  <c r="AI154" i="60"/>
  <c r="AH154" i="60"/>
  <c r="AG154" i="60"/>
  <c r="AF154" i="60"/>
  <c r="AE154" i="60"/>
  <c r="AD154" i="60"/>
  <c r="AJ380" i="59"/>
  <c r="AI380" i="59"/>
  <c r="AH380" i="59"/>
  <c r="AG380" i="59"/>
  <c r="AF380" i="59"/>
  <c r="AE380" i="59"/>
  <c r="AD380" i="59"/>
  <c r="AJ379" i="59"/>
  <c r="AI379" i="59"/>
  <c r="AH379" i="59"/>
  <c r="AG379" i="59"/>
  <c r="AF379" i="59"/>
  <c r="AE379" i="59"/>
  <c r="AD379" i="59"/>
  <c r="J379" i="59"/>
  <c r="AB379" i="59" s="1"/>
  <c r="I379" i="59"/>
  <c r="S379" i="59" s="1"/>
  <c r="Z379" i="59"/>
  <c r="G379" i="59"/>
  <c r="Q379" i="59" s="1"/>
  <c r="F379" i="59"/>
  <c r="X379" i="59" s="1"/>
  <c r="E379" i="59"/>
  <c r="O379" i="59" s="1"/>
  <c r="D379" i="59"/>
  <c r="V379" i="59" s="1"/>
  <c r="AJ378" i="59"/>
  <c r="AI378" i="59"/>
  <c r="AH378" i="59"/>
  <c r="AG378" i="59"/>
  <c r="AF378" i="59"/>
  <c r="AE378" i="59"/>
  <c r="AD378" i="59"/>
  <c r="AJ377" i="59"/>
  <c r="AI377" i="59"/>
  <c r="AH377" i="59"/>
  <c r="AG377" i="59"/>
  <c r="AF377" i="59"/>
  <c r="AE377" i="59"/>
  <c r="AD377" i="59"/>
  <c r="AJ376" i="59"/>
  <c r="AI376" i="59"/>
  <c r="AH376" i="59"/>
  <c r="AG376" i="59"/>
  <c r="AF376" i="59"/>
  <c r="AE376" i="59"/>
  <c r="AD376" i="59"/>
  <c r="AJ380" i="58"/>
  <c r="AI380" i="58"/>
  <c r="AH380" i="58"/>
  <c r="AG380" i="58"/>
  <c r="AF380" i="58"/>
  <c r="AE380" i="58"/>
  <c r="AD380" i="58"/>
  <c r="AJ379" i="58"/>
  <c r="AI379" i="58"/>
  <c r="AH379" i="58"/>
  <c r="AG379" i="58"/>
  <c r="AF379" i="58"/>
  <c r="AE379" i="58"/>
  <c r="AD379" i="58"/>
  <c r="J379" i="58"/>
  <c r="AB379" i="58" s="1"/>
  <c r="I379" i="58"/>
  <c r="S379" i="58" s="1"/>
  <c r="H379" i="58"/>
  <c r="Z379" i="58" s="1"/>
  <c r="G379" i="58"/>
  <c r="Q379" i="58" s="1"/>
  <c r="F379" i="58"/>
  <c r="X379" i="58" s="1"/>
  <c r="E379" i="58"/>
  <c r="O379" i="58" s="1"/>
  <c r="D379" i="58"/>
  <c r="V379" i="58" s="1"/>
  <c r="AJ378" i="58"/>
  <c r="AI378" i="58"/>
  <c r="AH378" i="58"/>
  <c r="AG378" i="58"/>
  <c r="AF378" i="58"/>
  <c r="AE378" i="58"/>
  <c r="AD378" i="58"/>
  <c r="AJ377" i="58"/>
  <c r="AI377" i="58"/>
  <c r="AH377" i="58"/>
  <c r="AG377" i="58"/>
  <c r="AF377" i="58"/>
  <c r="AE377" i="58"/>
  <c r="AD377" i="58"/>
  <c r="AJ376" i="58"/>
  <c r="AI376" i="58"/>
  <c r="AH376" i="58"/>
  <c r="AG376" i="58"/>
  <c r="AF376" i="58"/>
  <c r="AE376" i="58"/>
  <c r="AD376" i="58"/>
  <c r="T378" i="61" l="1"/>
  <c r="K379" i="58"/>
  <c r="P379" i="58"/>
  <c r="T379" i="58"/>
  <c r="N379" i="59"/>
  <c r="P379" i="59"/>
  <c r="R379" i="59"/>
  <c r="K379" i="59"/>
  <c r="T379" i="59"/>
  <c r="S157" i="60"/>
  <c r="O157" i="60"/>
  <c r="K378" i="61"/>
  <c r="P378" i="61"/>
  <c r="N379" i="62"/>
  <c r="R379" i="62"/>
  <c r="K379" i="62"/>
  <c r="W379" i="62"/>
  <c r="AA379" i="62"/>
  <c r="X379" i="62"/>
  <c r="AB379" i="62"/>
  <c r="Y379" i="62"/>
  <c r="L379" i="62"/>
  <c r="N378" i="61"/>
  <c r="R378" i="61"/>
  <c r="W378" i="61"/>
  <c r="AA378" i="61"/>
  <c r="Y378" i="61"/>
  <c r="L378" i="61"/>
  <c r="N157" i="60"/>
  <c r="R157" i="60"/>
  <c r="X157" i="60"/>
  <c r="AB157" i="60"/>
  <c r="K157" i="60"/>
  <c r="Y157" i="60"/>
  <c r="L157" i="60"/>
  <c r="W379" i="59"/>
  <c r="AA379" i="59"/>
  <c r="Y379" i="59"/>
  <c r="L379" i="59"/>
  <c r="N379" i="58"/>
  <c r="R379" i="58"/>
  <c r="W379" i="58"/>
  <c r="AA379" i="58"/>
  <c r="Y379" i="58"/>
  <c r="L379" i="58"/>
  <c r="AJ278" i="62" l="1"/>
  <c r="AI278" i="62"/>
  <c r="AH278" i="62"/>
  <c r="AG278" i="62"/>
  <c r="AF278" i="62"/>
  <c r="AE278" i="62"/>
  <c r="AD278" i="62"/>
  <c r="AJ277" i="62"/>
  <c r="AI277" i="62"/>
  <c r="AH277" i="62"/>
  <c r="AG277" i="62"/>
  <c r="AF277" i="62"/>
  <c r="AE277" i="62"/>
  <c r="AD277" i="62"/>
  <c r="J277" i="62"/>
  <c r="T277" i="62" s="1"/>
  <c r="I277" i="62"/>
  <c r="S277" i="62" s="1"/>
  <c r="H277" i="62"/>
  <c r="R277" i="62" s="1"/>
  <c r="G277" i="62"/>
  <c r="Y277" i="62" s="1"/>
  <c r="F277" i="62"/>
  <c r="P277" i="62" s="1"/>
  <c r="E277" i="62"/>
  <c r="W277" i="62" s="1"/>
  <c r="D277" i="62"/>
  <c r="AJ276" i="62"/>
  <c r="AI276" i="62"/>
  <c r="AH276" i="62"/>
  <c r="AG276" i="62"/>
  <c r="AF276" i="62"/>
  <c r="AE276" i="62"/>
  <c r="AD276" i="62"/>
  <c r="AJ275" i="62"/>
  <c r="AI275" i="62"/>
  <c r="AH275" i="62"/>
  <c r="AG275" i="62"/>
  <c r="AF275" i="62"/>
  <c r="AE275" i="62"/>
  <c r="AD275" i="62"/>
  <c r="AJ274" i="62"/>
  <c r="AI274" i="62"/>
  <c r="AH274" i="62"/>
  <c r="AG274" i="62"/>
  <c r="AF274" i="62"/>
  <c r="AE274" i="62"/>
  <c r="AD274" i="62"/>
  <c r="AJ278" i="61"/>
  <c r="AI278" i="61"/>
  <c r="AH278" i="61"/>
  <c r="AG278" i="61"/>
  <c r="AF278" i="61"/>
  <c r="AE278" i="61"/>
  <c r="AD278" i="61"/>
  <c r="AJ277" i="61"/>
  <c r="AI277" i="61"/>
  <c r="AH277" i="61"/>
  <c r="AG277" i="61"/>
  <c r="AF277" i="61"/>
  <c r="AE277" i="61"/>
  <c r="AD277" i="61"/>
  <c r="J277" i="61"/>
  <c r="T277" i="61" s="1"/>
  <c r="AA277" i="61"/>
  <c r="H277" i="61"/>
  <c r="R277" i="61" s="1"/>
  <c r="G277" i="61"/>
  <c r="Y277" i="61" s="1"/>
  <c r="F277" i="61"/>
  <c r="P277" i="61" s="1"/>
  <c r="E277" i="61"/>
  <c r="O277" i="61" s="1"/>
  <c r="D277" i="61"/>
  <c r="AJ276" i="61"/>
  <c r="AI276" i="61"/>
  <c r="AH276" i="61"/>
  <c r="AG276" i="61"/>
  <c r="AF276" i="61"/>
  <c r="AE276" i="61"/>
  <c r="AD276" i="61"/>
  <c r="AJ275" i="61"/>
  <c r="AI275" i="61"/>
  <c r="AH275" i="61"/>
  <c r="AG275" i="61"/>
  <c r="AF275" i="61"/>
  <c r="AE275" i="61"/>
  <c r="AD275" i="61"/>
  <c r="AJ274" i="61"/>
  <c r="AI274" i="61"/>
  <c r="AH274" i="61"/>
  <c r="AG274" i="61"/>
  <c r="AF274" i="61"/>
  <c r="AE274" i="61"/>
  <c r="AD274" i="61"/>
  <c r="AJ56" i="60"/>
  <c r="AI56" i="60"/>
  <c r="AH56" i="60"/>
  <c r="AG56" i="60"/>
  <c r="AF56" i="60"/>
  <c r="AE56" i="60"/>
  <c r="AD56" i="60"/>
  <c r="AJ55" i="60"/>
  <c r="AI55" i="60"/>
  <c r="AH55" i="60"/>
  <c r="AG55" i="60"/>
  <c r="AF55" i="60"/>
  <c r="AE55" i="60"/>
  <c r="AD55" i="60"/>
  <c r="J55" i="60"/>
  <c r="AB55" i="60" s="1"/>
  <c r="I55" i="60"/>
  <c r="S55" i="60" s="1"/>
  <c r="H55" i="60"/>
  <c r="R55" i="60" s="1"/>
  <c r="G55" i="60"/>
  <c r="Q55" i="60" s="1"/>
  <c r="F55" i="60"/>
  <c r="X55" i="60" s="1"/>
  <c r="E55" i="60"/>
  <c r="O55" i="60" s="1"/>
  <c r="D55" i="60"/>
  <c r="N55" i="60" s="1"/>
  <c r="AJ54" i="60"/>
  <c r="AI54" i="60"/>
  <c r="AH54" i="60"/>
  <c r="AG54" i="60"/>
  <c r="AF54" i="60"/>
  <c r="AE54" i="60"/>
  <c r="AD54" i="60"/>
  <c r="AJ53" i="60"/>
  <c r="AI53" i="60"/>
  <c r="AH53" i="60"/>
  <c r="AG53" i="60"/>
  <c r="AF53" i="60"/>
  <c r="AE53" i="60"/>
  <c r="AD53" i="60"/>
  <c r="AJ52" i="60"/>
  <c r="AI52" i="60"/>
  <c r="AH52" i="60"/>
  <c r="AG52" i="60"/>
  <c r="AF52" i="60"/>
  <c r="AE52" i="60"/>
  <c r="AD52" i="60"/>
  <c r="AJ278" i="59"/>
  <c r="AI278" i="59"/>
  <c r="AH278" i="59"/>
  <c r="AG278" i="59"/>
  <c r="AF278" i="59"/>
  <c r="AE278" i="59"/>
  <c r="AD278" i="59"/>
  <c r="AJ277" i="59"/>
  <c r="AI277" i="59"/>
  <c r="AH277" i="59"/>
  <c r="AG277" i="59"/>
  <c r="AF277" i="59"/>
  <c r="AE277" i="59"/>
  <c r="AD277" i="59"/>
  <c r="J277" i="59"/>
  <c r="T277" i="59" s="1"/>
  <c r="I277" i="59"/>
  <c r="S277" i="59" s="1"/>
  <c r="H277" i="59"/>
  <c r="R277" i="59" s="1"/>
  <c r="G277" i="59"/>
  <c r="Y277" i="59" s="1"/>
  <c r="P277" i="59"/>
  <c r="E277" i="59"/>
  <c r="W277" i="59" s="1"/>
  <c r="D277" i="59"/>
  <c r="AJ276" i="59"/>
  <c r="AI276" i="59"/>
  <c r="AH276" i="59"/>
  <c r="AG276" i="59"/>
  <c r="AF276" i="59"/>
  <c r="AE276" i="59"/>
  <c r="AD276" i="59"/>
  <c r="AJ275" i="59"/>
  <c r="AI275" i="59"/>
  <c r="AH275" i="59"/>
  <c r="AG275" i="59"/>
  <c r="AF275" i="59"/>
  <c r="AE275" i="59"/>
  <c r="AD275" i="59"/>
  <c r="AJ274" i="59"/>
  <c r="AI274" i="59"/>
  <c r="AH274" i="59"/>
  <c r="AG274" i="59"/>
  <c r="AF274" i="59"/>
  <c r="AE274" i="59"/>
  <c r="AD274" i="59"/>
  <c r="AJ278" i="58"/>
  <c r="AI278" i="58"/>
  <c r="AH278" i="58"/>
  <c r="AG278" i="58"/>
  <c r="AF278" i="58"/>
  <c r="AE278" i="58"/>
  <c r="AD278" i="58"/>
  <c r="AJ277" i="58"/>
  <c r="AI277" i="58"/>
  <c r="AH277" i="58"/>
  <c r="AG277" i="58"/>
  <c r="AF277" i="58"/>
  <c r="AE277" i="58"/>
  <c r="AD277" i="58"/>
  <c r="AB277" i="58"/>
  <c r="T277" i="58"/>
  <c r="S277" i="58"/>
  <c r="Z277" i="58"/>
  <c r="G277" i="58"/>
  <c r="Q277" i="58" s="1"/>
  <c r="P277" i="58"/>
  <c r="O277" i="58"/>
  <c r="D277" i="58"/>
  <c r="V277" i="58" s="1"/>
  <c r="AJ276" i="58"/>
  <c r="AI276" i="58"/>
  <c r="AH276" i="58"/>
  <c r="AG276" i="58"/>
  <c r="AF276" i="58"/>
  <c r="AE276" i="58"/>
  <c r="AD276" i="58"/>
  <c r="AJ275" i="58"/>
  <c r="AI275" i="58"/>
  <c r="AH275" i="58"/>
  <c r="AG275" i="58"/>
  <c r="AF275" i="58"/>
  <c r="AE275" i="58"/>
  <c r="AD275" i="58"/>
  <c r="AJ274" i="58"/>
  <c r="AI274" i="58"/>
  <c r="AH274" i="58"/>
  <c r="AG274" i="58"/>
  <c r="AF274" i="58"/>
  <c r="AE274" i="58"/>
  <c r="AD274" i="58"/>
  <c r="D43" i="60"/>
  <c r="E43" i="60"/>
  <c r="F43" i="60"/>
  <c r="G43" i="60"/>
  <c r="H43" i="60"/>
  <c r="I43" i="60"/>
  <c r="E49" i="60"/>
  <c r="G49" i="60"/>
  <c r="H49" i="60"/>
  <c r="J49" i="60"/>
  <c r="D73" i="60"/>
  <c r="E73" i="60"/>
  <c r="F73" i="60"/>
  <c r="G73" i="60"/>
  <c r="H73" i="60"/>
  <c r="J73" i="60"/>
  <c r="W277" i="58" l="1"/>
  <c r="AA277" i="58"/>
  <c r="K277" i="58"/>
  <c r="K277" i="59"/>
  <c r="Q277" i="59"/>
  <c r="P55" i="60"/>
  <c r="T55" i="60"/>
  <c r="Q277" i="61"/>
  <c r="K277" i="61"/>
  <c r="K277" i="62"/>
  <c r="Q277" i="62"/>
  <c r="L277" i="62"/>
  <c r="Z277" i="62"/>
  <c r="AA277" i="62"/>
  <c r="O277" i="62"/>
  <c r="X277" i="62"/>
  <c r="AB277" i="62"/>
  <c r="V277" i="62"/>
  <c r="N277" i="62"/>
  <c r="N277" i="61"/>
  <c r="W277" i="61"/>
  <c r="S277" i="61"/>
  <c r="X277" i="61"/>
  <c r="AB277" i="61"/>
  <c r="L277" i="61"/>
  <c r="V277" i="61"/>
  <c r="Z277" i="61"/>
  <c r="K55" i="60"/>
  <c r="Y55" i="60"/>
  <c r="L55" i="60"/>
  <c r="V55" i="60"/>
  <c r="Z55" i="60"/>
  <c r="W55" i="60"/>
  <c r="AA55" i="60"/>
  <c r="L277" i="59"/>
  <c r="V277" i="59"/>
  <c r="Z277" i="59"/>
  <c r="AA277" i="59"/>
  <c r="O277" i="59"/>
  <c r="X277" i="59"/>
  <c r="AB277" i="59"/>
  <c r="N277" i="59"/>
  <c r="N277" i="58"/>
  <c r="R277" i="58"/>
  <c r="X277" i="58"/>
  <c r="Y277" i="58"/>
  <c r="L277" i="58"/>
  <c r="AJ266" i="62" l="1"/>
  <c r="AI266" i="62"/>
  <c r="AH266" i="62"/>
  <c r="AG266" i="62"/>
  <c r="AF266" i="62"/>
  <c r="AE266" i="62"/>
  <c r="AD266" i="62"/>
  <c r="AJ265" i="62"/>
  <c r="AI265" i="62"/>
  <c r="AH265" i="62"/>
  <c r="AG265" i="62"/>
  <c r="AF265" i="62"/>
  <c r="AE265" i="62"/>
  <c r="AD265" i="62"/>
  <c r="J265" i="62"/>
  <c r="AB265" i="62" s="1"/>
  <c r="I265" i="62"/>
  <c r="S265" i="62" s="1"/>
  <c r="H265" i="62"/>
  <c r="R265" i="62" s="1"/>
  <c r="G265" i="62"/>
  <c r="Q265" i="62" s="1"/>
  <c r="F265" i="62"/>
  <c r="X265" i="62" s="1"/>
  <c r="E265" i="62"/>
  <c r="O265" i="62" s="1"/>
  <c r="D265" i="62"/>
  <c r="N265" i="62" s="1"/>
  <c r="AJ264" i="62"/>
  <c r="AI264" i="62"/>
  <c r="AH264" i="62"/>
  <c r="AG264" i="62"/>
  <c r="AF264" i="62"/>
  <c r="AE264" i="62"/>
  <c r="AD264" i="62"/>
  <c r="AJ263" i="62"/>
  <c r="AI263" i="62"/>
  <c r="AH263" i="62"/>
  <c r="AG263" i="62"/>
  <c r="AF263" i="62"/>
  <c r="AE263" i="62"/>
  <c r="AD263" i="62"/>
  <c r="AJ262" i="62"/>
  <c r="AI262" i="62"/>
  <c r="AH262" i="62"/>
  <c r="AG262" i="62"/>
  <c r="AF262" i="62"/>
  <c r="AE262" i="62"/>
  <c r="AD262" i="62"/>
  <c r="AJ266" i="61"/>
  <c r="AI266" i="61"/>
  <c r="AH266" i="61"/>
  <c r="AG266" i="61"/>
  <c r="AF266" i="61"/>
  <c r="AE266" i="61"/>
  <c r="AD266" i="61"/>
  <c r="AJ265" i="61"/>
  <c r="AI265" i="61"/>
  <c r="AH265" i="61"/>
  <c r="AG265" i="61"/>
  <c r="AF265" i="61"/>
  <c r="AE265" i="61"/>
  <c r="AD265" i="61"/>
  <c r="T265" i="61"/>
  <c r="S265" i="61"/>
  <c r="H265" i="61"/>
  <c r="Z265" i="61" s="1"/>
  <c r="G265" i="61"/>
  <c r="Q265" i="61" s="1"/>
  <c r="F265" i="61"/>
  <c r="P265" i="61" s="1"/>
  <c r="E265" i="61"/>
  <c r="W265" i="61" s="1"/>
  <c r="D265" i="61"/>
  <c r="V265" i="61" s="1"/>
  <c r="AJ264" i="61"/>
  <c r="AI264" i="61"/>
  <c r="AH264" i="61"/>
  <c r="AG264" i="61"/>
  <c r="AF264" i="61"/>
  <c r="AE264" i="61"/>
  <c r="AD264" i="61"/>
  <c r="AJ263" i="61"/>
  <c r="AI263" i="61"/>
  <c r="AH263" i="61"/>
  <c r="AG263" i="61"/>
  <c r="AF263" i="61"/>
  <c r="AE263" i="61"/>
  <c r="AD263" i="61"/>
  <c r="AJ262" i="61"/>
  <c r="AI262" i="61"/>
  <c r="AH262" i="61"/>
  <c r="AG262" i="61"/>
  <c r="AF262" i="61"/>
  <c r="AE262" i="61"/>
  <c r="AD262" i="61"/>
  <c r="AJ44" i="60"/>
  <c r="AI44" i="60"/>
  <c r="AH44" i="60"/>
  <c r="AG44" i="60"/>
  <c r="AF44" i="60"/>
  <c r="AE44" i="60"/>
  <c r="AD44" i="60"/>
  <c r="AJ43" i="60"/>
  <c r="AI43" i="60"/>
  <c r="AH43" i="60"/>
  <c r="AG43" i="60"/>
  <c r="AF43" i="60"/>
  <c r="AE43" i="60"/>
  <c r="AD43" i="60"/>
  <c r="T43" i="60"/>
  <c r="AA43" i="60"/>
  <c r="Z43" i="60"/>
  <c r="Q43" i="60"/>
  <c r="W43" i="60"/>
  <c r="V43" i="60"/>
  <c r="AJ42" i="60"/>
  <c r="AI42" i="60"/>
  <c r="AH42" i="60"/>
  <c r="AG42" i="60"/>
  <c r="AF42" i="60"/>
  <c r="AE42" i="60"/>
  <c r="AD42" i="60"/>
  <c r="AJ41" i="60"/>
  <c r="AI41" i="60"/>
  <c r="AH41" i="60"/>
  <c r="AG41" i="60"/>
  <c r="AF41" i="60"/>
  <c r="AE41" i="60"/>
  <c r="AD41" i="60"/>
  <c r="AJ40" i="60"/>
  <c r="AI40" i="60"/>
  <c r="AH40" i="60"/>
  <c r="AG40" i="60"/>
  <c r="AF40" i="60"/>
  <c r="AE40" i="60"/>
  <c r="AD40" i="60"/>
  <c r="AJ266" i="59"/>
  <c r="AI266" i="59"/>
  <c r="AH266" i="59"/>
  <c r="AG266" i="59"/>
  <c r="AF266" i="59"/>
  <c r="AE266" i="59"/>
  <c r="AD266" i="59"/>
  <c r="AJ265" i="59"/>
  <c r="AI265" i="59"/>
  <c r="AH265" i="59"/>
  <c r="AG265" i="59"/>
  <c r="AF265" i="59"/>
  <c r="AE265" i="59"/>
  <c r="AD265" i="59"/>
  <c r="J265" i="59"/>
  <c r="AB265" i="59" s="1"/>
  <c r="I265" i="59"/>
  <c r="S265" i="59" s="1"/>
  <c r="H265" i="59"/>
  <c r="R265" i="59" s="1"/>
  <c r="G265" i="59"/>
  <c r="Q265" i="59" s="1"/>
  <c r="F265" i="59"/>
  <c r="X265" i="59" s="1"/>
  <c r="E265" i="59"/>
  <c r="O265" i="59" s="1"/>
  <c r="D265" i="59"/>
  <c r="N265" i="59" s="1"/>
  <c r="AJ264" i="59"/>
  <c r="AI264" i="59"/>
  <c r="AH264" i="59"/>
  <c r="AG264" i="59"/>
  <c r="AF264" i="59"/>
  <c r="AE264" i="59"/>
  <c r="AD264" i="59"/>
  <c r="AJ263" i="59"/>
  <c r="AI263" i="59"/>
  <c r="AH263" i="59"/>
  <c r="AG263" i="59"/>
  <c r="AF263" i="59"/>
  <c r="AE263" i="59"/>
  <c r="AD263" i="59"/>
  <c r="AJ262" i="59"/>
  <c r="AI262" i="59"/>
  <c r="AH262" i="59"/>
  <c r="AG262" i="59"/>
  <c r="AF262" i="59"/>
  <c r="AE262" i="59"/>
  <c r="AD262" i="59"/>
  <c r="AJ266" i="58"/>
  <c r="AI266" i="58"/>
  <c r="AH266" i="58"/>
  <c r="AG266" i="58"/>
  <c r="AF266" i="58"/>
  <c r="AE266" i="58"/>
  <c r="AD266" i="58"/>
  <c r="AJ265" i="58"/>
  <c r="AI265" i="58"/>
  <c r="AH265" i="58"/>
  <c r="AG265" i="58"/>
  <c r="AF265" i="58"/>
  <c r="AE265" i="58"/>
  <c r="AD265" i="58"/>
  <c r="J265" i="58"/>
  <c r="T265" i="58" s="1"/>
  <c r="I265" i="58"/>
  <c r="AA265" i="58" s="1"/>
  <c r="H265" i="58"/>
  <c r="Z265" i="58" s="1"/>
  <c r="G265" i="58"/>
  <c r="Q265" i="58" s="1"/>
  <c r="F265" i="58"/>
  <c r="X265" i="58" s="1"/>
  <c r="O265" i="58"/>
  <c r="D265" i="58"/>
  <c r="V265" i="58" s="1"/>
  <c r="AJ264" i="58"/>
  <c r="AI264" i="58"/>
  <c r="AH264" i="58"/>
  <c r="AG264" i="58"/>
  <c r="AF264" i="58"/>
  <c r="AE264" i="58"/>
  <c r="AD264" i="58"/>
  <c r="AJ263" i="58"/>
  <c r="AI263" i="58"/>
  <c r="AH263" i="58"/>
  <c r="AG263" i="58"/>
  <c r="AF263" i="58"/>
  <c r="AE263" i="58"/>
  <c r="AD263" i="58"/>
  <c r="AJ262" i="58"/>
  <c r="AI262" i="58"/>
  <c r="AH262" i="58"/>
  <c r="AG262" i="58"/>
  <c r="AF262" i="58"/>
  <c r="AE262" i="58"/>
  <c r="AD262" i="58"/>
  <c r="S43" i="60" l="1"/>
  <c r="N265" i="61"/>
  <c r="R265" i="61"/>
  <c r="N265" i="58"/>
  <c r="P265" i="62"/>
  <c r="T265" i="62"/>
  <c r="K43" i="60"/>
  <c r="O43" i="60"/>
  <c r="T265" i="59"/>
  <c r="P265" i="59"/>
  <c r="R265" i="58"/>
  <c r="K265" i="62"/>
  <c r="Y265" i="62"/>
  <c r="L265" i="62"/>
  <c r="V265" i="62"/>
  <c r="Z265" i="62"/>
  <c r="W265" i="62"/>
  <c r="AA265" i="62"/>
  <c r="AA265" i="61"/>
  <c r="O265" i="61"/>
  <c r="X265" i="61"/>
  <c r="AB265" i="61"/>
  <c r="K265" i="61"/>
  <c r="Y265" i="61"/>
  <c r="L265" i="61"/>
  <c r="X43" i="60"/>
  <c r="AB43" i="60"/>
  <c r="P43" i="60"/>
  <c r="Y43" i="60"/>
  <c r="N43" i="60"/>
  <c r="R43" i="60"/>
  <c r="L43" i="60"/>
  <c r="K265" i="59"/>
  <c r="Y265" i="59"/>
  <c r="L265" i="59"/>
  <c r="V265" i="59"/>
  <c r="Z265" i="59"/>
  <c r="W265" i="59"/>
  <c r="AA265" i="59"/>
  <c r="S265" i="58"/>
  <c r="AB265" i="58"/>
  <c r="K265" i="58"/>
  <c r="P265" i="58"/>
  <c r="Y265" i="58"/>
  <c r="W265" i="58"/>
  <c r="L265" i="58"/>
  <c r="AJ260" i="62" l="1"/>
  <c r="AI260" i="62"/>
  <c r="AH260" i="62"/>
  <c r="AG260" i="62"/>
  <c r="AF260" i="62"/>
  <c r="AE260" i="62"/>
  <c r="AD260" i="62"/>
  <c r="AJ259" i="62"/>
  <c r="AI259" i="62"/>
  <c r="AH259" i="62"/>
  <c r="AG259" i="62"/>
  <c r="AF259" i="62"/>
  <c r="AE259" i="62"/>
  <c r="AD259" i="62"/>
  <c r="J259" i="62"/>
  <c r="T259" i="62" s="1"/>
  <c r="I259" i="62"/>
  <c r="S259" i="62" s="1"/>
  <c r="H259" i="62"/>
  <c r="R259" i="62" s="1"/>
  <c r="G259" i="62"/>
  <c r="Y259" i="62" s="1"/>
  <c r="F259" i="62"/>
  <c r="P259" i="62" s="1"/>
  <c r="E259" i="62"/>
  <c r="O259" i="62" s="1"/>
  <c r="D259" i="62"/>
  <c r="AJ258" i="62"/>
  <c r="AI258" i="62"/>
  <c r="AH258" i="62"/>
  <c r="AG258" i="62"/>
  <c r="AF258" i="62"/>
  <c r="AE258" i="62"/>
  <c r="AD258" i="62"/>
  <c r="AJ257" i="62"/>
  <c r="AI257" i="62"/>
  <c r="AH257" i="62"/>
  <c r="AG257" i="62"/>
  <c r="AF257" i="62"/>
  <c r="AE257" i="62"/>
  <c r="AD257" i="62"/>
  <c r="AJ256" i="62"/>
  <c r="AI256" i="62"/>
  <c r="AH256" i="62"/>
  <c r="AG256" i="62"/>
  <c r="AF256" i="62"/>
  <c r="AE256" i="62"/>
  <c r="AD256" i="62"/>
  <c r="AJ260" i="61"/>
  <c r="AI260" i="61"/>
  <c r="AH260" i="61"/>
  <c r="AG260" i="61"/>
  <c r="AF260" i="61"/>
  <c r="AE260" i="61"/>
  <c r="AD260" i="61"/>
  <c r="AJ259" i="61"/>
  <c r="AI259" i="61"/>
  <c r="AH259" i="61"/>
  <c r="AG259" i="61"/>
  <c r="AF259" i="61"/>
  <c r="AE259" i="61"/>
  <c r="AD259" i="61"/>
  <c r="AB259" i="61"/>
  <c r="AA259" i="61"/>
  <c r="Z259" i="61"/>
  <c r="Y259" i="61"/>
  <c r="X259" i="61"/>
  <c r="W259" i="61"/>
  <c r="V259" i="61"/>
  <c r="T259" i="61"/>
  <c r="S259" i="61"/>
  <c r="R259" i="61"/>
  <c r="Q259" i="61"/>
  <c r="P259" i="61"/>
  <c r="O259" i="61"/>
  <c r="N259" i="61"/>
  <c r="L259" i="61"/>
  <c r="K259" i="61"/>
  <c r="AJ258" i="61"/>
  <c r="AI258" i="61"/>
  <c r="AH258" i="61"/>
  <c r="AG258" i="61"/>
  <c r="AF258" i="61"/>
  <c r="AE258" i="61"/>
  <c r="AD258" i="61"/>
  <c r="AJ257" i="61"/>
  <c r="AI257" i="61"/>
  <c r="AH257" i="61"/>
  <c r="AG257" i="61"/>
  <c r="AF257" i="61"/>
  <c r="AE257" i="61"/>
  <c r="AD257" i="61"/>
  <c r="AJ256" i="61"/>
  <c r="AI256" i="61"/>
  <c r="AH256" i="61"/>
  <c r="AG256" i="61"/>
  <c r="AF256" i="61"/>
  <c r="AE256" i="61"/>
  <c r="AD256" i="61"/>
  <c r="AJ38" i="60"/>
  <c r="AI38" i="60"/>
  <c r="AH38" i="60"/>
  <c r="AG38" i="60"/>
  <c r="AF38" i="60"/>
  <c r="AE38" i="60"/>
  <c r="AD38" i="60"/>
  <c r="AJ37" i="60"/>
  <c r="AI37" i="60"/>
  <c r="AH37" i="60"/>
  <c r="AG37" i="60"/>
  <c r="AF37" i="60"/>
  <c r="AE37" i="60"/>
  <c r="AD37" i="60"/>
  <c r="AB37" i="60"/>
  <c r="AA37" i="60"/>
  <c r="Z37" i="60"/>
  <c r="Y37" i="60"/>
  <c r="X37" i="60"/>
  <c r="W37" i="60"/>
  <c r="V37" i="60"/>
  <c r="T37" i="60"/>
  <c r="S37" i="60"/>
  <c r="R37" i="60"/>
  <c r="Q37" i="60"/>
  <c r="P37" i="60"/>
  <c r="O37" i="60"/>
  <c r="N37" i="60"/>
  <c r="L37" i="60"/>
  <c r="K37" i="60"/>
  <c r="AJ36" i="60"/>
  <c r="AI36" i="60"/>
  <c r="AH36" i="60"/>
  <c r="AG36" i="60"/>
  <c r="AF36" i="60"/>
  <c r="AE36" i="60"/>
  <c r="AD36" i="60"/>
  <c r="AJ35" i="60"/>
  <c r="AI35" i="60"/>
  <c r="AH35" i="60"/>
  <c r="AG35" i="60"/>
  <c r="AF35" i="60"/>
  <c r="AE35" i="60"/>
  <c r="AD35" i="60"/>
  <c r="AJ34" i="60"/>
  <c r="AI34" i="60"/>
  <c r="AH34" i="60"/>
  <c r="AG34" i="60"/>
  <c r="AF34" i="60"/>
  <c r="AE34" i="60"/>
  <c r="AD34" i="60"/>
  <c r="AJ38" i="59"/>
  <c r="AI38" i="59"/>
  <c r="AH38" i="59"/>
  <c r="AG38" i="59"/>
  <c r="AF38" i="59"/>
  <c r="AE38" i="59"/>
  <c r="AD38" i="59"/>
  <c r="AJ37" i="59"/>
  <c r="AI37" i="59"/>
  <c r="AH37" i="59"/>
  <c r="AG37" i="59"/>
  <c r="AF37" i="59"/>
  <c r="AE37" i="59"/>
  <c r="AD37" i="59"/>
  <c r="AB37" i="59"/>
  <c r="AA37" i="59"/>
  <c r="Z37" i="59"/>
  <c r="Y37" i="59"/>
  <c r="X37" i="59"/>
  <c r="W37" i="59"/>
  <c r="V37" i="59"/>
  <c r="T37" i="59"/>
  <c r="S37" i="59"/>
  <c r="R37" i="59"/>
  <c r="Q37" i="59"/>
  <c r="P37" i="59"/>
  <c r="O37" i="59"/>
  <c r="N37" i="59"/>
  <c r="L37" i="59"/>
  <c r="K37" i="59"/>
  <c r="AJ36" i="59"/>
  <c r="AI36" i="59"/>
  <c r="AH36" i="59"/>
  <c r="AG36" i="59"/>
  <c r="AF36" i="59"/>
  <c r="AE36" i="59"/>
  <c r="AD36" i="59"/>
  <c r="AJ35" i="59"/>
  <c r="AI35" i="59"/>
  <c r="AH35" i="59"/>
  <c r="AG35" i="59"/>
  <c r="AF35" i="59"/>
  <c r="AE35" i="59"/>
  <c r="AD35" i="59"/>
  <c r="AJ34" i="59"/>
  <c r="AI34" i="59"/>
  <c r="AH34" i="59"/>
  <c r="AG34" i="59"/>
  <c r="AF34" i="59"/>
  <c r="AE34" i="59"/>
  <c r="AD34" i="59"/>
  <c r="AJ260" i="58"/>
  <c r="AI260" i="58"/>
  <c r="AH260" i="58"/>
  <c r="AG260" i="58"/>
  <c r="AF260" i="58"/>
  <c r="AE260" i="58"/>
  <c r="AD260" i="58"/>
  <c r="AJ259" i="58"/>
  <c r="AI259" i="58"/>
  <c r="AH259" i="58"/>
  <c r="AG259" i="58"/>
  <c r="AF259" i="58"/>
  <c r="AE259" i="58"/>
  <c r="AD259" i="58"/>
  <c r="T259" i="58"/>
  <c r="I259" i="58"/>
  <c r="S259" i="58" s="1"/>
  <c r="H259" i="58"/>
  <c r="R259" i="58" s="1"/>
  <c r="G259" i="58"/>
  <c r="Y259" i="58" s="1"/>
  <c r="P259" i="58"/>
  <c r="O259" i="58"/>
  <c r="D259" i="58"/>
  <c r="AJ258" i="58"/>
  <c r="AI258" i="58"/>
  <c r="AH258" i="58"/>
  <c r="AG258" i="58"/>
  <c r="AF258" i="58"/>
  <c r="AE258" i="58"/>
  <c r="AD258" i="58"/>
  <c r="AJ257" i="58"/>
  <c r="AI257" i="58"/>
  <c r="AH257" i="58"/>
  <c r="AG257" i="58"/>
  <c r="AF257" i="58"/>
  <c r="AE257" i="58"/>
  <c r="AD257" i="58"/>
  <c r="AJ256" i="58"/>
  <c r="AI256" i="58"/>
  <c r="AH256" i="58"/>
  <c r="AG256" i="58"/>
  <c r="AF256" i="58"/>
  <c r="AE256" i="58"/>
  <c r="AD256" i="58"/>
  <c r="Q259" i="62" l="1"/>
  <c r="K259" i="62"/>
  <c r="Q259" i="58"/>
  <c r="K259" i="58"/>
  <c r="L259" i="62"/>
  <c r="V259" i="62"/>
  <c r="Z259" i="62"/>
  <c r="N259" i="62"/>
  <c r="W259" i="62"/>
  <c r="AA259" i="62"/>
  <c r="X259" i="62"/>
  <c r="AB259" i="62"/>
  <c r="L259" i="58"/>
  <c r="V259" i="58"/>
  <c r="Z259" i="58"/>
  <c r="N259" i="58"/>
  <c r="W259" i="58"/>
  <c r="AA259" i="58"/>
  <c r="X259" i="58"/>
  <c r="AB259" i="58"/>
  <c r="AJ368" i="62" l="1"/>
  <c r="AI368" i="62"/>
  <c r="AH368" i="62"/>
  <c r="AG368" i="62"/>
  <c r="AF368" i="62"/>
  <c r="AE368" i="62"/>
  <c r="AD368" i="62"/>
  <c r="AJ367" i="62"/>
  <c r="AI367" i="62"/>
  <c r="AH367" i="62"/>
  <c r="AG367" i="62"/>
  <c r="AF367" i="62"/>
  <c r="AE367" i="62"/>
  <c r="AD367" i="62"/>
  <c r="J367" i="62"/>
  <c r="T367" i="62" s="1"/>
  <c r="I367" i="62"/>
  <c r="S367" i="62" s="1"/>
  <c r="H367" i="62"/>
  <c r="R367" i="62" s="1"/>
  <c r="G367" i="62"/>
  <c r="Y367" i="62" s="1"/>
  <c r="F367" i="62"/>
  <c r="P367" i="62" s="1"/>
  <c r="E367" i="62"/>
  <c r="O367" i="62" s="1"/>
  <c r="D367" i="62"/>
  <c r="AJ366" i="62"/>
  <c r="AI366" i="62"/>
  <c r="AH366" i="62"/>
  <c r="AG366" i="62"/>
  <c r="AF366" i="62"/>
  <c r="AE366" i="62"/>
  <c r="AD366" i="62"/>
  <c r="AJ365" i="62"/>
  <c r="AI365" i="62"/>
  <c r="AH365" i="62"/>
  <c r="AG365" i="62"/>
  <c r="AF365" i="62"/>
  <c r="AE365" i="62"/>
  <c r="AD365" i="62"/>
  <c r="AJ364" i="62"/>
  <c r="AI364" i="62"/>
  <c r="AH364" i="62"/>
  <c r="AG364" i="62"/>
  <c r="AF364" i="62"/>
  <c r="AE364" i="62"/>
  <c r="AD364" i="62"/>
  <c r="AJ367" i="61"/>
  <c r="AI367" i="61"/>
  <c r="AH367" i="61"/>
  <c r="AG367" i="61"/>
  <c r="AF367" i="61"/>
  <c r="AE367" i="61"/>
  <c r="AD367" i="61"/>
  <c r="AJ366" i="61"/>
  <c r="AI366" i="61"/>
  <c r="AH366" i="61"/>
  <c r="AG366" i="61"/>
  <c r="AF366" i="61"/>
  <c r="AE366" i="61"/>
  <c r="AD366" i="61"/>
  <c r="J366" i="61"/>
  <c r="AB366" i="61" s="1"/>
  <c r="I366" i="61"/>
  <c r="S366" i="61" s="1"/>
  <c r="H366" i="61"/>
  <c r="Z366" i="61" s="1"/>
  <c r="G366" i="61"/>
  <c r="Q366" i="61" s="1"/>
  <c r="X366" i="61"/>
  <c r="E366" i="61"/>
  <c r="O366" i="61" s="1"/>
  <c r="D366" i="61"/>
  <c r="V366" i="61" s="1"/>
  <c r="AJ365" i="61"/>
  <c r="AI365" i="61"/>
  <c r="AH365" i="61"/>
  <c r="AG365" i="61"/>
  <c r="AF365" i="61"/>
  <c r="AE365" i="61"/>
  <c r="AD365" i="61"/>
  <c r="AJ364" i="61"/>
  <c r="AI364" i="61"/>
  <c r="AH364" i="61"/>
  <c r="AG364" i="61"/>
  <c r="AF364" i="61"/>
  <c r="AE364" i="61"/>
  <c r="AD364" i="61"/>
  <c r="AJ363" i="61"/>
  <c r="AI363" i="61"/>
  <c r="AH363" i="61"/>
  <c r="AG363" i="61"/>
  <c r="AF363" i="61"/>
  <c r="AE363" i="61"/>
  <c r="AD363" i="61"/>
  <c r="AJ146" i="60"/>
  <c r="AI146" i="60"/>
  <c r="AH146" i="60"/>
  <c r="AG146" i="60"/>
  <c r="AF146" i="60"/>
  <c r="AE146" i="60"/>
  <c r="AD146" i="60"/>
  <c r="AJ145" i="60"/>
  <c r="AI145" i="60"/>
  <c r="AH145" i="60"/>
  <c r="AG145" i="60"/>
  <c r="AF145" i="60"/>
  <c r="AE145" i="60"/>
  <c r="AD145" i="60"/>
  <c r="J145" i="60"/>
  <c r="T145" i="60" s="1"/>
  <c r="I145" i="60"/>
  <c r="S145" i="60" s="1"/>
  <c r="H145" i="60"/>
  <c r="Z145" i="60" s="1"/>
  <c r="G145" i="60"/>
  <c r="Y145" i="60" s="1"/>
  <c r="P145" i="60"/>
  <c r="E145" i="60"/>
  <c r="O145" i="60" s="1"/>
  <c r="D145" i="60"/>
  <c r="AJ144" i="60"/>
  <c r="AI144" i="60"/>
  <c r="AH144" i="60"/>
  <c r="AG144" i="60"/>
  <c r="AF144" i="60"/>
  <c r="AE144" i="60"/>
  <c r="AD144" i="60"/>
  <c r="AJ143" i="60"/>
  <c r="AI143" i="60"/>
  <c r="AH143" i="60"/>
  <c r="AG143" i="60"/>
  <c r="AF143" i="60"/>
  <c r="AE143" i="60"/>
  <c r="AD143" i="60"/>
  <c r="AJ142" i="60"/>
  <c r="AI142" i="60"/>
  <c r="AH142" i="60"/>
  <c r="AG142" i="60"/>
  <c r="AF142" i="60"/>
  <c r="AE142" i="60"/>
  <c r="AD142" i="60"/>
  <c r="AJ368" i="59"/>
  <c r="AI368" i="59"/>
  <c r="AH368" i="59"/>
  <c r="AG368" i="59"/>
  <c r="AF368" i="59"/>
  <c r="AE368" i="59"/>
  <c r="AD368" i="59"/>
  <c r="AJ367" i="59"/>
  <c r="AI367" i="59"/>
  <c r="AH367" i="59"/>
  <c r="AG367" i="59"/>
  <c r="AF367" i="59"/>
  <c r="AE367" i="59"/>
  <c r="AD367" i="59"/>
  <c r="J367" i="59"/>
  <c r="T367" i="59" s="1"/>
  <c r="I367" i="59"/>
  <c r="S367" i="59" s="1"/>
  <c r="H367" i="59"/>
  <c r="R367" i="59" s="1"/>
  <c r="G367" i="59"/>
  <c r="Y367" i="59" s="1"/>
  <c r="F367" i="59"/>
  <c r="P367" i="59" s="1"/>
  <c r="E367" i="59"/>
  <c r="O367" i="59" s="1"/>
  <c r="D367" i="59"/>
  <c r="AJ366" i="59"/>
  <c r="AI366" i="59"/>
  <c r="AH366" i="59"/>
  <c r="AG366" i="59"/>
  <c r="AF366" i="59"/>
  <c r="AE366" i="59"/>
  <c r="AD366" i="59"/>
  <c r="AJ365" i="59"/>
  <c r="AI365" i="59"/>
  <c r="AH365" i="59"/>
  <c r="AG365" i="59"/>
  <c r="AF365" i="59"/>
  <c r="AE365" i="59"/>
  <c r="AD365" i="59"/>
  <c r="AJ364" i="59"/>
  <c r="AI364" i="59"/>
  <c r="AH364" i="59"/>
  <c r="AG364" i="59"/>
  <c r="AF364" i="59"/>
  <c r="AE364" i="59"/>
  <c r="AD364" i="59"/>
  <c r="AJ368" i="58"/>
  <c r="AI368" i="58"/>
  <c r="AH368" i="58"/>
  <c r="AG368" i="58"/>
  <c r="AF368" i="58"/>
  <c r="AE368" i="58"/>
  <c r="AD368" i="58"/>
  <c r="AJ367" i="58"/>
  <c r="AI367" i="58"/>
  <c r="AH367" i="58"/>
  <c r="AG367" i="58"/>
  <c r="AF367" i="58"/>
  <c r="AE367" i="58"/>
  <c r="AD367" i="58"/>
  <c r="J367" i="58"/>
  <c r="AB367" i="58" s="1"/>
  <c r="I367" i="58"/>
  <c r="AA367" i="58" s="1"/>
  <c r="H367" i="58"/>
  <c r="Z367" i="58" s="1"/>
  <c r="Q367" i="58"/>
  <c r="F367" i="58"/>
  <c r="X367" i="58" s="1"/>
  <c r="W367" i="58"/>
  <c r="D367" i="58"/>
  <c r="V367" i="58" s="1"/>
  <c r="AJ366" i="58"/>
  <c r="AI366" i="58"/>
  <c r="AH366" i="58"/>
  <c r="AG366" i="58"/>
  <c r="AF366" i="58"/>
  <c r="AE366" i="58"/>
  <c r="AD366" i="58"/>
  <c r="AJ365" i="58"/>
  <c r="AI365" i="58"/>
  <c r="AH365" i="58"/>
  <c r="AG365" i="58"/>
  <c r="AF365" i="58"/>
  <c r="AE365" i="58"/>
  <c r="AD365" i="58"/>
  <c r="AJ364" i="58"/>
  <c r="AI364" i="58"/>
  <c r="AH364" i="58"/>
  <c r="AG364" i="58"/>
  <c r="AF364" i="58"/>
  <c r="AE364" i="58"/>
  <c r="AD364" i="58"/>
  <c r="AJ254" i="62"/>
  <c r="AI254" i="62"/>
  <c r="AH254" i="62"/>
  <c r="AG254" i="62"/>
  <c r="AF254" i="62"/>
  <c r="AE254" i="62"/>
  <c r="AD254" i="62"/>
  <c r="AJ253" i="62"/>
  <c r="AI253" i="62"/>
  <c r="AH253" i="62"/>
  <c r="AG253" i="62"/>
  <c r="AF253" i="62"/>
  <c r="AE253" i="62"/>
  <c r="AD253" i="62"/>
  <c r="J253" i="62"/>
  <c r="T253" i="62" s="1"/>
  <c r="I253" i="62"/>
  <c r="AA253" i="62" s="1"/>
  <c r="H253" i="62"/>
  <c r="Z253" i="62" s="1"/>
  <c r="G253" i="62"/>
  <c r="Q253" i="62" s="1"/>
  <c r="F253" i="62"/>
  <c r="P253" i="62" s="1"/>
  <c r="E253" i="62"/>
  <c r="D253" i="62"/>
  <c r="V253" i="62" s="1"/>
  <c r="AJ252" i="62"/>
  <c r="AI252" i="62"/>
  <c r="AH252" i="62"/>
  <c r="AG252" i="62"/>
  <c r="AF252" i="62"/>
  <c r="AE252" i="62"/>
  <c r="AD252" i="62"/>
  <c r="AJ251" i="62"/>
  <c r="AI251" i="62"/>
  <c r="AH251" i="62"/>
  <c r="AG251" i="62"/>
  <c r="AF251" i="62"/>
  <c r="AE251" i="62"/>
  <c r="AD251" i="62"/>
  <c r="AJ250" i="62"/>
  <c r="AI250" i="62"/>
  <c r="AH250" i="62"/>
  <c r="AG250" i="62"/>
  <c r="AF250" i="62"/>
  <c r="AE250" i="62"/>
  <c r="AD250" i="62"/>
  <c r="AJ32" i="60"/>
  <c r="AI32" i="60"/>
  <c r="AH32" i="60"/>
  <c r="AG32" i="60"/>
  <c r="AF32" i="60"/>
  <c r="AE32" i="60"/>
  <c r="AD32" i="60"/>
  <c r="AJ31" i="60"/>
  <c r="AI31" i="60"/>
  <c r="AH31" i="60"/>
  <c r="AG31" i="60"/>
  <c r="AF31" i="60"/>
  <c r="AE31" i="60"/>
  <c r="AD31" i="60"/>
  <c r="AB31" i="60"/>
  <c r="AA31" i="60"/>
  <c r="Z31" i="60"/>
  <c r="Y31" i="60"/>
  <c r="X31" i="60"/>
  <c r="W31" i="60"/>
  <c r="V31" i="60"/>
  <c r="T31" i="60"/>
  <c r="S31" i="60"/>
  <c r="R31" i="60"/>
  <c r="Q31" i="60"/>
  <c r="P31" i="60"/>
  <c r="O31" i="60"/>
  <c r="N31" i="60"/>
  <c r="L31" i="60"/>
  <c r="K31" i="60"/>
  <c r="AJ30" i="60"/>
  <c r="AI30" i="60"/>
  <c r="AH30" i="60"/>
  <c r="AG30" i="60"/>
  <c r="AF30" i="60"/>
  <c r="AE30" i="60"/>
  <c r="AD30" i="60"/>
  <c r="AJ29" i="60"/>
  <c r="AI29" i="60"/>
  <c r="AH29" i="60"/>
  <c r="AG29" i="60"/>
  <c r="AF29" i="60"/>
  <c r="AE29" i="60"/>
  <c r="AD29" i="60"/>
  <c r="AJ28" i="60"/>
  <c r="AI28" i="60"/>
  <c r="AH28" i="60"/>
  <c r="AG28" i="60"/>
  <c r="AF28" i="60"/>
  <c r="AE28" i="60"/>
  <c r="AD28" i="60"/>
  <c r="AJ32" i="59"/>
  <c r="AI32" i="59"/>
  <c r="AH32" i="59"/>
  <c r="AG32" i="59"/>
  <c r="AF32" i="59"/>
  <c r="AE32" i="59"/>
  <c r="AD32" i="59"/>
  <c r="AJ31" i="59"/>
  <c r="AI31" i="59"/>
  <c r="AH31" i="59"/>
  <c r="AG31" i="59"/>
  <c r="AF31" i="59"/>
  <c r="AE31" i="59"/>
  <c r="AD31" i="59"/>
  <c r="AB31" i="59"/>
  <c r="AA31" i="59"/>
  <c r="Z31" i="59"/>
  <c r="Y31" i="59"/>
  <c r="X31" i="59"/>
  <c r="W31" i="59"/>
  <c r="V31" i="59"/>
  <c r="T31" i="59"/>
  <c r="S31" i="59"/>
  <c r="R31" i="59"/>
  <c r="Q31" i="59"/>
  <c r="P31" i="59"/>
  <c r="O31" i="59"/>
  <c r="N31" i="59"/>
  <c r="L31" i="59"/>
  <c r="K31" i="59"/>
  <c r="AJ30" i="59"/>
  <c r="AI30" i="59"/>
  <c r="AH30" i="59"/>
  <c r="AG30" i="59"/>
  <c r="AF30" i="59"/>
  <c r="AE30" i="59"/>
  <c r="AD30" i="59"/>
  <c r="AJ29" i="59"/>
  <c r="AI29" i="59"/>
  <c r="AH29" i="59"/>
  <c r="AG29" i="59"/>
  <c r="AF29" i="59"/>
  <c r="AE29" i="59"/>
  <c r="AD29" i="59"/>
  <c r="AJ28" i="59"/>
  <c r="AI28" i="59"/>
  <c r="AH28" i="59"/>
  <c r="AG28" i="59"/>
  <c r="AF28" i="59"/>
  <c r="AE28" i="59"/>
  <c r="AD28" i="59"/>
  <c r="AJ254" i="58"/>
  <c r="AI254" i="58"/>
  <c r="AH254" i="58"/>
  <c r="AG254" i="58"/>
  <c r="AF254" i="58"/>
  <c r="AE254" i="58"/>
  <c r="AD254" i="58"/>
  <c r="AJ253" i="58"/>
  <c r="AI253" i="58"/>
  <c r="AH253" i="58"/>
  <c r="AG253" i="58"/>
  <c r="AF253" i="58"/>
  <c r="AE253" i="58"/>
  <c r="AD253" i="58"/>
  <c r="J253" i="58"/>
  <c r="AB253" i="58" s="1"/>
  <c r="I253" i="58"/>
  <c r="S253" i="58" s="1"/>
  <c r="H253" i="58"/>
  <c r="Z253" i="58" s="1"/>
  <c r="G253" i="58"/>
  <c r="Y253" i="58" s="1"/>
  <c r="X253" i="58"/>
  <c r="O253" i="58"/>
  <c r="D253" i="58"/>
  <c r="V253" i="58" s="1"/>
  <c r="AJ252" i="58"/>
  <c r="AI252" i="58"/>
  <c r="AH252" i="58"/>
  <c r="AG252" i="58"/>
  <c r="AF252" i="58"/>
  <c r="AE252" i="58"/>
  <c r="AD252" i="58"/>
  <c r="AJ251" i="58"/>
  <c r="AI251" i="58"/>
  <c r="AH251" i="58"/>
  <c r="AG251" i="58"/>
  <c r="AF251" i="58"/>
  <c r="AE251" i="58"/>
  <c r="AD251" i="58"/>
  <c r="AJ250" i="58"/>
  <c r="AI250" i="58"/>
  <c r="AH250" i="58"/>
  <c r="AG250" i="58"/>
  <c r="AF250" i="58"/>
  <c r="AE250" i="58"/>
  <c r="AD250" i="58"/>
  <c r="Q367" i="62" l="1"/>
  <c r="K253" i="62"/>
  <c r="R253" i="62"/>
  <c r="N253" i="62"/>
  <c r="K367" i="62"/>
  <c r="K366" i="61"/>
  <c r="P366" i="61"/>
  <c r="T366" i="61"/>
  <c r="K145" i="60"/>
  <c r="Q145" i="60"/>
  <c r="K367" i="59"/>
  <c r="Q367" i="59"/>
  <c r="T253" i="58"/>
  <c r="P253" i="58"/>
  <c r="P367" i="58"/>
  <c r="K253" i="58"/>
  <c r="R367" i="58"/>
  <c r="N367" i="58"/>
  <c r="T367" i="58"/>
  <c r="L367" i="62"/>
  <c r="V367" i="62"/>
  <c r="Z367" i="62"/>
  <c r="N367" i="62"/>
  <c r="W367" i="62"/>
  <c r="AA367" i="62"/>
  <c r="X367" i="62"/>
  <c r="AB367" i="62"/>
  <c r="N366" i="61"/>
  <c r="R366" i="61"/>
  <c r="W366" i="61"/>
  <c r="AA366" i="61"/>
  <c r="Y366" i="61"/>
  <c r="L366" i="61"/>
  <c r="N145" i="60"/>
  <c r="R145" i="60"/>
  <c r="W145" i="60"/>
  <c r="AA145" i="60"/>
  <c r="L145" i="60"/>
  <c r="X145" i="60"/>
  <c r="AB145" i="60"/>
  <c r="V145" i="60"/>
  <c r="L367" i="59"/>
  <c r="V367" i="59"/>
  <c r="Z367" i="59"/>
  <c r="W367" i="59"/>
  <c r="AA367" i="59"/>
  <c r="X367" i="59"/>
  <c r="AB367" i="59"/>
  <c r="N367" i="59"/>
  <c r="O367" i="58"/>
  <c r="S367" i="58"/>
  <c r="K367" i="58"/>
  <c r="Y367" i="58"/>
  <c r="L367" i="58"/>
  <c r="W253" i="62"/>
  <c r="O253" i="62"/>
  <c r="S253" i="62"/>
  <c r="X253" i="62"/>
  <c r="AB253" i="62"/>
  <c r="Y253" i="62"/>
  <c r="L253" i="62"/>
  <c r="N253" i="58"/>
  <c r="R253" i="58"/>
  <c r="W253" i="58"/>
  <c r="AA253" i="58"/>
  <c r="L253" i="58"/>
  <c r="Q253" i="58"/>
  <c r="AJ272" i="62" l="1"/>
  <c r="AI272" i="62"/>
  <c r="AH272" i="62"/>
  <c r="AG272" i="62"/>
  <c r="AF272" i="62"/>
  <c r="AE272" i="62"/>
  <c r="AD272" i="62"/>
  <c r="AJ271" i="62"/>
  <c r="AI271" i="62"/>
  <c r="AH271" i="62"/>
  <c r="AG271" i="62"/>
  <c r="AF271" i="62"/>
  <c r="AE271" i="62"/>
  <c r="AD271" i="62"/>
  <c r="J271" i="62"/>
  <c r="T271" i="62" s="1"/>
  <c r="AA271" i="62"/>
  <c r="H271" i="62"/>
  <c r="Z271" i="62" s="1"/>
  <c r="G271" i="62"/>
  <c r="Q271" i="62" s="1"/>
  <c r="F271" i="62"/>
  <c r="P271" i="62" s="1"/>
  <c r="E271" i="62"/>
  <c r="W271" i="62" s="1"/>
  <c r="D271" i="62"/>
  <c r="V271" i="62" s="1"/>
  <c r="AJ270" i="62"/>
  <c r="AI270" i="62"/>
  <c r="AH270" i="62"/>
  <c r="AG270" i="62"/>
  <c r="AF270" i="62"/>
  <c r="AE270" i="62"/>
  <c r="AD270" i="62"/>
  <c r="AJ269" i="62"/>
  <c r="AI269" i="62"/>
  <c r="AH269" i="62"/>
  <c r="AG269" i="62"/>
  <c r="AF269" i="62"/>
  <c r="AE269" i="62"/>
  <c r="AD269" i="62"/>
  <c r="AJ268" i="62"/>
  <c r="AI268" i="62"/>
  <c r="AH268" i="62"/>
  <c r="AG268" i="62"/>
  <c r="AF268" i="62"/>
  <c r="AE268" i="62"/>
  <c r="AD268" i="62"/>
  <c r="AD232" i="62"/>
  <c r="AE232" i="62"/>
  <c r="AF232" i="62"/>
  <c r="AG232" i="62"/>
  <c r="AH232" i="62"/>
  <c r="AI232" i="62"/>
  <c r="AJ232" i="62"/>
  <c r="AD233" i="62"/>
  <c r="AE233" i="62"/>
  <c r="AF233" i="62"/>
  <c r="AG233" i="62"/>
  <c r="AH233" i="62"/>
  <c r="AI233" i="62"/>
  <c r="AJ233" i="62"/>
  <c r="AD234" i="62"/>
  <c r="AE234" i="62"/>
  <c r="AF234" i="62"/>
  <c r="AG234" i="62"/>
  <c r="AH234" i="62"/>
  <c r="AI234" i="62"/>
  <c r="AJ234" i="62"/>
  <c r="D235" i="62"/>
  <c r="E235" i="62"/>
  <c r="O235" i="62" s="1"/>
  <c r="F235" i="62"/>
  <c r="X235" i="62" s="1"/>
  <c r="G235" i="62"/>
  <c r="Q235" i="62" s="1"/>
  <c r="H235" i="62"/>
  <c r="R235" i="62" s="1"/>
  <c r="I235" i="62"/>
  <c r="S235" i="62" s="1"/>
  <c r="J235" i="62"/>
  <c r="T235" i="62" s="1"/>
  <c r="AD235" i="62"/>
  <c r="AE235" i="62"/>
  <c r="AF235" i="62"/>
  <c r="AG235" i="62"/>
  <c r="AH235" i="62"/>
  <c r="AI235" i="62"/>
  <c r="AJ235" i="62"/>
  <c r="AD236" i="62"/>
  <c r="AE236" i="62"/>
  <c r="AF236" i="62"/>
  <c r="AG236" i="62"/>
  <c r="AH236" i="62"/>
  <c r="AI236" i="62"/>
  <c r="AJ236" i="62"/>
  <c r="AB235" i="62" l="1"/>
  <c r="P235" i="62"/>
  <c r="N271" i="62"/>
  <c r="W235" i="62"/>
  <c r="AA235" i="62"/>
  <c r="R271" i="62"/>
  <c r="O271" i="62"/>
  <c r="S271" i="62"/>
  <c r="X271" i="62"/>
  <c r="AB271" i="62"/>
  <c r="K271" i="62"/>
  <c r="Y271" i="62"/>
  <c r="L271" i="62"/>
  <c r="Y235" i="62"/>
  <c r="K235" i="62"/>
  <c r="Z235" i="62"/>
  <c r="V235" i="62"/>
  <c r="L235" i="62"/>
  <c r="N235" i="62"/>
  <c r="AJ302" i="61"/>
  <c r="AI302" i="61"/>
  <c r="AH302" i="61"/>
  <c r="AG302" i="61"/>
  <c r="AF302" i="61"/>
  <c r="AE302" i="61"/>
  <c r="AD302" i="61"/>
  <c r="AJ295" i="61"/>
  <c r="AI295" i="61"/>
  <c r="AH295" i="61"/>
  <c r="AG295" i="61"/>
  <c r="AF295" i="61"/>
  <c r="AE295" i="61"/>
  <c r="AD295" i="61"/>
  <c r="J295" i="61"/>
  <c r="T295" i="61" s="1"/>
  <c r="S295" i="61"/>
  <c r="Z295" i="61"/>
  <c r="G295" i="61"/>
  <c r="Q295" i="61" s="1"/>
  <c r="F295" i="61"/>
  <c r="P295" i="61" s="1"/>
  <c r="E295" i="61"/>
  <c r="D295" i="61"/>
  <c r="V295" i="61" s="1"/>
  <c r="AJ294" i="61"/>
  <c r="AI294" i="61"/>
  <c r="AH294" i="61"/>
  <c r="AG294" i="61"/>
  <c r="AF294" i="61"/>
  <c r="AE294" i="61"/>
  <c r="AD294" i="61"/>
  <c r="AJ293" i="61"/>
  <c r="AI293" i="61"/>
  <c r="AH293" i="61"/>
  <c r="AG293" i="61"/>
  <c r="AF293" i="61"/>
  <c r="AE293" i="61"/>
  <c r="AD293" i="61"/>
  <c r="AJ292" i="61"/>
  <c r="AI292" i="61"/>
  <c r="AH292" i="61"/>
  <c r="AG292" i="61"/>
  <c r="AF292" i="61"/>
  <c r="AE292" i="61"/>
  <c r="AD292" i="61"/>
  <c r="AJ74" i="60"/>
  <c r="AI74" i="60"/>
  <c r="AH74" i="60"/>
  <c r="AG74" i="60"/>
  <c r="AF74" i="60"/>
  <c r="AE74" i="60"/>
  <c r="AD74" i="60"/>
  <c r="AJ73" i="60"/>
  <c r="AI73" i="60"/>
  <c r="AH73" i="60"/>
  <c r="AG73" i="60"/>
  <c r="AF73" i="60"/>
  <c r="AE73" i="60"/>
  <c r="AD73" i="60"/>
  <c r="AB73" i="60"/>
  <c r="S73" i="60"/>
  <c r="Z73" i="60"/>
  <c r="Q73" i="60"/>
  <c r="P73" i="60"/>
  <c r="O73" i="60"/>
  <c r="V73" i="60"/>
  <c r="AJ72" i="60"/>
  <c r="AI72" i="60"/>
  <c r="AH72" i="60"/>
  <c r="AG72" i="60"/>
  <c r="AF72" i="60"/>
  <c r="AE72" i="60"/>
  <c r="AD72" i="60"/>
  <c r="AJ71" i="60"/>
  <c r="AI71" i="60"/>
  <c r="AH71" i="60"/>
  <c r="AG71" i="60"/>
  <c r="AF71" i="60"/>
  <c r="AE71" i="60"/>
  <c r="AD71" i="60"/>
  <c r="AJ70" i="60"/>
  <c r="AI70" i="60"/>
  <c r="AH70" i="60"/>
  <c r="AG70" i="60"/>
  <c r="AF70" i="60"/>
  <c r="AE70" i="60"/>
  <c r="AD70" i="60"/>
  <c r="AJ296" i="59"/>
  <c r="AI296" i="59"/>
  <c r="AH296" i="59"/>
  <c r="AG296" i="59"/>
  <c r="AF296" i="59"/>
  <c r="AE296" i="59"/>
  <c r="AD296" i="59"/>
  <c r="AJ295" i="59"/>
  <c r="AI295" i="59"/>
  <c r="AH295" i="59"/>
  <c r="AG295" i="59"/>
  <c r="AF295" i="59"/>
  <c r="AE295" i="59"/>
  <c r="AD295" i="59"/>
  <c r="J295" i="59"/>
  <c r="T295" i="59" s="1"/>
  <c r="I295" i="59"/>
  <c r="S295" i="59" s="1"/>
  <c r="R295" i="59"/>
  <c r="G295" i="59"/>
  <c r="Y295" i="59" s="1"/>
  <c r="F295" i="59"/>
  <c r="P295" i="59" s="1"/>
  <c r="E295" i="59"/>
  <c r="O295" i="59" s="1"/>
  <c r="D295" i="59"/>
  <c r="AJ294" i="59"/>
  <c r="AI294" i="59"/>
  <c r="AH294" i="59"/>
  <c r="AG294" i="59"/>
  <c r="AF294" i="59"/>
  <c r="AE294" i="59"/>
  <c r="AD294" i="59"/>
  <c r="AJ293" i="59"/>
  <c r="AI293" i="59"/>
  <c r="AH293" i="59"/>
  <c r="AG293" i="59"/>
  <c r="AF293" i="59"/>
  <c r="AE293" i="59"/>
  <c r="AD293" i="59"/>
  <c r="AJ292" i="59"/>
  <c r="AI292" i="59"/>
  <c r="AH292" i="59"/>
  <c r="AG292" i="59"/>
  <c r="AF292" i="59"/>
  <c r="AE292" i="59"/>
  <c r="AD292" i="59"/>
  <c r="AJ296" i="58"/>
  <c r="AI296" i="58"/>
  <c r="AH296" i="58"/>
  <c r="AG296" i="58"/>
  <c r="AF296" i="58"/>
  <c r="AE296" i="58"/>
  <c r="AD296" i="58"/>
  <c r="AJ295" i="58"/>
  <c r="AI295" i="58"/>
  <c r="AH295" i="58"/>
  <c r="AG295" i="58"/>
  <c r="AF295" i="58"/>
  <c r="AE295" i="58"/>
  <c r="AD295" i="58"/>
  <c r="T295" i="58"/>
  <c r="I295" i="58"/>
  <c r="S295" i="58" s="1"/>
  <c r="H295" i="58"/>
  <c r="R295" i="58" s="1"/>
  <c r="G295" i="58"/>
  <c r="Y295" i="58" s="1"/>
  <c r="P295" i="58"/>
  <c r="E295" i="58"/>
  <c r="O295" i="58" s="1"/>
  <c r="D295" i="58"/>
  <c r="AJ294" i="58"/>
  <c r="AI294" i="58"/>
  <c r="AH294" i="58"/>
  <c r="AG294" i="58"/>
  <c r="AF294" i="58"/>
  <c r="AE294" i="58"/>
  <c r="AD294" i="58"/>
  <c r="AJ293" i="58"/>
  <c r="AI293" i="58"/>
  <c r="AH293" i="58"/>
  <c r="AG293" i="58"/>
  <c r="AF293" i="58"/>
  <c r="AE293" i="58"/>
  <c r="AD293" i="58"/>
  <c r="AJ292" i="58"/>
  <c r="AI292" i="58"/>
  <c r="AH292" i="58"/>
  <c r="AG292" i="58"/>
  <c r="AF292" i="58"/>
  <c r="AE292" i="58"/>
  <c r="AD292" i="58"/>
  <c r="R295" i="61" l="1"/>
  <c r="Q295" i="59"/>
  <c r="K295" i="59"/>
  <c r="R73" i="60"/>
  <c r="N295" i="61"/>
  <c r="K295" i="61"/>
  <c r="N73" i="60"/>
  <c r="W295" i="61"/>
  <c r="AA295" i="61"/>
  <c r="O295" i="61"/>
  <c r="X295" i="61"/>
  <c r="AB295" i="61"/>
  <c r="Y295" i="61"/>
  <c r="L295" i="61"/>
  <c r="AA73" i="60"/>
  <c r="X73" i="60"/>
  <c r="K73" i="60"/>
  <c r="T73" i="60"/>
  <c r="Y73" i="60"/>
  <c r="W73" i="60"/>
  <c r="L73" i="60"/>
  <c r="L295" i="59"/>
  <c r="V295" i="59"/>
  <c r="Z295" i="59"/>
  <c r="N295" i="59"/>
  <c r="W295" i="59"/>
  <c r="AA295" i="59"/>
  <c r="X295" i="59"/>
  <c r="AB295" i="59"/>
  <c r="Q295" i="58"/>
  <c r="K295" i="58"/>
  <c r="L295" i="58"/>
  <c r="V295" i="58"/>
  <c r="Z295" i="58"/>
  <c r="N295" i="58"/>
  <c r="W295" i="58"/>
  <c r="AA295" i="58"/>
  <c r="X295" i="58"/>
  <c r="AB295" i="58"/>
  <c r="AJ422" i="58" l="1"/>
  <c r="AI422" i="58"/>
  <c r="AH422" i="58"/>
  <c r="AG422" i="58"/>
  <c r="AF422" i="58"/>
  <c r="AE422" i="58"/>
  <c r="AD422" i="58"/>
  <c r="AJ421" i="58"/>
  <c r="AI421" i="58"/>
  <c r="AH421" i="58"/>
  <c r="AG421" i="58"/>
  <c r="AF421" i="58"/>
  <c r="AE421" i="58"/>
  <c r="AD421" i="58"/>
  <c r="T421" i="58"/>
  <c r="I421" i="58"/>
  <c r="S421" i="58" s="1"/>
  <c r="R421" i="58"/>
  <c r="Y421" i="58"/>
  <c r="F421" i="58"/>
  <c r="P421" i="58" s="1"/>
  <c r="O421" i="58"/>
  <c r="D421" i="58"/>
  <c r="V421" i="58" s="1"/>
  <c r="AJ420" i="58"/>
  <c r="AI420" i="58"/>
  <c r="AH420" i="58"/>
  <c r="AG420" i="58"/>
  <c r="AF420" i="58"/>
  <c r="AE420" i="58"/>
  <c r="AD420" i="58"/>
  <c r="AJ419" i="58"/>
  <c r="AI419" i="58"/>
  <c r="AH419" i="58"/>
  <c r="AG419" i="58"/>
  <c r="AF419" i="58"/>
  <c r="AE419" i="58"/>
  <c r="AD419" i="58"/>
  <c r="AJ418" i="58"/>
  <c r="AI418" i="58"/>
  <c r="AH418" i="58"/>
  <c r="AG418" i="58"/>
  <c r="AF418" i="58"/>
  <c r="AE418" i="58"/>
  <c r="AD418" i="58"/>
  <c r="AJ416" i="59"/>
  <c r="AI416" i="59"/>
  <c r="AH416" i="59"/>
  <c r="AG416" i="59"/>
  <c r="AF416" i="59"/>
  <c r="AE416" i="59"/>
  <c r="AD416" i="59"/>
  <c r="AJ415" i="59"/>
  <c r="AI415" i="59"/>
  <c r="AH415" i="59"/>
  <c r="AG415" i="59"/>
  <c r="AF415" i="59"/>
  <c r="AE415" i="59"/>
  <c r="AD415" i="59"/>
  <c r="J415" i="59"/>
  <c r="AB415" i="59" s="1"/>
  <c r="AA415" i="59"/>
  <c r="R415" i="59"/>
  <c r="G415" i="59"/>
  <c r="Y415" i="59" s="1"/>
  <c r="F415" i="59"/>
  <c r="X415" i="59" s="1"/>
  <c r="E415" i="59"/>
  <c r="W415" i="59" s="1"/>
  <c r="D415" i="59"/>
  <c r="N415" i="59" s="1"/>
  <c r="AJ414" i="59"/>
  <c r="AI414" i="59"/>
  <c r="AH414" i="59"/>
  <c r="AG414" i="59"/>
  <c r="AF414" i="59"/>
  <c r="AE414" i="59"/>
  <c r="AD414" i="59"/>
  <c r="AJ413" i="59"/>
  <c r="AI413" i="59"/>
  <c r="AH413" i="59"/>
  <c r="AG413" i="59"/>
  <c r="AF413" i="59"/>
  <c r="AE413" i="59"/>
  <c r="AD413" i="59"/>
  <c r="AJ412" i="59"/>
  <c r="AI412" i="59"/>
  <c r="AH412" i="59"/>
  <c r="AG412" i="59"/>
  <c r="AF412" i="59"/>
  <c r="AE412" i="59"/>
  <c r="AD412" i="59"/>
  <c r="AJ416" i="62"/>
  <c r="AI416" i="62"/>
  <c r="AH416" i="62"/>
  <c r="AG416" i="62"/>
  <c r="AF416" i="62"/>
  <c r="AE416" i="62"/>
  <c r="AD416" i="62"/>
  <c r="AJ415" i="62"/>
  <c r="AI415" i="62"/>
  <c r="AH415" i="62"/>
  <c r="AG415" i="62"/>
  <c r="AF415" i="62"/>
  <c r="AE415" i="62"/>
  <c r="AD415" i="62"/>
  <c r="J415" i="62"/>
  <c r="T415" i="62" s="1"/>
  <c r="I415" i="62"/>
  <c r="S415" i="62" s="1"/>
  <c r="H415" i="62"/>
  <c r="G415" i="62"/>
  <c r="Y415" i="62" s="1"/>
  <c r="F415" i="62"/>
  <c r="E415" i="62"/>
  <c r="W415" i="62" s="1"/>
  <c r="D415" i="62"/>
  <c r="V415" i="62" s="1"/>
  <c r="AJ414" i="62"/>
  <c r="AI414" i="62"/>
  <c r="AH414" i="62"/>
  <c r="AG414" i="62"/>
  <c r="AF414" i="62"/>
  <c r="AE414" i="62"/>
  <c r="AD414" i="62"/>
  <c r="AJ413" i="62"/>
  <c r="AI413" i="62"/>
  <c r="AH413" i="62"/>
  <c r="AG413" i="62"/>
  <c r="AF413" i="62"/>
  <c r="AE413" i="62"/>
  <c r="AD413" i="62"/>
  <c r="AJ412" i="62"/>
  <c r="AI412" i="62"/>
  <c r="AH412" i="62"/>
  <c r="AG412" i="62"/>
  <c r="AF412" i="62"/>
  <c r="AE412" i="62"/>
  <c r="AD412" i="62"/>
  <c r="AJ415" i="61"/>
  <c r="AI415" i="61"/>
  <c r="AH415" i="61"/>
  <c r="AG415" i="61"/>
  <c r="AF415" i="61"/>
  <c r="AE415" i="61"/>
  <c r="AD415" i="61"/>
  <c r="AJ414" i="61"/>
  <c r="AI414" i="61"/>
  <c r="AH414" i="61"/>
  <c r="AG414" i="61"/>
  <c r="AF414" i="61"/>
  <c r="AE414" i="61"/>
  <c r="AD414" i="61"/>
  <c r="J414" i="61"/>
  <c r="T414" i="61" s="1"/>
  <c r="S414" i="61"/>
  <c r="R414" i="61"/>
  <c r="F414" i="61"/>
  <c r="P414" i="61" s="1"/>
  <c r="E414" i="61"/>
  <c r="O414" i="61" s="1"/>
  <c r="N414" i="61"/>
  <c r="AJ413" i="61"/>
  <c r="AI413" i="61"/>
  <c r="AH413" i="61"/>
  <c r="AG413" i="61"/>
  <c r="AF413" i="61"/>
  <c r="AE413" i="61"/>
  <c r="AD413" i="61"/>
  <c r="AJ412" i="61"/>
  <c r="AI412" i="61"/>
  <c r="AH412" i="61"/>
  <c r="AG412" i="61"/>
  <c r="AF412" i="61"/>
  <c r="AE412" i="61"/>
  <c r="AD412" i="61"/>
  <c r="AJ411" i="61"/>
  <c r="AI411" i="61"/>
  <c r="AH411" i="61"/>
  <c r="AG411" i="61"/>
  <c r="AF411" i="61"/>
  <c r="AE411" i="61"/>
  <c r="AD411" i="61"/>
  <c r="AJ314" i="59"/>
  <c r="AI314" i="59"/>
  <c r="AH314" i="59"/>
  <c r="AG314" i="59"/>
  <c r="AF314" i="59"/>
  <c r="AE314" i="59"/>
  <c r="AD314" i="59"/>
  <c r="AJ313" i="59"/>
  <c r="AI313" i="59"/>
  <c r="AH313" i="59"/>
  <c r="AG313" i="59"/>
  <c r="AF313" i="59"/>
  <c r="AE313" i="59"/>
  <c r="AD313" i="59"/>
  <c r="J313" i="59"/>
  <c r="AB313" i="59" s="1"/>
  <c r="I313" i="59"/>
  <c r="H313" i="59"/>
  <c r="Z313" i="59" s="1"/>
  <c r="G313" i="59"/>
  <c r="F313" i="59"/>
  <c r="X313" i="59" s="1"/>
  <c r="E313" i="59"/>
  <c r="D313" i="59"/>
  <c r="V313" i="59" s="1"/>
  <c r="AJ312" i="59"/>
  <c r="AI312" i="59"/>
  <c r="AH312" i="59"/>
  <c r="AG312" i="59"/>
  <c r="AF312" i="59"/>
  <c r="AE312" i="59"/>
  <c r="AD312" i="59"/>
  <c r="AJ311" i="59"/>
  <c r="AI311" i="59"/>
  <c r="AH311" i="59"/>
  <c r="AG311" i="59"/>
  <c r="AF311" i="59"/>
  <c r="AE311" i="59"/>
  <c r="AD311" i="59"/>
  <c r="AJ310" i="59"/>
  <c r="AI310" i="59"/>
  <c r="AH310" i="59"/>
  <c r="AG310" i="59"/>
  <c r="AF310" i="59"/>
  <c r="AE310" i="59"/>
  <c r="AD310" i="59"/>
  <c r="AJ296" i="62"/>
  <c r="AI296" i="62"/>
  <c r="AH296" i="62"/>
  <c r="AG296" i="62"/>
  <c r="AF296" i="62"/>
  <c r="AE296" i="62"/>
  <c r="AD296" i="62"/>
  <c r="AJ295" i="62"/>
  <c r="AI295" i="62"/>
  <c r="AH295" i="62"/>
  <c r="AG295" i="62"/>
  <c r="AF295" i="62"/>
  <c r="AE295" i="62"/>
  <c r="AD295" i="62"/>
  <c r="J295" i="62"/>
  <c r="I295" i="62"/>
  <c r="S295" i="62" s="1"/>
  <c r="H295" i="62"/>
  <c r="G295" i="62"/>
  <c r="Y295" i="62" s="1"/>
  <c r="F295" i="62"/>
  <c r="E295" i="62"/>
  <c r="D295" i="62"/>
  <c r="V295" i="62" s="1"/>
  <c r="AJ294" i="62"/>
  <c r="AI294" i="62"/>
  <c r="AH294" i="62"/>
  <c r="AG294" i="62"/>
  <c r="AF294" i="62"/>
  <c r="AE294" i="62"/>
  <c r="AD294" i="62"/>
  <c r="AJ293" i="62"/>
  <c r="AI293" i="62"/>
  <c r="AH293" i="62"/>
  <c r="AG293" i="62"/>
  <c r="AF293" i="62"/>
  <c r="AE293" i="62"/>
  <c r="AD293" i="62"/>
  <c r="AJ292" i="62"/>
  <c r="AI292" i="62"/>
  <c r="AH292" i="62"/>
  <c r="AG292" i="62"/>
  <c r="AF292" i="62"/>
  <c r="AE292" i="62"/>
  <c r="AD292" i="62"/>
  <c r="AJ272" i="61"/>
  <c r="AI272" i="61"/>
  <c r="AH272" i="61"/>
  <c r="AG272" i="61"/>
  <c r="AF272" i="61"/>
  <c r="AE272" i="61"/>
  <c r="AD272" i="61"/>
  <c r="AJ271" i="61"/>
  <c r="AI271" i="61"/>
  <c r="AH271" i="61"/>
  <c r="AG271" i="61"/>
  <c r="AF271" i="61"/>
  <c r="AE271" i="61"/>
  <c r="AD271" i="61"/>
  <c r="J271" i="61"/>
  <c r="AB271" i="61" s="1"/>
  <c r="S271" i="61"/>
  <c r="R271" i="61"/>
  <c r="G271" i="61"/>
  <c r="Y271" i="61" s="1"/>
  <c r="F271" i="61"/>
  <c r="E271" i="61"/>
  <c r="W271" i="61" s="1"/>
  <c r="D271" i="61"/>
  <c r="N271" i="61" s="1"/>
  <c r="AJ270" i="61"/>
  <c r="AI270" i="61"/>
  <c r="AH270" i="61"/>
  <c r="AG270" i="61"/>
  <c r="AF270" i="61"/>
  <c r="AE270" i="61"/>
  <c r="AD270" i="61"/>
  <c r="AJ269" i="61"/>
  <c r="AI269" i="61"/>
  <c r="AH269" i="61"/>
  <c r="AG269" i="61"/>
  <c r="AF269" i="61"/>
  <c r="AE269" i="61"/>
  <c r="AD269" i="61"/>
  <c r="AJ268" i="61"/>
  <c r="AI268" i="61"/>
  <c r="AH268" i="61"/>
  <c r="AG268" i="61"/>
  <c r="AF268" i="61"/>
  <c r="AE268" i="61"/>
  <c r="AD268" i="61"/>
  <c r="AJ272" i="58"/>
  <c r="AI272" i="58"/>
  <c r="AH272" i="58"/>
  <c r="AG272" i="58"/>
  <c r="AF272" i="58"/>
  <c r="AE272" i="58"/>
  <c r="AD272" i="58"/>
  <c r="AJ271" i="58"/>
  <c r="AI271" i="58"/>
  <c r="AH271" i="58"/>
  <c r="AG271" i="58"/>
  <c r="AF271" i="58"/>
  <c r="AE271" i="58"/>
  <c r="AD271" i="58"/>
  <c r="J271" i="58"/>
  <c r="T271" i="58" s="1"/>
  <c r="I271" i="58"/>
  <c r="AA271" i="58" s="1"/>
  <c r="H271" i="58"/>
  <c r="Z271" i="58" s="1"/>
  <c r="G271" i="58"/>
  <c r="Q271" i="58" s="1"/>
  <c r="P271" i="58"/>
  <c r="O271" i="58"/>
  <c r="D271" i="58"/>
  <c r="V271" i="58" s="1"/>
  <c r="AJ270" i="58"/>
  <c r="AI270" i="58"/>
  <c r="AH270" i="58"/>
  <c r="AG270" i="58"/>
  <c r="AF270" i="58"/>
  <c r="AE270" i="58"/>
  <c r="AD270" i="58"/>
  <c r="AJ269" i="58"/>
  <c r="AI269" i="58"/>
  <c r="AH269" i="58"/>
  <c r="AG269" i="58"/>
  <c r="AF269" i="58"/>
  <c r="AE269" i="58"/>
  <c r="AD269" i="58"/>
  <c r="AJ268" i="58"/>
  <c r="AI268" i="58"/>
  <c r="AH268" i="58"/>
  <c r="AG268" i="58"/>
  <c r="AF268" i="58"/>
  <c r="AE268" i="58"/>
  <c r="AD268" i="58"/>
  <c r="AJ230" i="62"/>
  <c r="AI230" i="62"/>
  <c r="AH230" i="62"/>
  <c r="AG230" i="62"/>
  <c r="AF230" i="62"/>
  <c r="AE230" i="62"/>
  <c r="AD230" i="62"/>
  <c r="AJ229" i="62"/>
  <c r="AI229" i="62"/>
  <c r="AH229" i="62"/>
  <c r="AG229" i="62"/>
  <c r="AF229" i="62"/>
  <c r="AE229" i="62"/>
  <c r="AD229" i="62"/>
  <c r="J229" i="62"/>
  <c r="T229" i="62" s="1"/>
  <c r="I229" i="62"/>
  <c r="S229" i="62" s="1"/>
  <c r="H229" i="62"/>
  <c r="Z229" i="62" s="1"/>
  <c r="G229" i="62"/>
  <c r="Y229" i="62" s="1"/>
  <c r="F229" i="62"/>
  <c r="E229" i="62"/>
  <c r="D229" i="62"/>
  <c r="AJ228" i="62"/>
  <c r="AI228" i="62"/>
  <c r="AH228" i="62"/>
  <c r="AG228" i="62"/>
  <c r="AF228" i="62"/>
  <c r="AE228" i="62"/>
  <c r="AD228" i="62"/>
  <c r="AJ227" i="62"/>
  <c r="AI227" i="62"/>
  <c r="AH227" i="62"/>
  <c r="AG227" i="62"/>
  <c r="AF227" i="62"/>
  <c r="AE227" i="62"/>
  <c r="AD227" i="62"/>
  <c r="AJ226" i="62"/>
  <c r="AI226" i="62"/>
  <c r="AH226" i="62"/>
  <c r="AG226" i="62"/>
  <c r="AF226" i="62"/>
  <c r="AE226" i="62"/>
  <c r="AD226" i="62"/>
  <c r="AJ236" i="58"/>
  <c r="AI236" i="58"/>
  <c r="AH236" i="58"/>
  <c r="AG236" i="58"/>
  <c r="AF236" i="58"/>
  <c r="AE236" i="58"/>
  <c r="AD236" i="58"/>
  <c r="AJ235" i="58"/>
  <c r="AI235" i="58"/>
  <c r="AH235" i="58"/>
  <c r="AG235" i="58"/>
  <c r="AF235" i="58"/>
  <c r="AE235" i="58"/>
  <c r="AD235" i="58"/>
  <c r="J235" i="58"/>
  <c r="AB235" i="58" s="1"/>
  <c r="I235" i="58"/>
  <c r="S235" i="58" s="1"/>
  <c r="H235" i="58"/>
  <c r="Z235" i="58" s="1"/>
  <c r="G235" i="58"/>
  <c r="Q235" i="58" s="1"/>
  <c r="P235" i="58"/>
  <c r="W235" i="58"/>
  <c r="D235" i="58"/>
  <c r="V235" i="58" s="1"/>
  <c r="AJ234" i="58"/>
  <c r="AI234" i="58"/>
  <c r="AH234" i="58"/>
  <c r="AG234" i="58"/>
  <c r="AF234" i="58"/>
  <c r="AE234" i="58"/>
  <c r="AD234" i="58"/>
  <c r="AJ233" i="58"/>
  <c r="AI233" i="58"/>
  <c r="AH233" i="58"/>
  <c r="AG233" i="58"/>
  <c r="AF233" i="58"/>
  <c r="AE233" i="58"/>
  <c r="AD233" i="58"/>
  <c r="AJ232" i="58"/>
  <c r="AI232" i="58"/>
  <c r="AH232" i="58"/>
  <c r="AG232" i="58"/>
  <c r="AF232" i="58"/>
  <c r="AE232" i="58"/>
  <c r="AD232" i="58"/>
  <c r="K446" i="62"/>
  <c r="K435" i="62"/>
  <c r="AJ224" i="62"/>
  <c r="AI224" i="62"/>
  <c r="AH224" i="62"/>
  <c r="AG224" i="62"/>
  <c r="AF224" i="62"/>
  <c r="AE224" i="62"/>
  <c r="AD224" i="62"/>
  <c r="AJ223" i="62"/>
  <c r="AI223" i="62"/>
  <c r="AH223" i="62"/>
  <c r="AG223" i="62"/>
  <c r="AF223" i="62"/>
  <c r="AE223" i="62"/>
  <c r="AD223" i="62"/>
  <c r="AB223" i="62"/>
  <c r="AA223" i="62"/>
  <c r="Z223" i="62"/>
  <c r="Y223" i="62"/>
  <c r="X223" i="62"/>
  <c r="W223" i="62"/>
  <c r="V223" i="62"/>
  <c r="T223" i="62"/>
  <c r="S223" i="62"/>
  <c r="R223" i="62"/>
  <c r="Q223" i="62"/>
  <c r="P223" i="62"/>
  <c r="O223" i="62"/>
  <c r="N223" i="62"/>
  <c r="L223" i="62"/>
  <c r="K223" i="62"/>
  <c r="AJ222" i="62"/>
  <c r="AI222" i="62"/>
  <c r="AH222" i="62"/>
  <c r="AG222" i="62"/>
  <c r="AF222" i="62"/>
  <c r="AE222" i="62"/>
  <c r="AD222" i="62"/>
  <c r="AJ221" i="62"/>
  <c r="AI221" i="62"/>
  <c r="AH221" i="62"/>
  <c r="AG221" i="62"/>
  <c r="AF221" i="62"/>
  <c r="AE221" i="62"/>
  <c r="AD221" i="62"/>
  <c r="AJ220" i="62"/>
  <c r="AI220" i="62"/>
  <c r="AH220" i="62"/>
  <c r="AG220" i="62"/>
  <c r="AF220" i="62"/>
  <c r="AE220" i="62"/>
  <c r="AD220" i="62"/>
  <c r="AJ218" i="62"/>
  <c r="AI218" i="62"/>
  <c r="AH218" i="62"/>
  <c r="AG218" i="62"/>
  <c r="AF218" i="62"/>
  <c r="AE218" i="62"/>
  <c r="AD218" i="62"/>
  <c r="AJ217" i="62"/>
  <c r="AI217" i="62"/>
  <c r="AH217" i="62"/>
  <c r="AG217" i="62"/>
  <c r="AF217" i="62"/>
  <c r="AE217" i="62"/>
  <c r="AD217" i="62"/>
  <c r="AB217" i="62"/>
  <c r="AA217" i="62"/>
  <c r="Z217" i="62"/>
  <c r="Y217" i="62"/>
  <c r="X217" i="62"/>
  <c r="W217" i="62"/>
  <c r="V217" i="62"/>
  <c r="T217" i="62"/>
  <c r="S217" i="62"/>
  <c r="R217" i="62"/>
  <c r="Q217" i="62"/>
  <c r="P217" i="62"/>
  <c r="O217" i="62"/>
  <c r="N217" i="62"/>
  <c r="L217" i="62"/>
  <c r="K217" i="62"/>
  <c r="AJ216" i="62"/>
  <c r="AI216" i="62"/>
  <c r="AH216" i="62"/>
  <c r="AG216" i="62"/>
  <c r="AF216" i="62"/>
  <c r="AE216" i="62"/>
  <c r="AD216" i="62"/>
  <c r="AJ215" i="62"/>
  <c r="AI215" i="62"/>
  <c r="AH215" i="62"/>
  <c r="AG215" i="62"/>
  <c r="AF215" i="62"/>
  <c r="AE215" i="62"/>
  <c r="AD215" i="62"/>
  <c r="AJ214" i="62"/>
  <c r="AI214" i="62"/>
  <c r="AH214" i="62"/>
  <c r="AG214" i="62"/>
  <c r="AF214" i="62"/>
  <c r="AE214" i="62"/>
  <c r="AD214" i="62"/>
  <c r="AJ212" i="62"/>
  <c r="AI212" i="62"/>
  <c r="AH212" i="62"/>
  <c r="AG212" i="62"/>
  <c r="AF212" i="62"/>
  <c r="AE212" i="62"/>
  <c r="AD212" i="62"/>
  <c r="AJ211" i="62"/>
  <c r="AI211" i="62"/>
  <c r="AH211" i="62"/>
  <c r="AG211" i="62"/>
  <c r="AF211" i="62"/>
  <c r="AE211" i="62"/>
  <c r="AD211" i="62"/>
  <c r="AB211" i="62"/>
  <c r="AA211" i="62"/>
  <c r="Z211" i="62"/>
  <c r="Y211" i="62"/>
  <c r="X211" i="62"/>
  <c r="W211" i="62"/>
  <c r="V211" i="62"/>
  <c r="T211" i="62"/>
  <c r="S211" i="62"/>
  <c r="R211" i="62"/>
  <c r="Q211" i="62"/>
  <c r="P211" i="62"/>
  <c r="O211" i="62"/>
  <c r="N211" i="62"/>
  <c r="L211" i="62"/>
  <c r="K211" i="62"/>
  <c r="AJ210" i="62"/>
  <c r="AI210" i="62"/>
  <c r="AH210" i="62"/>
  <c r="AG210" i="62"/>
  <c r="AF210" i="62"/>
  <c r="AE210" i="62"/>
  <c r="AD210" i="62"/>
  <c r="AJ209" i="62"/>
  <c r="AI209" i="62"/>
  <c r="AH209" i="62"/>
  <c r="AG209" i="62"/>
  <c r="AF209" i="62"/>
  <c r="AE209" i="62"/>
  <c r="AD209" i="62"/>
  <c r="AJ208" i="62"/>
  <c r="AI208" i="62"/>
  <c r="AH208" i="62"/>
  <c r="AG208" i="62"/>
  <c r="AF208" i="62"/>
  <c r="AE208" i="62"/>
  <c r="AD208" i="62"/>
  <c r="AJ206" i="62"/>
  <c r="AI206" i="62"/>
  <c r="AH206" i="62"/>
  <c r="AG206" i="62"/>
  <c r="AF206" i="62"/>
  <c r="AE206" i="62"/>
  <c r="AD206" i="62"/>
  <c r="AJ205" i="62"/>
  <c r="AI205" i="62"/>
  <c r="AH205" i="62"/>
  <c r="AG205" i="62"/>
  <c r="AF205" i="62"/>
  <c r="AE205" i="62"/>
  <c r="AD205" i="62"/>
  <c r="AB205" i="62"/>
  <c r="AA205" i="62"/>
  <c r="Z205" i="62"/>
  <c r="Y205" i="62"/>
  <c r="X205" i="62"/>
  <c r="W205" i="62"/>
  <c r="V205" i="62"/>
  <c r="T205" i="62"/>
  <c r="S205" i="62"/>
  <c r="R205" i="62"/>
  <c r="Q205" i="62"/>
  <c r="P205" i="62"/>
  <c r="O205" i="62"/>
  <c r="N205" i="62"/>
  <c r="L205" i="62"/>
  <c r="K205" i="62"/>
  <c r="AJ204" i="62"/>
  <c r="AI204" i="62"/>
  <c r="AH204" i="62"/>
  <c r="AG204" i="62"/>
  <c r="AF204" i="62"/>
  <c r="AE204" i="62"/>
  <c r="AD204" i="62"/>
  <c r="AJ203" i="62"/>
  <c r="AI203" i="62"/>
  <c r="AH203" i="62"/>
  <c r="AG203" i="62"/>
  <c r="AF203" i="62"/>
  <c r="AE203" i="62"/>
  <c r="AD203" i="62"/>
  <c r="AJ202" i="62"/>
  <c r="AI202" i="62"/>
  <c r="AH202" i="62"/>
  <c r="AG202" i="62"/>
  <c r="AF202" i="62"/>
  <c r="AE202" i="62"/>
  <c r="AD202" i="62"/>
  <c r="AJ200" i="62"/>
  <c r="AI200" i="62"/>
  <c r="AH200" i="62"/>
  <c r="AG200" i="62"/>
  <c r="AF200" i="62"/>
  <c r="AE200" i="62"/>
  <c r="AD200" i="62"/>
  <c r="AJ199" i="62"/>
  <c r="AI199" i="62"/>
  <c r="AH199" i="62"/>
  <c r="AG199" i="62"/>
  <c r="AF199" i="62"/>
  <c r="AE199" i="62"/>
  <c r="AD199" i="62"/>
  <c r="AB199" i="62"/>
  <c r="AA199" i="62"/>
  <c r="Z199" i="62"/>
  <c r="Y199" i="62"/>
  <c r="X199" i="62"/>
  <c r="W199" i="62"/>
  <c r="V199" i="62"/>
  <c r="T199" i="62"/>
  <c r="S199" i="62"/>
  <c r="R199" i="62"/>
  <c r="Q199" i="62"/>
  <c r="P199" i="62"/>
  <c r="O199" i="62"/>
  <c r="N199" i="62"/>
  <c r="L199" i="62"/>
  <c r="K199" i="62"/>
  <c r="AJ198" i="62"/>
  <c r="AI198" i="62"/>
  <c r="AH198" i="62"/>
  <c r="AG198" i="62"/>
  <c r="AF198" i="62"/>
  <c r="AE198" i="62"/>
  <c r="AD198" i="62"/>
  <c r="AJ197" i="62"/>
  <c r="AI197" i="62"/>
  <c r="AH197" i="62"/>
  <c r="AG197" i="62"/>
  <c r="AF197" i="62"/>
  <c r="AE197" i="62"/>
  <c r="AD197" i="62"/>
  <c r="AJ196" i="62"/>
  <c r="AI196" i="62"/>
  <c r="AH196" i="62"/>
  <c r="AG196" i="62"/>
  <c r="AF196" i="62"/>
  <c r="AE196" i="62"/>
  <c r="AD196" i="62"/>
  <c r="AJ194" i="62"/>
  <c r="AI194" i="62"/>
  <c r="AH194" i="62"/>
  <c r="AG194" i="62"/>
  <c r="AF194" i="62"/>
  <c r="AE194" i="62"/>
  <c r="AD194" i="62"/>
  <c r="AJ193" i="62"/>
  <c r="AI193" i="62"/>
  <c r="AH193" i="62"/>
  <c r="AG193" i="62"/>
  <c r="AF193" i="62"/>
  <c r="AE193" i="62"/>
  <c r="AD193" i="62"/>
  <c r="AB193" i="62"/>
  <c r="AA193" i="62"/>
  <c r="Z193" i="62"/>
  <c r="Y193" i="62"/>
  <c r="X193" i="62"/>
  <c r="W193" i="62"/>
  <c r="V193" i="62"/>
  <c r="T193" i="62"/>
  <c r="S193" i="62"/>
  <c r="R193" i="62"/>
  <c r="Q193" i="62"/>
  <c r="P193" i="62"/>
  <c r="O193" i="62"/>
  <c r="N193" i="62"/>
  <c r="L193" i="62"/>
  <c r="K193" i="62"/>
  <c r="AJ192" i="62"/>
  <c r="AI192" i="62"/>
  <c r="AH192" i="62"/>
  <c r="AG192" i="62"/>
  <c r="AF192" i="62"/>
  <c r="AE192" i="62"/>
  <c r="AD192" i="62"/>
  <c r="AJ191" i="62"/>
  <c r="AI191" i="62"/>
  <c r="AH191" i="62"/>
  <c r="AG191" i="62"/>
  <c r="AF191" i="62"/>
  <c r="AE191" i="62"/>
  <c r="AD191" i="62"/>
  <c r="AJ190" i="62"/>
  <c r="AI190" i="62"/>
  <c r="AH190" i="62"/>
  <c r="AG190" i="62"/>
  <c r="AF190" i="62"/>
  <c r="AE190" i="62"/>
  <c r="AD190" i="62"/>
  <c r="AJ188" i="62"/>
  <c r="AI188" i="62"/>
  <c r="AH188" i="62"/>
  <c r="AG188" i="62"/>
  <c r="AF188" i="62"/>
  <c r="AE188" i="62"/>
  <c r="AD188" i="62"/>
  <c r="AJ187" i="62"/>
  <c r="AI187" i="62"/>
  <c r="AH187" i="62"/>
  <c r="AG187" i="62"/>
  <c r="AF187" i="62"/>
  <c r="AE187" i="62"/>
  <c r="AD187" i="62"/>
  <c r="AB187" i="62"/>
  <c r="AA187" i="62"/>
  <c r="Z187" i="62"/>
  <c r="Y187" i="62"/>
  <c r="X187" i="62"/>
  <c r="W187" i="62"/>
  <c r="V187" i="62"/>
  <c r="T187" i="62"/>
  <c r="S187" i="62"/>
  <c r="R187" i="62"/>
  <c r="Q187" i="62"/>
  <c r="P187" i="62"/>
  <c r="O187" i="62"/>
  <c r="N187" i="62"/>
  <c r="L187" i="62"/>
  <c r="K187" i="62"/>
  <c r="AJ186" i="62"/>
  <c r="AI186" i="62"/>
  <c r="AH186" i="62"/>
  <c r="AG186" i="62"/>
  <c r="AF186" i="62"/>
  <c r="AE186" i="62"/>
  <c r="AD186" i="62"/>
  <c r="AJ185" i="62"/>
  <c r="AI185" i="62"/>
  <c r="AH185" i="62"/>
  <c r="AG185" i="62"/>
  <c r="AF185" i="62"/>
  <c r="AE185" i="62"/>
  <c r="AD185" i="62"/>
  <c r="AJ184" i="62"/>
  <c r="AI184" i="62"/>
  <c r="AH184" i="62"/>
  <c r="AG184" i="62"/>
  <c r="AF184" i="62"/>
  <c r="AE184" i="62"/>
  <c r="AD184" i="62"/>
  <c r="AJ182" i="62"/>
  <c r="AI182" i="62"/>
  <c r="AH182" i="62"/>
  <c r="AG182" i="62"/>
  <c r="AF182" i="62"/>
  <c r="AE182" i="62"/>
  <c r="AD182" i="62"/>
  <c r="AJ181" i="62"/>
  <c r="AI181" i="62"/>
  <c r="AH181" i="62"/>
  <c r="AG181" i="62"/>
  <c r="AF181" i="62"/>
  <c r="AE181" i="62"/>
  <c r="AD181" i="62"/>
  <c r="AB181" i="62"/>
  <c r="AA181" i="62"/>
  <c r="Z181" i="62"/>
  <c r="Y181" i="62"/>
  <c r="X181" i="62"/>
  <c r="W181" i="62"/>
  <c r="V181" i="62"/>
  <c r="T181" i="62"/>
  <c r="S181" i="62"/>
  <c r="R181" i="62"/>
  <c r="Q181" i="62"/>
  <c r="P181" i="62"/>
  <c r="O181" i="62"/>
  <c r="N181" i="62"/>
  <c r="L181" i="62"/>
  <c r="K181" i="62"/>
  <c r="AJ180" i="62"/>
  <c r="AI180" i="62"/>
  <c r="AH180" i="62"/>
  <c r="AG180" i="62"/>
  <c r="AF180" i="62"/>
  <c r="AE180" i="62"/>
  <c r="AD180" i="62"/>
  <c r="AJ179" i="62"/>
  <c r="AI179" i="62"/>
  <c r="AH179" i="62"/>
  <c r="AG179" i="62"/>
  <c r="AF179" i="62"/>
  <c r="AE179" i="62"/>
  <c r="AD179" i="62"/>
  <c r="AJ178" i="62"/>
  <c r="AI178" i="62"/>
  <c r="AH178" i="62"/>
  <c r="AG178" i="62"/>
  <c r="AF178" i="62"/>
  <c r="AE178" i="62"/>
  <c r="AD178" i="62"/>
  <c r="AJ176" i="62"/>
  <c r="AI176" i="62"/>
  <c r="AH176" i="62"/>
  <c r="AG176" i="62"/>
  <c r="AF176" i="62"/>
  <c r="AE176" i="62"/>
  <c r="AD176" i="62"/>
  <c r="AJ175" i="62"/>
  <c r="AI175" i="62"/>
  <c r="AH175" i="62"/>
  <c r="AG175" i="62"/>
  <c r="AF175" i="62"/>
  <c r="AE175" i="62"/>
  <c r="AD175" i="62"/>
  <c r="AB175" i="62"/>
  <c r="AA175" i="62"/>
  <c r="Z175" i="62"/>
  <c r="Y175" i="62"/>
  <c r="X175" i="62"/>
  <c r="W175" i="62"/>
  <c r="V175" i="62"/>
  <c r="T175" i="62"/>
  <c r="S175" i="62"/>
  <c r="R175" i="62"/>
  <c r="Q175" i="62"/>
  <c r="P175" i="62"/>
  <c r="O175" i="62"/>
  <c r="N175" i="62"/>
  <c r="L175" i="62"/>
  <c r="K175" i="62"/>
  <c r="AJ174" i="62"/>
  <c r="AI174" i="62"/>
  <c r="AH174" i="62"/>
  <c r="AG174" i="62"/>
  <c r="AF174" i="62"/>
  <c r="AE174" i="62"/>
  <c r="AD174" i="62"/>
  <c r="AJ173" i="62"/>
  <c r="AI173" i="62"/>
  <c r="AH173" i="62"/>
  <c r="AG173" i="62"/>
  <c r="AF173" i="62"/>
  <c r="AE173" i="62"/>
  <c r="AD173" i="62"/>
  <c r="AJ172" i="62"/>
  <c r="AI172" i="62"/>
  <c r="AH172" i="62"/>
  <c r="AG172" i="62"/>
  <c r="AF172" i="62"/>
  <c r="AE172" i="62"/>
  <c r="AD172" i="62"/>
  <c r="AJ170" i="62"/>
  <c r="AI170" i="62"/>
  <c r="AH170" i="62"/>
  <c r="AG170" i="62"/>
  <c r="AF170" i="62"/>
  <c r="AE170" i="62"/>
  <c r="AD170" i="62"/>
  <c r="AJ169" i="62"/>
  <c r="AI169" i="62"/>
  <c r="AH169" i="62"/>
  <c r="AG169" i="62"/>
  <c r="AF169" i="62"/>
  <c r="AE169" i="62"/>
  <c r="AD169" i="62"/>
  <c r="AB169" i="62"/>
  <c r="AA169" i="62"/>
  <c r="Z169" i="62"/>
  <c r="Y169" i="62"/>
  <c r="X169" i="62"/>
  <c r="W169" i="62"/>
  <c r="V169" i="62"/>
  <c r="T169" i="62"/>
  <c r="S169" i="62"/>
  <c r="R169" i="62"/>
  <c r="Q169" i="62"/>
  <c r="P169" i="62"/>
  <c r="O169" i="62"/>
  <c r="N169" i="62"/>
  <c r="L169" i="62"/>
  <c r="K169" i="62"/>
  <c r="AJ168" i="62"/>
  <c r="AI168" i="62"/>
  <c r="AH168" i="62"/>
  <c r="AG168" i="62"/>
  <c r="AF168" i="62"/>
  <c r="AE168" i="62"/>
  <c r="AD168" i="62"/>
  <c r="AJ167" i="62"/>
  <c r="AI167" i="62"/>
  <c r="AH167" i="62"/>
  <c r="AG167" i="62"/>
  <c r="AF167" i="62"/>
  <c r="AE167" i="62"/>
  <c r="AD167" i="62"/>
  <c r="AJ166" i="62"/>
  <c r="AI166" i="62"/>
  <c r="AH166" i="62"/>
  <c r="AG166" i="62"/>
  <c r="AF166" i="62"/>
  <c r="AE166" i="62"/>
  <c r="AD166" i="62"/>
  <c r="AJ164" i="62"/>
  <c r="AI164" i="62"/>
  <c r="AH164" i="62"/>
  <c r="AG164" i="62"/>
  <c r="AF164" i="62"/>
  <c r="AE164" i="62"/>
  <c r="AD164" i="62"/>
  <c r="AJ163" i="62"/>
  <c r="AI163" i="62"/>
  <c r="AH163" i="62"/>
  <c r="AG163" i="62"/>
  <c r="AF163" i="62"/>
  <c r="AE163" i="62"/>
  <c r="AD163" i="62"/>
  <c r="AB163" i="62"/>
  <c r="AA163" i="62"/>
  <c r="Z163" i="62"/>
  <c r="Y163" i="62"/>
  <c r="X163" i="62"/>
  <c r="W163" i="62"/>
  <c r="V163" i="62"/>
  <c r="T163" i="62"/>
  <c r="S163" i="62"/>
  <c r="R163" i="62"/>
  <c r="Q163" i="62"/>
  <c r="P163" i="62"/>
  <c r="O163" i="62"/>
  <c r="N163" i="62"/>
  <c r="L163" i="62"/>
  <c r="K163" i="62"/>
  <c r="AJ162" i="62"/>
  <c r="AI162" i="62"/>
  <c r="AH162" i="62"/>
  <c r="AG162" i="62"/>
  <c r="AF162" i="62"/>
  <c r="AE162" i="62"/>
  <c r="AD162" i="62"/>
  <c r="AJ161" i="62"/>
  <c r="AI161" i="62"/>
  <c r="AH161" i="62"/>
  <c r="AG161" i="62"/>
  <c r="AF161" i="62"/>
  <c r="AE161" i="62"/>
  <c r="AD161" i="62"/>
  <c r="AJ160" i="62"/>
  <c r="AI160" i="62"/>
  <c r="AH160" i="62"/>
  <c r="AG160" i="62"/>
  <c r="AF160" i="62"/>
  <c r="AE160" i="62"/>
  <c r="AD160" i="62"/>
  <c r="AJ158" i="62"/>
  <c r="AI158" i="62"/>
  <c r="AH158" i="62"/>
  <c r="AG158" i="62"/>
  <c r="AF158" i="62"/>
  <c r="AE158" i="62"/>
  <c r="AD158" i="62"/>
  <c r="AJ157" i="62"/>
  <c r="AI157" i="62"/>
  <c r="AH157" i="62"/>
  <c r="AG157" i="62"/>
  <c r="AF157" i="62"/>
  <c r="AE157" i="62"/>
  <c r="AD157" i="62"/>
  <c r="AB157" i="62"/>
  <c r="AA157" i="62"/>
  <c r="Z157" i="62"/>
  <c r="Y157" i="62"/>
  <c r="X157" i="62"/>
  <c r="W157" i="62"/>
  <c r="V157" i="62"/>
  <c r="T157" i="62"/>
  <c r="S157" i="62"/>
  <c r="R157" i="62"/>
  <c r="Q157" i="62"/>
  <c r="P157" i="62"/>
  <c r="O157" i="62"/>
  <c r="N157" i="62"/>
  <c r="L157" i="62"/>
  <c r="K157" i="62"/>
  <c r="AJ156" i="62"/>
  <c r="AI156" i="62"/>
  <c r="AH156" i="62"/>
  <c r="AG156" i="62"/>
  <c r="AF156" i="62"/>
  <c r="AE156" i="62"/>
  <c r="AD156" i="62"/>
  <c r="AJ155" i="62"/>
  <c r="AI155" i="62"/>
  <c r="AH155" i="62"/>
  <c r="AG155" i="62"/>
  <c r="AF155" i="62"/>
  <c r="AE155" i="62"/>
  <c r="AD155" i="62"/>
  <c r="AJ154" i="62"/>
  <c r="AI154" i="62"/>
  <c r="AH154" i="62"/>
  <c r="AG154" i="62"/>
  <c r="AF154" i="62"/>
  <c r="AE154" i="62"/>
  <c r="AD154" i="62"/>
  <c r="AJ152" i="62"/>
  <c r="AI152" i="62"/>
  <c r="AH152" i="62"/>
  <c r="AG152" i="62"/>
  <c r="AF152" i="62"/>
  <c r="AE152" i="62"/>
  <c r="AD152" i="62"/>
  <c r="AJ151" i="62"/>
  <c r="AI151" i="62"/>
  <c r="AH151" i="62"/>
  <c r="AG151" i="62"/>
  <c r="AF151" i="62"/>
  <c r="AE151" i="62"/>
  <c r="AD151" i="62"/>
  <c r="AB151" i="62"/>
  <c r="AA151" i="62"/>
  <c r="Z151" i="62"/>
  <c r="Y151" i="62"/>
  <c r="X151" i="62"/>
  <c r="W151" i="62"/>
  <c r="V151" i="62"/>
  <c r="T151" i="62"/>
  <c r="S151" i="62"/>
  <c r="R151" i="62"/>
  <c r="Q151" i="62"/>
  <c r="P151" i="62"/>
  <c r="O151" i="62"/>
  <c r="N151" i="62"/>
  <c r="L151" i="62"/>
  <c r="K151" i="62"/>
  <c r="AJ150" i="62"/>
  <c r="AI150" i="62"/>
  <c r="AH150" i="62"/>
  <c r="AG150" i="62"/>
  <c r="AF150" i="62"/>
  <c r="AE150" i="62"/>
  <c r="AD150" i="62"/>
  <c r="AJ149" i="62"/>
  <c r="AI149" i="62"/>
  <c r="AH149" i="62"/>
  <c r="AG149" i="62"/>
  <c r="AF149" i="62"/>
  <c r="AE149" i="62"/>
  <c r="AD149" i="62"/>
  <c r="AJ148" i="62"/>
  <c r="AI148" i="62"/>
  <c r="AH148" i="62"/>
  <c r="AG148" i="62"/>
  <c r="AF148" i="62"/>
  <c r="AE148" i="62"/>
  <c r="AD148" i="62"/>
  <c r="AJ146" i="62"/>
  <c r="AI146" i="62"/>
  <c r="AH146" i="62"/>
  <c r="AG146" i="62"/>
  <c r="AF146" i="62"/>
  <c r="AE146" i="62"/>
  <c r="AD146" i="62"/>
  <c r="AJ145" i="62"/>
  <c r="AI145" i="62"/>
  <c r="AH145" i="62"/>
  <c r="AG145" i="62"/>
  <c r="AF145" i="62"/>
  <c r="AE145" i="62"/>
  <c r="AD145" i="62"/>
  <c r="AB145" i="62"/>
  <c r="AA145" i="62"/>
  <c r="Z145" i="62"/>
  <c r="Y145" i="62"/>
  <c r="X145" i="62"/>
  <c r="W145" i="62"/>
  <c r="V145" i="62"/>
  <c r="T145" i="62"/>
  <c r="S145" i="62"/>
  <c r="R145" i="62"/>
  <c r="Q145" i="62"/>
  <c r="P145" i="62"/>
  <c r="O145" i="62"/>
  <c r="N145" i="62"/>
  <c r="L145" i="62"/>
  <c r="K145" i="62"/>
  <c r="AJ144" i="62"/>
  <c r="AI144" i="62"/>
  <c r="AH144" i="62"/>
  <c r="AG144" i="62"/>
  <c r="AF144" i="62"/>
  <c r="AE144" i="62"/>
  <c r="AD144" i="62"/>
  <c r="AJ143" i="62"/>
  <c r="AI143" i="62"/>
  <c r="AH143" i="62"/>
  <c r="AG143" i="62"/>
  <c r="AF143" i="62"/>
  <c r="AE143" i="62"/>
  <c r="AD143" i="62"/>
  <c r="AJ142" i="62"/>
  <c r="AI142" i="62"/>
  <c r="AH142" i="62"/>
  <c r="AG142" i="62"/>
  <c r="AF142" i="62"/>
  <c r="AE142" i="62"/>
  <c r="AD142" i="62"/>
  <c r="AJ140" i="62"/>
  <c r="AI140" i="62"/>
  <c r="AH140" i="62"/>
  <c r="AG140" i="62"/>
  <c r="AF140" i="62"/>
  <c r="AE140" i="62"/>
  <c r="AD140" i="62"/>
  <c r="AJ139" i="62"/>
  <c r="AI139" i="62"/>
  <c r="AH139" i="62"/>
  <c r="AG139" i="62"/>
  <c r="AF139" i="62"/>
  <c r="AE139" i="62"/>
  <c r="AD139" i="62"/>
  <c r="AB139" i="62"/>
  <c r="AA139" i="62"/>
  <c r="Z139" i="62"/>
  <c r="Y139" i="62"/>
  <c r="X139" i="62"/>
  <c r="W139" i="62"/>
  <c r="V139" i="62"/>
  <c r="T139" i="62"/>
  <c r="S139" i="62"/>
  <c r="R139" i="62"/>
  <c r="Q139" i="62"/>
  <c r="P139" i="62"/>
  <c r="O139" i="62"/>
  <c r="N139" i="62"/>
  <c r="L139" i="62"/>
  <c r="K139" i="62"/>
  <c r="AJ138" i="62"/>
  <c r="AI138" i="62"/>
  <c r="AH138" i="62"/>
  <c r="AG138" i="62"/>
  <c r="AF138" i="62"/>
  <c r="AE138" i="62"/>
  <c r="AD138" i="62"/>
  <c r="AJ137" i="62"/>
  <c r="AI137" i="62"/>
  <c r="AH137" i="62"/>
  <c r="AG137" i="62"/>
  <c r="AF137" i="62"/>
  <c r="AE137" i="62"/>
  <c r="AD137" i="62"/>
  <c r="AJ136" i="62"/>
  <c r="AI136" i="62"/>
  <c r="AH136" i="62"/>
  <c r="AG136" i="62"/>
  <c r="AF136" i="62"/>
  <c r="AE136" i="62"/>
  <c r="AD136" i="62"/>
  <c r="AJ134" i="62"/>
  <c r="AI134" i="62"/>
  <c r="AH134" i="62"/>
  <c r="AG134" i="62"/>
  <c r="AF134" i="62"/>
  <c r="AE134" i="62"/>
  <c r="AD134" i="62"/>
  <c r="AJ133" i="62"/>
  <c r="AI133" i="62"/>
  <c r="AH133" i="62"/>
  <c r="AG133" i="62"/>
  <c r="AF133" i="62"/>
  <c r="AE133" i="62"/>
  <c r="AD133" i="62"/>
  <c r="AB133" i="62"/>
  <c r="AA133" i="62"/>
  <c r="Z133" i="62"/>
  <c r="Y133" i="62"/>
  <c r="X133" i="62"/>
  <c r="W133" i="62"/>
  <c r="V133" i="62"/>
  <c r="T133" i="62"/>
  <c r="S133" i="62"/>
  <c r="R133" i="62"/>
  <c r="Q133" i="62"/>
  <c r="P133" i="62"/>
  <c r="O133" i="62"/>
  <c r="N133" i="62"/>
  <c r="L133" i="62"/>
  <c r="K133" i="62"/>
  <c r="AJ132" i="62"/>
  <c r="AI132" i="62"/>
  <c r="AH132" i="62"/>
  <c r="AG132" i="62"/>
  <c r="AF132" i="62"/>
  <c r="AE132" i="62"/>
  <c r="AD132" i="62"/>
  <c r="AJ131" i="62"/>
  <c r="AI131" i="62"/>
  <c r="AH131" i="62"/>
  <c r="AG131" i="62"/>
  <c r="AF131" i="62"/>
  <c r="AE131" i="62"/>
  <c r="AD131" i="62"/>
  <c r="AJ130" i="62"/>
  <c r="AI130" i="62"/>
  <c r="AH130" i="62"/>
  <c r="AG130" i="62"/>
  <c r="AF130" i="62"/>
  <c r="AE130" i="62"/>
  <c r="AD130" i="62"/>
  <c r="AJ128" i="62"/>
  <c r="AI128" i="62"/>
  <c r="AH128" i="62"/>
  <c r="AG128" i="62"/>
  <c r="AF128" i="62"/>
  <c r="AE128" i="62"/>
  <c r="AD128" i="62"/>
  <c r="AJ127" i="62"/>
  <c r="AI127" i="62"/>
  <c r="AH127" i="62"/>
  <c r="AG127" i="62"/>
  <c r="AF127" i="62"/>
  <c r="AE127" i="62"/>
  <c r="AD127" i="62"/>
  <c r="AB127" i="62"/>
  <c r="AA127" i="62"/>
  <c r="Z127" i="62"/>
  <c r="Y127" i="62"/>
  <c r="X127" i="62"/>
  <c r="W127" i="62"/>
  <c r="V127" i="62"/>
  <c r="T127" i="62"/>
  <c r="S127" i="62"/>
  <c r="R127" i="62"/>
  <c r="Q127" i="62"/>
  <c r="P127" i="62"/>
  <c r="O127" i="62"/>
  <c r="N127" i="62"/>
  <c r="L127" i="62"/>
  <c r="K127" i="62"/>
  <c r="AJ126" i="62"/>
  <c r="AI126" i="62"/>
  <c r="AH126" i="62"/>
  <c r="AG126" i="62"/>
  <c r="AF126" i="62"/>
  <c r="AE126" i="62"/>
  <c r="AD126" i="62"/>
  <c r="AJ125" i="62"/>
  <c r="AI125" i="62"/>
  <c r="AH125" i="62"/>
  <c r="AG125" i="62"/>
  <c r="AF125" i="62"/>
  <c r="AE125" i="62"/>
  <c r="AD125" i="62"/>
  <c r="AJ124" i="62"/>
  <c r="AI124" i="62"/>
  <c r="AH124" i="62"/>
  <c r="AG124" i="62"/>
  <c r="AF124" i="62"/>
  <c r="AE124" i="62"/>
  <c r="AD124" i="62"/>
  <c r="AJ122" i="62"/>
  <c r="AI122" i="62"/>
  <c r="AH122" i="62"/>
  <c r="AG122" i="62"/>
  <c r="AF122" i="62"/>
  <c r="AE122" i="62"/>
  <c r="AD122" i="62"/>
  <c r="AJ121" i="62"/>
  <c r="AI121" i="62"/>
  <c r="AH121" i="62"/>
  <c r="AG121" i="62"/>
  <c r="AF121" i="62"/>
  <c r="AE121" i="62"/>
  <c r="AD121" i="62"/>
  <c r="AB121" i="62"/>
  <c r="AA121" i="62"/>
  <c r="Z121" i="62"/>
  <c r="Y121" i="62"/>
  <c r="X121" i="62"/>
  <c r="W121" i="62"/>
  <c r="V121" i="62"/>
  <c r="T121" i="62"/>
  <c r="S121" i="62"/>
  <c r="R121" i="62"/>
  <c r="Q121" i="62"/>
  <c r="P121" i="62"/>
  <c r="O121" i="62"/>
  <c r="N121" i="62"/>
  <c r="L121" i="62"/>
  <c r="K121" i="62"/>
  <c r="AJ120" i="62"/>
  <c r="AI120" i="62"/>
  <c r="AH120" i="62"/>
  <c r="AG120" i="62"/>
  <c r="AF120" i="62"/>
  <c r="AE120" i="62"/>
  <c r="AD120" i="62"/>
  <c r="AJ119" i="62"/>
  <c r="AI119" i="62"/>
  <c r="AH119" i="62"/>
  <c r="AG119" i="62"/>
  <c r="AF119" i="62"/>
  <c r="AE119" i="62"/>
  <c r="AD119" i="62"/>
  <c r="AJ118" i="62"/>
  <c r="AI118" i="62"/>
  <c r="AH118" i="62"/>
  <c r="AG118" i="62"/>
  <c r="AF118" i="62"/>
  <c r="AE118" i="62"/>
  <c r="AD118" i="62"/>
  <c r="AJ116" i="62"/>
  <c r="AI116" i="62"/>
  <c r="AH116" i="62"/>
  <c r="AG116" i="62"/>
  <c r="AF116" i="62"/>
  <c r="AE116" i="62"/>
  <c r="AD116" i="62"/>
  <c r="AJ115" i="62"/>
  <c r="AI115" i="62"/>
  <c r="AH115" i="62"/>
  <c r="AG115" i="62"/>
  <c r="AF115" i="62"/>
  <c r="AE115" i="62"/>
  <c r="AD115" i="62"/>
  <c r="AB115" i="62"/>
  <c r="AA115" i="62"/>
  <c r="Z115" i="62"/>
  <c r="Y115" i="62"/>
  <c r="X115" i="62"/>
  <c r="W115" i="62"/>
  <c r="V115" i="62"/>
  <c r="T115" i="62"/>
  <c r="S115" i="62"/>
  <c r="R115" i="62"/>
  <c r="Q115" i="62"/>
  <c r="P115" i="62"/>
  <c r="O115" i="62"/>
  <c r="N115" i="62"/>
  <c r="L115" i="62"/>
  <c r="K115" i="62"/>
  <c r="AJ114" i="62"/>
  <c r="AI114" i="62"/>
  <c r="AH114" i="62"/>
  <c r="AG114" i="62"/>
  <c r="AF114" i="62"/>
  <c r="AE114" i="62"/>
  <c r="AD114" i="62"/>
  <c r="AJ113" i="62"/>
  <c r="AI113" i="62"/>
  <c r="AH113" i="62"/>
  <c r="AG113" i="62"/>
  <c r="AF113" i="62"/>
  <c r="AE113" i="62"/>
  <c r="AD113" i="62"/>
  <c r="AJ112" i="62"/>
  <c r="AI112" i="62"/>
  <c r="AH112" i="62"/>
  <c r="AG112" i="62"/>
  <c r="AF112" i="62"/>
  <c r="AE112" i="62"/>
  <c r="AD112" i="62"/>
  <c r="AJ110" i="62"/>
  <c r="AI110" i="62"/>
  <c r="AH110" i="62"/>
  <c r="AG110" i="62"/>
  <c r="AF110" i="62"/>
  <c r="AE110" i="62"/>
  <c r="AD110" i="62"/>
  <c r="AJ109" i="62"/>
  <c r="AI109" i="62"/>
  <c r="AH109" i="62"/>
  <c r="AG109" i="62"/>
  <c r="AF109" i="62"/>
  <c r="AE109" i="62"/>
  <c r="AD109" i="62"/>
  <c r="AB109" i="62"/>
  <c r="AA109" i="62"/>
  <c r="Z109" i="62"/>
  <c r="Y109" i="62"/>
  <c r="X109" i="62"/>
  <c r="W109" i="62"/>
  <c r="V109" i="62"/>
  <c r="T109" i="62"/>
  <c r="S109" i="62"/>
  <c r="R109" i="62"/>
  <c r="Q109" i="62"/>
  <c r="P109" i="62"/>
  <c r="O109" i="62"/>
  <c r="N109" i="62"/>
  <c r="L109" i="62"/>
  <c r="K109" i="62"/>
  <c r="AJ108" i="62"/>
  <c r="AI108" i="62"/>
  <c r="AH108" i="62"/>
  <c r="AG108" i="62"/>
  <c r="AF108" i="62"/>
  <c r="AE108" i="62"/>
  <c r="AD108" i="62"/>
  <c r="AJ107" i="62"/>
  <c r="AI107" i="62"/>
  <c r="AH107" i="62"/>
  <c r="AG107" i="62"/>
  <c r="AF107" i="62"/>
  <c r="AE107" i="62"/>
  <c r="AD107" i="62"/>
  <c r="AJ106" i="62"/>
  <c r="AI106" i="62"/>
  <c r="AH106" i="62"/>
  <c r="AG106" i="62"/>
  <c r="AF106" i="62"/>
  <c r="AE106" i="62"/>
  <c r="AD106" i="62"/>
  <c r="AJ104" i="62"/>
  <c r="AI104" i="62"/>
  <c r="AH104" i="62"/>
  <c r="AG104" i="62"/>
  <c r="AF104" i="62"/>
  <c r="AE104" i="62"/>
  <c r="AD104" i="62"/>
  <c r="AJ103" i="62"/>
  <c r="AI103" i="62"/>
  <c r="AH103" i="62"/>
  <c r="AG103" i="62"/>
  <c r="AF103" i="62"/>
  <c r="AE103" i="62"/>
  <c r="AD103" i="62"/>
  <c r="AB103" i="62"/>
  <c r="AA103" i="62"/>
  <c r="Z103" i="62"/>
  <c r="Y103" i="62"/>
  <c r="X103" i="62"/>
  <c r="W103" i="62"/>
  <c r="V103" i="62"/>
  <c r="T103" i="62"/>
  <c r="S103" i="62"/>
  <c r="R103" i="62"/>
  <c r="Q103" i="62"/>
  <c r="P103" i="62"/>
  <c r="O103" i="62"/>
  <c r="N103" i="62"/>
  <c r="L103" i="62"/>
  <c r="K103" i="62"/>
  <c r="AJ102" i="62"/>
  <c r="AI102" i="62"/>
  <c r="AH102" i="62"/>
  <c r="AG102" i="62"/>
  <c r="AF102" i="62"/>
  <c r="AE102" i="62"/>
  <c r="AD102" i="62"/>
  <c r="AJ101" i="62"/>
  <c r="AI101" i="62"/>
  <c r="AH101" i="62"/>
  <c r="AG101" i="62"/>
  <c r="AF101" i="62"/>
  <c r="AE101" i="62"/>
  <c r="AD101" i="62"/>
  <c r="AJ100" i="62"/>
  <c r="AI100" i="62"/>
  <c r="AH100" i="62"/>
  <c r="AG100" i="62"/>
  <c r="AF100" i="62"/>
  <c r="AE100" i="62"/>
  <c r="AD100" i="62"/>
  <c r="AJ98" i="62"/>
  <c r="AI98" i="62"/>
  <c r="AH98" i="62"/>
  <c r="AG98" i="62"/>
  <c r="AF98" i="62"/>
  <c r="AE98" i="62"/>
  <c r="AD98" i="62"/>
  <c r="AJ97" i="62"/>
  <c r="AI97" i="62"/>
  <c r="AH97" i="62"/>
  <c r="AG97" i="62"/>
  <c r="AF97" i="62"/>
  <c r="AE97" i="62"/>
  <c r="AD97" i="62"/>
  <c r="AB97" i="62"/>
  <c r="AA97" i="62"/>
  <c r="Z97" i="62"/>
  <c r="Y97" i="62"/>
  <c r="X97" i="62"/>
  <c r="W97" i="62"/>
  <c r="V97" i="62"/>
  <c r="T97" i="62"/>
  <c r="S97" i="62"/>
  <c r="R97" i="62"/>
  <c r="Q97" i="62"/>
  <c r="P97" i="62"/>
  <c r="O97" i="62"/>
  <c r="N97" i="62"/>
  <c r="L97" i="62"/>
  <c r="K97" i="62"/>
  <c r="AJ96" i="62"/>
  <c r="AI96" i="62"/>
  <c r="AH96" i="62"/>
  <c r="AG96" i="62"/>
  <c r="AF96" i="62"/>
  <c r="AE96" i="62"/>
  <c r="AD96" i="62"/>
  <c r="AJ95" i="62"/>
  <c r="AI95" i="62"/>
  <c r="AH95" i="62"/>
  <c r="AG95" i="62"/>
  <c r="AF95" i="62"/>
  <c r="AE95" i="62"/>
  <c r="AD95" i="62"/>
  <c r="AJ94" i="62"/>
  <c r="AI94" i="62"/>
  <c r="AH94" i="62"/>
  <c r="AG94" i="62"/>
  <c r="AF94" i="62"/>
  <c r="AE94" i="62"/>
  <c r="AD94" i="62"/>
  <c r="AJ92" i="62"/>
  <c r="AI92" i="62"/>
  <c r="AH92" i="62"/>
  <c r="AG92" i="62"/>
  <c r="AF92" i="62"/>
  <c r="AE92" i="62"/>
  <c r="AD92" i="62"/>
  <c r="AJ91" i="62"/>
  <c r="AI91" i="62"/>
  <c r="AH91" i="62"/>
  <c r="AG91" i="62"/>
  <c r="AF91" i="62"/>
  <c r="AE91" i="62"/>
  <c r="AD91" i="62"/>
  <c r="AB91" i="62"/>
  <c r="AA91" i="62"/>
  <c r="Z91" i="62"/>
  <c r="Y91" i="62"/>
  <c r="X91" i="62"/>
  <c r="W91" i="62"/>
  <c r="V91" i="62"/>
  <c r="T91" i="62"/>
  <c r="S91" i="62"/>
  <c r="R91" i="62"/>
  <c r="Q91" i="62"/>
  <c r="P91" i="62"/>
  <c r="O91" i="62"/>
  <c r="N91" i="62"/>
  <c r="L91" i="62"/>
  <c r="K91" i="62"/>
  <c r="AJ90" i="62"/>
  <c r="AI90" i="62"/>
  <c r="AH90" i="62"/>
  <c r="AG90" i="62"/>
  <c r="AF90" i="62"/>
  <c r="AE90" i="62"/>
  <c r="AD90" i="62"/>
  <c r="AJ89" i="62"/>
  <c r="AI89" i="62"/>
  <c r="AH89" i="62"/>
  <c r="AG89" i="62"/>
  <c r="AF89" i="62"/>
  <c r="AE89" i="62"/>
  <c r="AD89" i="62"/>
  <c r="AJ88" i="62"/>
  <c r="AI88" i="62"/>
  <c r="AH88" i="62"/>
  <c r="AG88" i="62"/>
  <c r="AF88" i="62"/>
  <c r="AE88" i="62"/>
  <c r="AD88" i="62"/>
  <c r="AJ86" i="62"/>
  <c r="AI86" i="62"/>
  <c r="AH86" i="62"/>
  <c r="AG86" i="62"/>
  <c r="AF86" i="62"/>
  <c r="AE86" i="62"/>
  <c r="AD86" i="62"/>
  <c r="AJ85" i="62"/>
  <c r="AI85" i="62"/>
  <c r="AH85" i="62"/>
  <c r="AG85" i="62"/>
  <c r="AF85" i="62"/>
  <c r="AE85" i="62"/>
  <c r="AD85" i="62"/>
  <c r="AB85" i="62"/>
  <c r="AA85" i="62"/>
  <c r="Z85" i="62"/>
  <c r="Y85" i="62"/>
  <c r="X85" i="62"/>
  <c r="W85" i="62"/>
  <c r="V85" i="62"/>
  <c r="T85" i="62"/>
  <c r="S85" i="62"/>
  <c r="R85" i="62"/>
  <c r="Q85" i="62"/>
  <c r="P85" i="62"/>
  <c r="O85" i="62"/>
  <c r="N85" i="62"/>
  <c r="L85" i="62"/>
  <c r="K85" i="62"/>
  <c r="AJ84" i="62"/>
  <c r="AI84" i="62"/>
  <c r="AH84" i="62"/>
  <c r="AG84" i="62"/>
  <c r="AF84" i="62"/>
  <c r="AE84" i="62"/>
  <c r="AD84" i="62"/>
  <c r="AJ83" i="62"/>
  <c r="AI83" i="62"/>
  <c r="AH83" i="62"/>
  <c r="AG83" i="62"/>
  <c r="AF83" i="62"/>
  <c r="AE83" i="62"/>
  <c r="AD83" i="62"/>
  <c r="AJ82" i="62"/>
  <c r="AI82" i="62"/>
  <c r="AH82" i="62"/>
  <c r="AG82" i="62"/>
  <c r="AF82" i="62"/>
  <c r="AE82" i="62"/>
  <c r="AD82" i="62"/>
  <c r="AJ80" i="62"/>
  <c r="AI80" i="62"/>
  <c r="AH80" i="62"/>
  <c r="AG80" i="62"/>
  <c r="AF80" i="62"/>
  <c r="AE80" i="62"/>
  <c r="AD80" i="62"/>
  <c r="AJ79" i="62"/>
  <c r="AI79" i="62"/>
  <c r="AH79" i="62"/>
  <c r="AG79" i="62"/>
  <c r="AF79" i="62"/>
  <c r="AE79" i="62"/>
  <c r="AD79" i="62"/>
  <c r="AB79" i="62"/>
  <c r="AA79" i="62"/>
  <c r="Z79" i="62"/>
  <c r="Y79" i="62"/>
  <c r="X79" i="62"/>
  <c r="W79" i="62"/>
  <c r="V79" i="62"/>
  <c r="T79" i="62"/>
  <c r="S79" i="62"/>
  <c r="R79" i="62"/>
  <c r="Q79" i="62"/>
  <c r="P79" i="62"/>
  <c r="O79" i="62"/>
  <c r="N79" i="62"/>
  <c r="L79" i="62"/>
  <c r="K79" i="62"/>
  <c r="AJ78" i="62"/>
  <c r="AI78" i="62"/>
  <c r="AH78" i="62"/>
  <c r="AG78" i="62"/>
  <c r="AF78" i="62"/>
  <c r="AE78" i="62"/>
  <c r="AD78" i="62"/>
  <c r="AJ77" i="62"/>
  <c r="AI77" i="62"/>
  <c r="AH77" i="62"/>
  <c r="AG77" i="62"/>
  <c r="AF77" i="62"/>
  <c r="AE77" i="62"/>
  <c r="AD77" i="62"/>
  <c r="AJ76" i="62"/>
  <c r="AI76" i="62"/>
  <c r="AH76" i="62"/>
  <c r="AG76" i="62"/>
  <c r="AF76" i="62"/>
  <c r="AE76" i="62"/>
  <c r="AD76" i="62"/>
  <c r="AJ74" i="62"/>
  <c r="AI74" i="62"/>
  <c r="AH74" i="62"/>
  <c r="AG74" i="62"/>
  <c r="AF74" i="62"/>
  <c r="AE74" i="62"/>
  <c r="AD74" i="62"/>
  <c r="AJ73" i="62"/>
  <c r="AI73" i="62"/>
  <c r="AH73" i="62"/>
  <c r="AG73" i="62"/>
  <c r="AF73" i="62"/>
  <c r="AE73" i="62"/>
  <c r="AD73" i="62"/>
  <c r="AB73" i="62"/>
  <c r="AA73" i="62"/>
  <c r="Z73" i="62"/>
  <c r="Y73" i="62"/>
  <c r="X73" i="62"/>
  <c r="W73" i="62"/>
  <c r="V73" i="62"/>
  <c r="T73" i="62"/>
  <c r="S73" i="62"/>
  <c r="R73" i="62"/>
  <c r="Q73" i="62"/>
  <c r="P73" i="62"/>
  <c r="O73" i="62"/>
  <c r="N73" i="62"/>
  <c r="L73" i="62"/>
  <c r="K73" i="62"/>
  <c r="AJ72" i="62"/>
  <c r="AI72" i="62"/>
  <c r="AH72" i="62"/>
  <c r="AG72" i="62"/>
  <c r="AF72" i="62"/>
  <c r="AE72" i="62"/>
  <c r="AD72" i="62"/>
  <c r="AJ71" i="62"/>
  <c r="AI71" i="62"/>
  <c r="AH71" i="62"/>
  <c r="AG71" i="62"/>
  <c r="AF71" i="62"/>
  <c r="AE71" i="62"/>
  <c r="AD71" i="62"/>
  <c r="AJ70" i="62"/>
  <c r="AI70" i="62"/>
  <c r="AH70" i="62"/>
  <c r="AG70" i="62"/>
  <c r="AF70" i="62"/>
  <c r="AE70" i="62"/>
  <c r="AD70" i="62"/>
  <c r="AJ68" i="62"/>
  <c r="AI68" i="62"/>
  <c r="AH68" i="62"/>
  <c r="AG68" i="62"/>
  <c r="AF68" i="62"/>
  <c r="AE68" i="62"/>
  <c r="AD68" i="62"/>
  <c r="AJ67" i="62"/>
  <c r="AI67" i="62"/>
  <c r="AH67" i="62"/>
  <c r="AG67" i="62"/>
  <c r="AF67" i="62"/>
  <c r="AE67" i="62"/>
  <c r="AD67" i="62"/>
  <c r="AB67" i="62"/>
  <c r="AA67" i="62"/>
  <c r="Z67" i="62"/>
  <c r="Y67" i="62"/>
  <c r="X67" i="62"/>
  <c r="W67" i="62"/>
  <c r="V67" i="62"/>
  <c r="T67" i="62"/>
  <c r="S67" i="62"/>
  <c r="R67" i="62"/>
  <c r="Q67" i="62"/>
  <c r="P67" i="62"/>
  <c r="O67" i="62"/>
  <c r="N67" i="62"/>
  <c r="L67" i="62"/>
  <c r="K67" i="62"/>
  <c r="AJ66" i="62"/>
  <c r="AI66" i="62"/>
  <c r="AH66" i="62"/>
  <c r="AG66" i="62"/>
  <c r="AF66" i="62"/>
  <c r="AE66" i="62"/>
  <c r="AD66" i="62"/>
  <c r="AJ65" i="62"/>
  <c r="AI65" i="62"/>
  <c r="AH65" i="62"/>
  <c r="AG65" i="62"/>
  <c r="AF65" i="62"/>
  <c r="AE65" i="62"/>
  <c r="AD65" i="62"/>
  <c r="AJ64" i="62"/>
  <c r="AI64" i="62"/>
  <c r="AH64" i="62"/>
  <c r="AG64" i="62"/>
  <c r="AF64" i="62"/>
  <c r="AE64" i="62"/>
  <c r="AD64" i="62"/>
  <c r="AJ62" i="62"/>
  <c r="AI62" i="62"/>
  <c r="AH62" i="62"/>
  <c r="AG62" i="62"/>
  <c r="AF62" i="62"/>
  <c r="AE62" i="62"/>
  <c r="AD62" i="62"/>
  <c r="AJ61" i="62"/>
  <c r="AI61" i="62"/>
  <c r="AH61" i="62"/>
  <c r="AG61" i="62"/>
  <c r="AF61" i="62"/>
  <c r="AE61" i="62"/>
  <c r="AD61" i="62"/>
  <c r="AB61" i="62"/>
  <c r="AA61" i="62"/>
  <c r="Z61" i="62"/>
  <c r="Y61" i="62"/>
  <c r="X61" i="62"/>
  <c r="W61" i="62"/>
  <c r="V61" i="62"/>
  <c r="T61" i="62"/>
  <c r="S61" i="62"/>
  <c r="R61" i="62"/>
  <c r="Q61" i="62"/>
  <c r="P61" i="62"/>
  <c r="O61" i="62"/>
  <c r="N61" i="62"/>
  <c r="L61" i="62"/>
  <c r="K61" i="62"/>
  <c r="AJ60" i="62"/>
  <c r="AI60" i="62"/>
  <c r="AH60" i="62"/>
  <c r="AG60" i="62"/>
  <c r="AF60" i="62"/>
  <c r="AE60" i="62"/>
  <c r="AD60" i="62"/>
  <c r="AJ59" i="62"/>
  <c r="AI59" i="62"/>
  <c r="AH59" i="62"/>
  <c r="AG59" i="62"/>
  <c r="AF59" i="62"/>
  <c r="AE59" i="62"/>
  <c r="AD59" i="62"/>
  <c r="AJ58" i="62"/>
  <c r="AI58" i="62"/>
  <c r="AH58" i="62"/>
  <c r="AG58" i="62"/>
  <c r="AF58" i="62"/>
  <c r="AE58" i="62"/>
  <c r="AD58" i="62"/>
  <c r="AJ56" i="62"/>
  <c r="AI56" i="62"/>
  <c r="AH56" i="62"/>
  <c r="AG56" i="62"/>
  <c r="AF56" i="62"/>
  <c r="AE56" i="62"/>
  <c r="AD56" i="62"/>
  <c r="AJ55" i="62"/>
  <c r="AI55" i="62"/>
  <c r="AH55" i="62"/>
  <c r="AG55" i="62"/>
  <c r="AF55" i="62"/>
  <c r="AE55" i="62"/>
  <c r="AD55" i="62"/>
  <c r="AB55" i="62"/>
  <c r="AA55" i="62"/>
  <c r="Z55" i="62"/>
  <c r="Y55" i="62"/>
  <c r="X55" i="62"/>
  <c r="W55" i="62"/>
  <c r="V55" i="62"/>
  <c r="T55" i="62"/>
  <c r="S55" i="62"/>
  <c r="R55" i="62"/>
  <c r="Q55" i="62"/>
  <c r="P55" i="62"/>
  <c r="O55" i="62"/>
  <c r="N55" i="62"/>
  <c r="L55" i="62"/>
  <c r="K55" i="62"/>
  <c r="AJ54" i="62"/>
  <c r="AI54" i="62"/>
  <c r="AH54" i="62"/>
  <c r="AG54" i="62"/>
  <c r="AF54" i="62"/>
  <c r="AE54" i="62"/>
  <c r="AD54" i="62"/>
  <c r="AJ53" i="62"/>
  <c r="AI53" i="62"/>
  <c r="AH53" i="62"/>
  <c r="AG53" i="62"/>
  <c r="AF53" i="62"/>
  <c r="AE53" i="62"/>
  <c r="AD53" i="62"/>
  <c r="AJ52" i="62"/>
  <c r="AI52" i="62"/>
  <c r="AH52" i="62"/>
  <c r="AG52" i="62"/>
  <c r="AF52" i="62"/>
  <c r="AE52" i="62"/>
  <c r="AD52" i="62"/>
  <c r="AJ50" i="62"/>
  <c r="AI50" i="62"/>
  <c r="AH50" i="62"/>
  <c r="AG50" i="62"/>
  <c r="AF50" i="62"/>
  <c r="AE50" i="62"/>
  <c r="AD50" i="62"/>
  <c r="AJ49" i="62"/>
  <c r="AI49" i="62"/>
  <c r="AH49" i="62"/>
  <c r="AG49" i="62"/>
  <c r="AF49" i="62"/>
  <c r="AE49" i="62"/>
  <c r="AD49" i="62"/>
  <c r="AB49" i="62"/>
  <c r="AA49" i="62"/>
  <c r="Z49" i="62"/>
  <c r="Y49" i="62"/>
  <c r="X49" i="62"/>
  <c r="W49" i="62"/>
  <c r="V49" i="62"/>
  <c r="T49" i="62"/>
  <c r="S49" i="62"/>
  <c r="R49" i="62"/>
  <c r="Q49" i="62"/>
  <c r="P49" i="62"/>
  <c r="O49" i="62"/>
  <c r="N49" i="62"/>
  <c r="L49" i="62"/>
  <c r="K49" i="62"/>
  <c r="AJ48" i="62"/>
  <c r="AI48" i="62"/>
  <c r="AH48" i="62"/>
  <c r="AG48" i="62"/>
  <c r="AF48" i="62"/>
  <c r="AE48" i="62"/>
  <c r="AD48" i="62"/>
  <c r="AJ47" i="62"/>
  <c r="AI47" i="62"/>
  <c r="AH47" i="62"/>
  <c r="AG47" i="62"/>
  <c r="AF47" i="62"/>
  <c r="AE47" i="62"/>
  <c r="AD47" i="62"/>
  <c r="AJ46" i="62"/>
  <c r="AI46" i="62"/>
  <c r="AH46" i="62"/>
  <c r="AG46" i="62"/>
  <c r="AF46" i="62"/>
  <c r="AE46" i="62"/>
  <c r="AD46" i="62"/>
  <c r="AJ44" i="62"/>
  <c r="AI44" i="62"/>
  <c r="AH44" i="62"/>
  <c r="AG44" i="62"/>
  <c r="AF44" i="62"/>
  <c r="AE44" i="62"/>
  <c r="AD44" i="62"/>
  <c r="AJ43" i="62"/>
  <c r="AI43" i="62"/>
  <c r="AH43" i="62"/>
  <c r="AG43" i="62"/>
  <c r="AF43" i="62"/>
  <c r="AE43" i="62"/>
  <c r="AD43" i="62"/>
  <c r="AB43" i="62"/>
  <c r="AA43" i="62"/>
  <c r="Z43" i="62"/>
  <c r="Y43" i="62"/>
  <c r="X43" i="62"/>
  <c r="W43" i="62"/>
  <c r="V43" i="62"/>
  <c r="T43" i="62"/>
  <c r="S43" i="62"/>
  <c r="R43" i="62"/>
  <c r="Q43" i="62"/>
  <c r="P43" i="62"/>
  <c r="O43" i="62"/>
  <c r="N43" i="62"/>
  <c r="L43" i="62"/>
  <c r="K43" i="62"/>
  <c r="AJ42" i="62"/>
  <c r="AI42" i="62"/>
  <c r="AH42" i="62"/>
  <c r="AG42" i="62"/>
  <c r="AF42" i="62"/>
  <c r="AE42" i="62"/>
  <c r="AD42" i="62"/>
  <c r="AJ41" i="62"/>
  <c r="AI41" i="62"/>
  <c r="AH41" i="62"/>
  <c r="AG41" i="62"/>
  <c r="AF41" i="62"/>
  <c r="AE41" i="62"/>
  <c r="AD41" i="62"/>
  <c r="AJ40" i="62"/>
  <c r="AI40" i="62"/>
  <c r="AH40" i="62"/>
  <c r="AG40" i="62"/>
  <c r="AF40" i="62"/>
  <c r="AE40" i="62"/>
  <c r="AD40" i="62"/>
  <c r="AJ38" i="62"/>
  <c r="AI38" i="62"/>
  <c r="AH38" i="62"/>
  <c r="AG38" i="62"/>
  <c r="AF38" i="62"/>
  <c r="AE38" i="62"/>
  <c r="AD38" i="62"/>
  <c r="AJ37" i="62"/>
  <c r="AI37" i="62"/>
  <c r="AH37" i="62"/>
  <c r="AG37" i="62"/>
  <c r="AF37" i="62"/>
  <c r="AE37" i="62"/>
  <c r="AD37" i="62"/>
  <c r="AB37" i="62"/>
  <c r="AA37" i="62"/>
  <c r="Z37" i="62"/>
  <c r="Y37" i="62"/>
  <c r="X37" i="62"/>
  <c r="W37" i="62"/>
  <c r="V37" i="62"/>
  <c r="T37" i="62"/>
  <c r="S37" i="62"/>
  <c r="R37" i="62"/>
  <c r="Q37" i="62"/>
  <c r="P37" i="62"/>
  <c r="O37" i="62"/>
  <c r="N37" i="62"/>
  <c r="L37" i="62"/>
  <c r="K37" i="62"/>
  <c r="AJ36" i="62"/>
  <c r="AI36" i="62"/>
  <c r="AH36" i="62"/>
  <c r="AG36" i="62"/>
  <c r="AF36" i="62"/>
  <c r="AE36" i="62"/>
  <c r="AD36" i="62"/>
  <c r="AJ35" i="62"/>
  <c r="AI35" i="62"/>
  <c r="AH35" i="62"/>
  <c r="AG35" i="62"/>
  <c r="AF35" i="62"/>
  <c r="AE35" i="62"/>
  <c r="AD35" i="62"/>
  <c r="AJ34" i="62"/>
  <c r="AI34" i="62"/>
  <c r="AH34" i="62"/>
  <c r="AG34" i="62"/>
  <c r="AF34" i="62"/>
  <c r="AE34" i="62"/>
  <c r="AD34" i="62"/>
  <c r="AJ32" i="62"/>
  <c r="AI32" i="62"/>
  <c r="AH32" i="62"/>
  <c r="AG32" i="62"/>
  <c r="AF32" i="62"/>
  <c r="AE32" i="62"/>
  <c r="AD32" i="62"/>
  <c r="AJ31" i="62"/>
  <c r="AI31" i="62"/>
  <c r="AH31" i="62"/>
  <c r="AG31" i="62"/>
  <c r="AF31" i="62"/>
  <c r="AE31" i="62"/>
  <c r="AD31" i="62"/>
  <c r="AB31" i="62"/>
  <c r="AA31" i="62"/>
  <c r="Z31" i="62"/>
  <c r="Y31" i="62"/>
  <c r="X31" i="62"/>
  <c r="W31" i="62"/>
  <c r="V31" i="62"/>
  <c r="T31" i="62"/>
  <c r="S31" i="62"/>
  <c r="R31" i="62"/>
  <c r="Q31" i="62"/>
  <c r="P31" i="62"/>
  <c r="O31" i="62"/>
  <c r="N31" i="62"/>
  <c r="L31" i="62"/>
  <c r="K31" i="62"/>
  <c r="AJ30" i="62"/>
  <c r="AI30" i="62"/>
  <c r="AH30" i="62"/>
  <c r="AG30" i="62"/>
  <c r="AF30" i="62"/>
  <c r="AE30" i="62"/>
  <c r="AD30" i="62"/>
  <c r="AJ29" i="62"/>
  <c r="AI29" i="62"/>
  <c r="AH29" i="62"/>
  <c r="AG29" i="62"/>
  <c r="AF29" i="62"/>
  <c r="AE29" i="62"/>
  <c r="AD29" i="62"/>
  <c r="AJ28" i="62"/>
  <c r="AI28" i="62"/>
  <c r="AH28" i="62"/>
  <c r="AG28" i="62"/>
  <c r="AF28" i="62"/>
  <c r="AE28" i="62"/>
  <c r="AD28" i="62"/>
  <c r="AJ26" i="62"/>
  <c r="AI26" i="62"/>
  <c r="AH26" i="62"/>
  <c r="AG26" i="62"/>
  <c r="AF26" i="62"/>
  <c r="AE26" i="62"/>
  <c r="AD26" i="62"/>
  <c r="AJ25" i="62"/>
  <c r="AI25" i="62"/>
  <c r="AH25" i="62"/>
  <c r="AG25" i="62"/>
  <c r="AF25" i="62"/>
  <c r="AE25" i="62"/>
  <c r="AD25" i="62"/>
  <c r="AB25" i="62"/>
  <c r="AA25" i="62"/>
  <c r="Z25" i="62"/>
  <c r="Y25" i="62"/>
  <c r="X25" i="62"/>
  <c r="W25" i="62"/>
  <c r="V25" i="62"/>
  <c r="T25" i="62"/>
  <c r="S25" i="62"/>
  <c r="R25" i="62"/>
  <c r="Q25" i="62"/>
  <c r="P25" i="62"/>
  <c r="O25" i="62"/>
  <c r="N25" i="62"/>
  <c r="L25" i="62"/>
  <c r="K25" i="62"/>
  <c r="AJ24" i="62"/>
  <c r="AI24" i="62"/>
  <c r="AH24" i="62"/>
  <c r="AG24" i="62"/>
  <c r="AF24" i="62"/>
  <c r="AE24" i="62"/>
  <c r="AD24" i="62"/>
  <c r="AJ23" i="62"/>
  <c r="AI23" i="62"/>
  <c r="AH23" i="62"/>
  <c r="AG23" i="62"/>
  <c r="AF23" i="62"/>
  <c r="AE23" i="62"/>
  <c r="AD23" i="62"/>
  <c r="AJ22" i="62"/>
  <c r="AI22" i="62"/>
  <c r="AH22" i="62"/>
  <c r="AG22" i="62"/>
  <c r="AF22" i="62"/>
  <c r="AE22" i="62"/>
  <c r="AD22" i="62"/>
  <c r="AJ20" i="62"/>
  <c r="AI20" i="62"/>
  <c r="AH20" i="62"/>
  <c r="AG20" i="62"/>
  <c r="AF20" i="62"/>
  <c r="AE20" i="62"/>
  <c r="AD20" i="62"/>
  <c r="AJ19" i="62"/>
  <c r="AI19" i="62"/>
  <c r="AH19" i="62"/>
  <c r="AG19" i="62"/>
  <c r="AF19" i="62"/>
  <c r="AE19" i="62"/>
  <c r="AD19" i="62"/>
  <c r="AB19" i="62"/>
  <c r="AA19" i="62"/>
  <c r="Z19" i="62"/>
  <c r="Y19" i="62"/>
  <c r="X19" i="62"/>
  <c r="W19" i="62"/>
  <c r="V19" i="62"/>
  <c r="T19" i="62"/>
  <c r="S19" i="62"/>
  <c r="R19" i="62"/>
  <c r="Q19" i="62"/>
  <c r="P19" i="62"/>
  <c r="O19" i="62"/>
  <c r="N19" i="62"/>
  <c r="L19" i="62"/>
  <c r="K19" i="62"/>
  <c r="AJ18" i="62"/>
  <c r="AI18" i="62"/>
  <c r="AH18" i="62"/>
  <c r="AG18" i="62"/>
  <c r="AF18" i="62"/>
  <c r="AE18" i="62"/>
  <c r="AD18" i="62"/>
  <c r="AJ17" i="62"/>
  <c r="AI17" i="62"/>
  <c r="AH17" i="62"/>
  <c r="AG17" i="62"/>
  <c r="AF17" i="62"/>
  <c r="AE17" i="62"/>
  <c r="AD17" i="62"/>
  <c r="AJ16" i="62"/>
  <c r="AI16" i="62"/>
  <c r="AH16" i="62"/>
  <c r="AG16" i="62"/>
  <c r="AF16" i="62"/>
  <c r="AE16" i="62"/>
  <c r="AD16" i="62"/>
  <c r="AJ14" i="62"/>
  <c r="AI14" i="62"/>
  <c r="AH14" i="62"/>
  <c r="AG14" i="62"/>
  <c r="AF14" i="62"/>
  <c r="AE14" i="62"/>
  <c r="AD14" i="62"/>
  <c r="AJ13" i="62"/>
  <c r="AI13" i="62"/>
  <c r="AH13" i="62"/>
  <c r="AG13" i="62"/>
  <c r="AF13" i="62"/>
  <c r="AE13" i="62"/>
  <c r="AD13" i="62"/>
  <c r="AB13" i="62"/>
  <c r="AA13" i="62"/>
  <c r="Z13" i="62"/>
  <c r="Y13" i="62"/>
  <c r="X13" i="62"/>
  <c r="W13" i="62"/>
  <c r="V13" i="62"/>
  <c r="T13" i="62"/>
  <c r="S13" i="62"/>
  <c r="R13" i="62"/>
  <c r="Q13" i="62"/>
  <c r="P13" i="62"/>
  <c r="O13" i="62"/>
  <c r="N13" i="62"/>
  <c r="L13" i="62"/>
  <c r="K13" i="62"/>
  <c r="AJ12" i="62"/>
  <c r="AI12" i="62"/>
  <c r="AH12" i="62"/>
  <c r="AG12" i="62"/>
  <c r="AF12" i="62"/>
  <c r="AE12" i="62"/>
  <c r="AD12" i="62"/>
  <c r="AJ11" i="62"/>
  <c r="AI11" i="62"/>
  <c r="AH11" i="62"/>
  <c r="AG11" i="62"/>
  <c r="AF11" i="62"/>
  <c r="AE11" i="62"/>
  <c r="AD11" i="62"/>
  <c r="AJ10" i="62"/>
  <c r="AI10" i="62"/>
  <c r="AH10" i="62"/>
  <c r="AG10" i="62"/>
  <c r="AF10" i="62"/>
  <c r="AE10" i="62"/>
  <c r="AD10" i="62"/>
  <c r="AJ8" i="62"/>
  <c r="AI8" i="62"/>
  <c r="AH8" i="62"/>
  <c r="AG8" i="62"/>
  <c r="AF8" i="62"/>
  <c r="AE8" i="62"/>
  <c r="AD8" i="62"/>
  <c r="AJ7" i="62"/>
  <c r="AI7" i="62"/>
  <c r="AH7" i="62"/>
  <c r="AG7" i="62"/>
  <c r="AF7" i="62"/>
  <c r="AE7" i="62"/>
  <c r="AD7" i="62"/>
  <c r="AB7" i="62"/>
  <c r="AA7" i="62"/>
  <c r="Z7" i="62"/>
  <c r="Y7" i="62"/>
  <c r="X7" i="62"/>
  <c r="W7" i="62"/>
  <c r="V7" i="62"/>
  <c r="T7" i="62"/>
  <c r="S7" i="62"/>
  <c r="R7" i="62"/>
  <c r="Q7" i="62"/>
  <c r="P7" i="62"/>
  <c r="O7" i="62"/>
  <c r="N7" i="62"/>
  <c r="L7" i="62"/>
  <c r="K7" i="62"/>
  <c r="AJ6" i="62"/>
  <c r="AI6" i="62"/>
  <c r="AH6" i="62"/>
  <c r="AG6" i="62"/>
  <c r="AF6" i="62"/>
  <c r="AE6" i="62"/>
  <c r="AD6" i="62"/>
  <c r="AJ5" i="62"/>
  <c r="AI5" i="62"/>
  <c r="AH5" i="62"/>
  <c r="AG5" i="62"/>
  <c r="AF5" i="62"/>
  <c r="AE5" i="62"/>
  <c r="AD5" i="62"/>
  <c r="AJ4" i="62"/>
  <c r="AI4" i="62"/>
  <c r="AH4" i="62"/>
  <c r="AG4" i="62"/>
  <c r="AF4" i="62"/>
  <c r="AE4" i="62"/>
  <c r="AD4" i="62"/>
  <c r="L235" i="61"/>
  <c r="K235" i="61"/>
  <c r="L229" i="61"/>
  <c r="K229" i="61"/>
  <c r="L223" i="61"/>
  <c r="K223" i="61"/>
  <c r="L217" i="61"/>
  <c r="K217" i="61"/>
  <c r="L211" i="61"/>
  <c r="K211" i="61"/>
  <c r="L205" i="61"/>
  <c r="K205" i="61"/>
  <c r="L199" i="61"/>
  <c r="K199" i="61"/>
  <c r="L193" i="61"/>
  <c r="K193" i="61"/>
  <c r="L187" i="61"/>
  <c r="K187" i="61"/>
  <c r="L181" i="61"/>
  <c r="K181" i="61"/>
  <c r="L175" i="61"/>
  <c r="K175" i="61"/>
  <c r="L169" i="61"/>
  <c r="K169" i="61"/>
  <c r="L163" i="61"/>
  <c r="K163" i="61"/>
  <c r="L157" i="61"/>
  <c r="K157" i="61"/>
  <c r="L151" i="61"/>
  <c r="K151" i="61"/>
  <c r="L145" i="61"/>
  <c r="K145" i="61"/>
  <c r="L139" i="61"/>
  <c r="K139" i="61"/>
  <c r="L133" i="61"/>
  <c r="K133" i="61"/>
  <c r="L127" i="61"/>
  <c r="K127" i="61"/>
  <c r="L121" i="61"/>
  <c r="K121" i="61"/>
  <c r="L115" i="61"/>
  <c r="K115" i="61"/>
  <c r="L109" i="61"/>
  <c r="K109" i="61"/>
  <c r="L103" i="61"/>
  <c r="K103" i="61"/>
  <c r="L97" i="61"/>
  <c r="K97" i="61"/>
  <c r="L91" i="61"/>
  <c r="K91" i="61"/>
  <c r="L85" i="61"/>
  <c r="K85" i="61"/>
  <c r="L79" i="61"/>
  <c r="K79" i="61"/>
  <c r="L73" i="61"/>
  <c r="K73" i="61"/>
  <c r="L67" i="61"/>
  <c r="K67" i="61"/>
  <c r="L61" i="61"/>
  <c r="K61" i="61"/>
  <c r="L55" i="61"/>
  <c r="K55" i="61"/>
  <c r="L49" i="61"/>
  <c r="K49" i="61"/>
  <c r="L43" i="61"/>
  <c r="K43" i="61"/>
  <c r="L37" i="61"/>
  <c r="K37" i="61"/>
  <c r="L31" i="61"/>
  <c r="K31" i="61"/>
  <c r="L25" i="61"/>
  <c r="K25" i="61"/>
  <c r="L19" i="61"/>
  <c r="K19" i="61"/>
  <c r="L13" i="61"/>
  <c r="K13" i="61"/>
  <c r="L7" i="61"/>
  <c r="K7" i="61"/>
  <c r="T49" i="60"/>
  <c r="AA49" i="60"/>
  <c r="Z49" i="60"/>
  <c r="Q49" i="60"/>
  <c r="P49" i="60"/>
  <c r="W49" i="60"/>
  <c r="L13" i="60"/>
  <c r="K13" i="60"/>
  <c r="L7" i="60"/>
  <c r="K7" i="60"/>
  <c r="J271" i="59"/>
  <c r="T271" i="59" s="1"/>
  <c r="I271" i="59"/>
  <c r="AA271" i="59" s="1"/>
  <c r="H271" i="59"/>
  <c r="R271" i="59" s="1"/>
  <c r="G271" i="59"/>
  <c r="Q271" i="59" s="1"/>
  <c r="F271" i="59"/>
  <c r="X271" i="59" s="1"/>
  <c r="E271" i="59"/>
  <c r="W271" i="59" s="1"/>
  <c r="D271" i="59"/>
  <c r="V271" i="59" s="1"/>
  <c r="L259" i="59"/>
  <c r="K259" i="59"/>
  <c r="L253" i="59"/>
  <c r="K253" i="59"/>
  <c r="L247" i="59"/>
  <c r="K247" i="59"/>
  <c r="L241" i="59"/>
  <c r="K241" i="59"/>
  <c r="L235" i="59"/>
  <c r="K235" i="59"/>
  <c r="L229" i="59"/>
  <c r="K229" i="59"/>
  <c r="L223" i="59"/>
  <c r="K223" i="59"/>
  <c r="L217" i="59"/>
  <c r="K217" i="59"/>
  <c r="L211" i="59"/>
  <c r="K211" i="59"/>
  <c r="L205" i="59"/>
  <c r="K205" i="59"/>
  <c r="L199" i="59"/>
  <c r="K199" i="59"/>
  <c r="L193" i="59"/>
  <c r="K193" i="59"/>
  <c r="L187" i="59"/>
  <c r="K187" i="59"/>
  <c r="L181" i="59"/>
  <c r="K181" i="59"/>
  <c r="L175" i="59"/>
  <c r="K175" i="59"/>
  <c r="L169" i="59"/>
  <c r="K169" i="59"/>
  <c r="L163" i="59"/>
  <c r="K163" i="59"/>
  <c r="L157" i="59"/>
  <c r="K157" i="59"/>
  <c r="L151" i="59"/>
  <c r="K151" i="59"/>
  <c r="L145" i="59"/>
  <c r="K145" i="59"/>
  <c r="L139" i="59"/>
  <c r="K139" i="59"/>
  <c r="L133" i="59"/>
  <c r="K133" i="59"/>
  <c r="L127" i="59"/>
  <c r="K127" i="59"/>
  <c r="L121" i="59"/>
  <c r="K121" i="59"/>
  <c r="L115" i="59"/>
  <c r="K115" i="59"/>
  <c r="L109" i="59"/>
  <c r="K109" i="59"/>
  <c r="L103" i="59"/>
  <c r="K103" i="59"/>
  <c r="L97" i="59"/>
  <c r="K97" i="59"/>
  <c r="L91" i="59"/>
  <c r="K91" i="59"/>
  <c r="L85" i="59"/>
  <c r="K85" i="59"/>
  <c r="L79" i="59"/>
  <c r="K79" i="59"/>
  <c r="L73" i="59"/>
  <c r="K73" i="59"/>
  <c r="L67" i="59"/>
  <c r="K67" i="59"/>
  <c r="L61" i="59"/>
  <c r="K61" i="59"/>
  <c r="L55" i="59"/>
  <c r="K55" i="59"/>
  <c r="L49" i="59"/>
  <c r="K49" i="59"/>
  <c r="L43" i="59"/>
  <c r="K43" i="59"/>
  <c r="L13" i="59"/>
  <c r="K13" i="59"/>
  <c r="L7" i="59"/>
  <c r="K7" i="59"/>
  <c r="K444" i="61"/>
  <c r="K433" i="61"/>
  <c r="AJ236" i="61"/>
  <c r="AI236" i="61"/>
  <c r="AH236" i="61"/>
  <c r="AG236" i="61"/>
  <c r="AF236" i="61"/>
  <c r="AE236" i="61"/>
  <c r="AD236" i="61"/>
  <c r="AJ235" i="61"/>
  <c r="AI235" i="61"/>
  <c r="AH235" i="61"/>
  <c r="AG235" i="61"/>
  <c r="AF235" i="61"/>
  <c r="AE235" i="61"/>
  <c r="AD235" i="61"/>
  <c r="T235" i="61"/>
  <c r="R235" i="61"/>
  <c r="P235" i="61"/>
  <c r="N235" i="61"/>
  <c r="AB235" i="61"/>
  <c r="AA235" i="61"/>
  <c r="Z235" i="61"/>
  <c r="Y235" i="61"/>
  <c r="X235" i="61"/>
  <c r="W235" i="61"/>
  <c r="V235" i="61"/>
  <c r="AJ234" i="61"/>
  <c r="AI234" i="61"/>
  <c r="AH234" i="61"/>
  <c r="AG234" i="61"/>
  <c r="AF234" i="61"/>
  <c r="AE234" i="61"/>
  <c r="AD234" i="61"/>
  <c r="AJ233" i="61"/>
  <c r="AI233" i="61"/>
  <c r="AH233" i="61"/>
  <c r="AG233" i="61"/>
  <c r="AF233" i="61"/>
  <c r="AE233" i="61"/>
  <c r="AD233" i="61"/>
  <c r="AJ232" i="61"/>
  <c r="AI232" i="61"/>
  <c r="AH232" i="61"/>
  <c r="AG232" i="61"/>
  <c r="AF232" i="61"/>
  <c r="AE232" i="61"/>
  <c r="AD232" i="61"/>
  <c r="AJ230" i="61"/>
  <c r="AI230" i="61"/>
  <c r="AH230" i="61"/>
  <c r="AG230" i="61"/>
  <c r="AF230" i="61"/>
  <c r="AE230" i="61"/>
  <c r="AD230" i="61"/>
  <c r="AJ229" i="61"/>
  <c r="AI229" i="61"/>
  <c r="AH229" i="61"/>
  <c r="AG229" i="61"/>
  <c r="AF229" i="61"/>
  <c r="AE229" i="61"/>
  <c r="AD229" i="61"/>
  <c r="T229" i="61"/>
  <c r="R229" i="61"/>
  <c r="P229" i="61"/>
  <c r="N229" i="61"/>
  <c r="AB229" i="61"/>
  <c r="AA229" i="61"/>
  <c r="Z229" i="61"/>
  <c r="Y229" i="61"/>
  <c r="X229" i="61"/>
  <c r="W229" i="61"/>
  <c r="V229" i="61"/>
  <c r="AJ228" i="61"/>
  <c r="AI228" i="61"/>
  <c r="AH228" i="61"/>
  <c r="AG228" i="61"/>
  <c r="AF228" i="61"/>
  <c r="AE228" i="61"/>
  <c r="AD228" i="61"/>
  <c r="AJ227" i="61"/>
  <c r="AI227" i="61"/>
  <c r="AH227" i="61"/>
  <c r="AG227" i="61"/>
  <c r="AF227" i="61"/>
  <c r="AE227" i="61"/>
  <c r="AD227" i="61"/>
  <c r="AJ226" i="61"/>
  <c r="AI226" i="61"/>
  <c r="AH226" i="61"/>
  <c r="AG226" i="61"/>
  <c r="AF226" i="61"/>
  <c r="AE226" i="61"/>
  <c r="AD226" i="61"/>
  <c r="AJ224" i="61"/>
  <c r="AI224" i="61"/>
  <c r="AH224" i="61"/>
  <c r="AG224" i="61"/>
  <c r="AF224" i="61"/>
  <c r="AE224" i="61"/>
  <c r="AD224" i="61"/>
  <c r="AJ223" i="61"/>
  <c r="AI223" i="61"/>
  <c r="AH223" i="61"/>
  <c r="AG223" i="61"/>
  <c r="AF223" i="61"/>
  <c r="AE223" i="61"/>
  <c r="AD223" i="61"/>
  <c r="T223" i="61"/>
  <c r="R223" i="61"/>
  <c r="P223" i="61"/>
  <c r="N223" i="61"/>
  <c r="AB223" i="61"/>
  <c r="AA223" i="61"/>
  <c r="Z223" i="61"/>
  <c r="Y223" i="61"/>
  <c r="X223" i="61"/>
  <c r="W223" i="61"/>
  <c r="V223" i="61"/>
  <c r="AJ222" i="61"/>
  <c r="AI222" i="61"/>
  <c r="AH222" i="61"/>
  <c r="AG222" i="61"/>
  <c r="AF222" i="61"/>
  <c r="AE222" i="61"/>
  <c r="AD222" i="61"/>
  <c r="AJ221" i="61"/>
  <c r="AI221" i="61"/>
  <c r="AH221" i="61"/>
  <c r="AG221" i="61"/>
  <c r="AF221" i="61"/>
  <c r="AE221" i="61"/>
  <c r="AD221" i="61"/>
  <c r="AJ220" i="61"/>
  <c r="AI220" i="61"/>
  <c r="AH220" i="61"/>
  <c r="AG220" i="61"/>
  <c r="AF220" i="61"/>
  <c r="AE220" i="61"/>
  <c r="AD220" i="61"/>
  <c r="AJ218" i="61"/>
  <c r="AI218" i="61"/>
  <c r="AH218" i="61"/>
  <c r="AG218" i="61"/>
  <c r="AF218" i="61"/>
  <c r="AE218" i="61"/>
  <c r="AD218" i="61"/>
  <c r="AJ217" i="61"/>
  <c r="AI217" i="61"/>
  <c r="AH217" i="61"/>
  <c r="AG217" i="61"/>
  <c r="AF217" i="61"/>
  <c r="AE217" i="61"/>
  <c r="AD217" i="61"/>
  <c r="T217" i="61"/>
  <c r="R217" i="61"/>
  <c r="P217" i="61"/>
  <c r="N217" i="61"/>
  <c r="AB217" i="61"/>
  <c r="AA217" i="61"/>
  <c r="Z217" i="61"/>
  <c r="Y217" i="61"/>
  <c r="X217" i="61"/>
  <c r="W217" i="61"/>
  <c r="V217" i="61"/>
  <c r="AJ216" i="61"/>
  <c r="AI216" i="61"/>
  <c r="AH216" i="61"/>
  <c r="AG216" i="61"/>
  <c r="AF216" i="61"/>
  <c r="AE216" i="61"/>
  <c r="AD216" i="61"/>
  <c r="AJ215" i="61"/>
  <c r="AI215" i="61"/>
  <c r="AH215" i="61"/>
  <c r="AG215" i="61"/>
  <c r="AF215" i="61"/>
  <c r="AE215" i="61"/>
  <c r="AD215" i="61"/>
  <c r="AJ214" i="61"/>
  <c r="AI214" i="61"/>
  <c r="AH214" i="61"/>
  <c r="AG214" i="61"/>
  <c r="AF214" i="61"/>
  <c r="AE214" i="61"/>
  <c r="AD214" i="61"/>
  <c r="AJ212" i="61"/>
  <c r="AI212" i="61"/>
  <c r="AH212" i="61"/>
  <c r="AG212" i="61"/>
  <c r="AF212" i="61"/>
  <c r="AE212" i="61"/>
  <c r="AD212" i="61"/>
  <c r="AJ211" i="61"/>
  <c r="AI211" i="61"/>
  <c r="AH211" i="61"/>
  <c r="AG211" i="61"/>
  <c r="AF211" i="61"/>
  <c r="AE211" i="61"/>
  <c r="AD211" i="61"/>
  <c r="T211" i="61"/>
  <c r="R211" i="61"/>
  <c r="P211" i="61"/>
  <c r="N211" i="61"/>
  <c r="AB211" i="61"/>
  <c r="AA211" i="61"/>
  <c r="Z211" i="61"/>
  <c r="Y211" i="61"/>
  <c r="X211" i="61"/>
  <c r="W211" i="61"/>
  <c r="V211" i="61"/>
  <c r="AJ210" i="61"/>
  <c r="AI210" i="61"/>
  <c r="AH210" i="61"/>
  <c r="AG210" i="61"/>
  <c r="AF210" i="61"/>
  <c r="AE210" i="61"/>
  <c r="AD210" i="61"/>
  <c r="AJ209" i="61"/>
  <c r="AI209" i="61"/>
  <c r="AH209" i="61"/>
  <c r="AG209" i="61"/>
  <c r="AF209" i="61"/>
  <c r="AE209" i="61"/>
  <c r="AD209" i="61"/>
  <c r="AJ208" i="61"/>
  <c r="AI208" i="61"/>
  <c r="AH208" i="61"/>
  <c r="AG208" i="61"/>
  <c r="AF208" i="61"/>
  <c r="AE208" i="61"/>
  <c r="AD208" i="61"/>
  <c r="AJ206" i="61"/>
  <c r="AI206" i="61"/>
  <c r="AH206" i="61"/>
  <c r="AG206" i="61"/>
  <c r="AF206" i="61"/>
  <c r="AE206" i="61"/>
  <c r="AD206" i="61"/>
  <c r="AJ205" i="61"/>
  <c r="AI205" i="61"/>
  <c r="AH205" i="61"/>
  <c r="AG205" i="61"/>
  <c r="AF205" i="61"/>
  <c r="AE205" i="61"/>
  <c r="AD205" i="61"/>
  <c r="AA205" i="61"/>
  <c r="W205" i="61"/>
  <c r="T205" i="61"/>
  <c r="R205" i="61"/>
  <c r="P205" i="61"/>
  <c r="N205" i="61"/>
  <c r="AB205" i="61"/>
  <c r="S205" i="61"/>
  <c r="Z205" i="61"/>
  <c r="Q205" i="61"/>
  <c r="X205" i="61"/>
  <c r="O205" i="61"/>
  <c r="V205" i="61"/>
  <c r="AJ204" i="61"/>
  <c r="AI204" i="61"/>
  <c r="AH204" i="61"/>
  <c r="AG204" i="61"/>
  <c r="AF204" i="61"/>
  <c r="AE204" i="61"/>
  <c r="AD204" i="61"/>
  <c r="AJ203" i="61"/>
  <c r="AI203" i="61"/>
  <c r="AH203" i="61"/>
  <c r="AG203" i="61"/>
  <c r="AF203" i="61"/>
  <c r="AE203" i="61"/>
  <c r="AD203" i="61"/>
  <c r="AJ202" i="61"/>
  <c r="AI202" i="61"/>
  <c r="AH202" i="61"/>
  <c r="AG202" i="61"/>
  <c r="AF202" i="61"/>
  <c r="AE202" i="61"/>
  <c r="AD202" i="61"/>
  <c r="AJ200" i="61"/>
  <c r="AI200" i="61"/>
  <c r="AH200" i="61"/>
  <c r="AG200" i="61"/>
  <c r="AF200" i="61"/>
  <c r="AE200" i="61"/>
  <c r="AD200" i="61"/>
  <c r="AJ199" i="61"/>
  <c r="AI199" i="61"/>
  <c r="AH199" i="61"/>
  <c r="AG199" i="61"/>
  <c r="AF199" i="61"/>
  <c r="AE199" i="61"/>
  <c r="AD199" i="61"/>
  <c r="AA199" i="61"/>
  <c r="W199" i="61"/>
  <c r="T199" i="61"/>
  <c r="R199" i="61"/>
  <c r="P199" i="61"/>
  <c r="N199" i="61"/>
  <c r="AB199" i="61"/>
  <c r="S199" i="61"/>
  <c r="Z199" i="61"/>
  <c r="Q199" i="61"/>
  <c r="X199" i="61"/>
  <c r="O199" i="61"/>
  <c r="V199" i="61"/>
  <c r="AJ198" i="61"/>
  <c r="AI198" i="61"/>
  <c r="AH198" i="61"/>
  <c r="AG198" i="61"/>
  <c r="AF198" i="61"/>
  <c r="AE198" i="61"/>
  <c r="AD198" i="61"/>
  <c r="AJ197" i="61"/>
  <c r="AI197" i="61"/>
  <c r="AH197" i="61"/>
  <c r="AG197" i="61"/>
  <c r="AF197" i="61"/>
  <c r="AE197" i="61"/>
  <c r="AD197" i="61"/>
  <c r="AJ196" i="61"/>
  <c r="AI196" i="61"/>
  <c r="AH196" i="61"/>
  <c r="AG196" i="61"/>
  <c r="AF196" i="61"/>
  <c r="AE196" i="61"/>
  <c r="AD196" i="61"/>
  <c r="AJ194" i="61"/>
  <c r="AI194" i="61"/>
  <c r="AH194" i="61"/>
  <c r="AG194" i="61"/>
  <c r="AF194" i="61"/>
  <c r="AE194" i="61"/>
  <c r="AD194" i="61"/>
  <c r="AJ193" i="61"/>
  <c r="AI193" i="61"/>
  <c r="AH193" i="61"/>
  <c r="AG193" i="61"/>
  <c r="AF193" i="61"/>
  <c r="AE193" i="61"/>
  <c r="AD193" i="61"/>
  <c r="AA193" i="61"/>
  <c r="W193" i="61"/>
  <c r="T193" i="61"/>
  <c r="R193" i="61"/>
  <c r="P193" i="61"/>
  <c r="N193" i="61"/>
  <c r="AB193" i="61"/>
  <c r="S193" i="61"/>
  <c r="Z193" i="61"/>
  <c r="Q193" i="61"/>
  <c r="X193" i="61"/>
  <c r="O193" i="61"/>
  <c r="V193" i="61"/>
  <c r="AJ192" i="61"/>
  <c r="AI192" i="61"/>
  <c r="AH192" i="61"/>
  <c r="AG192" i="61"/>
  <c r="AF192" i="61"/>
  <c r="AE192" i="61"/>
  <c r="AD192" i="61"/>
  <c r="AJ191" i="61"/>
  <c r="AI191" i="61"/>
  <c r="AH191" i="61"/>
  <c r="AG191" i="61"/>
  <c r="AF191" i="61"/>
  <c r="AE191" i="61"/>
  <c r="AD191" i="61"/>
  <c r="AJ190" i="61"/>
  <c r="AI190" i="61"/>
  <c r="AH190" i="61"/>
  <c r="AG190" i="61"/>
  <c r="AF190" i="61"/>
  <c r="AE190" i="61"/>
  <c r="AD190" i="61"/>
  <c r="AJ188" i="61"/>
  <c r="AI188" i="61"/>
  <c r="AH188" i="61"/>
  <c r="AG188" i="61"/>
  <c r="AF188" i="61"/>
  <c r="AE188" i="61"/>
  <c r="AD188" i="61"/>
  <c r="AJ187" i="61"/>
  <c r="AI187" i="61"/>
  <c r="AH187" i="61"/>
  <c r="AG187" i="61"/>
  <c r="AF187" i="61"/>
  <c r="AE187" i="61"/>
  <c r="AD187" i="61"/>
  <c r="AA187" i="61"/>
  <c r="S187" i="61"/>
  <c r="Q187" i="61"/>
  <c r="O187" i="61"/>
  <c r="AB187" i="61"/>
  <c r="Z187" i="61"/>
  <c r="Y187" i="61"/>
  <c r="X187" i="61"/>
  <c r="W187" i="61"/>
  <c r="V187" i="61"/>
  <c r="AJ186" i="61"/>
  <c r="AI186" i="61"/>
  <c r="AH186" i="61"/>
  <c r="AG186" i="61"/>
  <c r="AF186" i="61"/>
  <c r="AE186" i="61"/>
  <c r="AD186" i="61"/>
  <c r="AJ185" i="61"/>
  <c r="AI185" i="61"/>
  <c r="AH185" i="61"/>
  <c r="AG185" i="61"/>
  <c r="AF185" i="61"/>
  <c r="AE185" i="61"/>
  <c r="AD185" i="61"/>
  <c r="AJ184" i="61"/>
  <c r="AI184" i="61"/>
  <c r="AH184" i="61"/>
  <c r="AG184" i="61"/>
  <c r="AF184" i="61"/>
  <c r="AE184" i="61"/>
  <c r="AD184" i="61"/>
  <c r="AJ182" i="61"/>
  <c r="AI182" i="61"/>
  <c r="AH182" i="61"/>
  <c r="AG182" i="61"/>
  <c r="AF182" i="61"/>
  <c r="AE182" i="61"/>
  <c r="AD182" i="61"/>
  <c r="AJ181" i="61"/>
  <c r="AI181" i="61"/>
  <c r="AH181" i="61"/>
  <c r="AG181" i="61"/>
  <c r="AF181" i="61"/>
  <c r="AE181" i="61"/>
  <c r="AD181" i="61"/>
  <c r="S181" i="61"/>
  <c r="Q181" i="61"/>
  <c r="O181" i="61"/>
  <c r="AB181" i="61"/>
  <c r="AA181" i="61"/>
  <c r="Z181" i="61"/>
  <c r="Y181" i="61"/>
  <c r="X181" i="61"/>
  <c r="W181" i="61"/>
  <c r="V181" i="61"/>
  <c r="AJ180" i="61"/>
  <c r="AI180" i="61"/>
  <c r="AH180" i="61"/>
  <c r="AG180" i="61"/>
  <c r="AF180" i="61"/>
  <c r="AE180" i="61"/>
  <c r="AD180" i="61"/>
  <c r="AJ179" i="61"/>
  <c r="AI179" i="61"/>
  <c r="AH179" i="61"/>
  <c r="AG179" i="61"/>
  <c r="AF179" i="61"/>
  <c r="AE179" i="61"/>
  <c r="AD179" i="61"/>
  <c r="AJ178" i="61"/>
  <c r="AI178" i="61"/>
  <c r="AH178" i="61"/>
  <c r="AG178" i="61"/>
  <c r="AF178" i="61"/>
  <c r="AE178" i="61"/>
  <c r="AD178" i="61"/>
  <c r="AJ176" i="61"/>
  <c r="AI176" i="61"/>
  <c r="AH176" i="61"/>
  <c r="AG176" i="61"/>
  <c r="AF176" i="61"/>
  <c r="AE176" i="61"/>
  <c r="AD176" i="61"/>
  <c r="AJ175" i="61"/>
  <c r="AI175" i="61"/>
  <c r="AH175" i="61"/>
  <c r="AG175" i="61"/>
  <c r="AF175" i="61"/>
  <c r="AE175" i="61"/>
  <c r="AD175" i="61"/>
  <c r="S175" i="61"/>
  <c r="Q175" i="61"/>
  <c r="O175" i="61"/>
  <c r="AB175" i="61"/>
  <c r="AA175" i="61"/>
  <c r="Z175" i="61"/>
  <c r="Y175" i="61"/>
  <c r="X175" i="61"/>
  <c r="W175" i="61"/>
  <c r="V175" i="61"/>
  <c r="AJ174" i="61"/>
  <c r="AI174" i="61"/>
  <c r="AH174" i="61"/>
  <c r="AG174" i="61"/>
  <c r="AF174" i="61"/>
  <c r="AE174" i="61"/>
  <c r="AD174" i="61"/>
  <c r="AJ173" i="61"/>
  <c r="AI173" i="61"/>
  <c r="AH173" i="61"/>
  <c r="AG173" i="61"/>
  <c r="AF173" i="61"/>
  <c r="AE173" i="61"/>
  <c r="AD173" i="61"/>
  <c r="AJ172" i="61"/>
  <c r="AI172" i="61"/>
  <c r="AH172" i="61"/>
  <c r="AG172" i="61"/>
  <c r="AF172" i="61"/>
  <c r="AE172" i="61"/>
  <c r="AD172" i="61"/>
  <c r="AJ170" i="61"/>
  <c r="AI170" i="61"/>
  <c r="AH170" i="61"/>
  <c r="AG170" i="61"/>
  <c r="AF170" i="61"/>
  <c r="AE170" i="61"/>
  <c r="AD170" i="61"/>
  <c r="AJ169" i="61"/>
  <c r="AI169" i="61"/>
  <c r="AH169" i="61"/>
  <c r="AG169" i="61"/>
  <c r="AF169" i="61"/>
  <c r="AE169" i="61"/>
  <c r="AD169" i="61"/>
  <c r="S169" i="61"/>
  <c r="Q169" i="61"/>
  <c r="O169" i="61"/>
  <c r="AB169" i="61"/>
  <c r="AA169" i="61"/>
  <c r="Z169" i="61"/>
  <c r="Y169" i="61"/>
  <c r="X169" i="61"/>
  <c r="W169" i="61"/>
  <c r="V169" i="61"/>
  <c r="AJ168" i="61"/>
  <c r="AI168" i="61"/>
  <c r="AH168" i="61"/>
  <c r="AG168" i="61"/>
  <c r="AF168" i="61"/>
  <c r="AE168" i="61"/>
  <c r="AD168" i="61"/>
  <c r="AJ167" i="61"/>
  <c r="AI167" i="61"/>
  <c r="AH167" i="61"/>
  <c r="AG167" i="61"/>
  <c r="AF167" i="61"/>
  <c r="AE167" i="61"/>
  <c r="AD167" i="61"/>
  <c r="AJ166" i="61"/>
  <c r="AI166" i="61"/>
  <c r="AH166" i="61"/>
  <c r="AG166" i="61"/>
  <c r="AF166" i="61"/>
  <c r="AE166" i="61"/>
  <c r="AD166" i="61"/>
  <c r="AJ164" i="61"/>
  <c r="AI164" i="61"/>
  <c r="AH164" i="61"/>
  <c r="AG164" i="61"/>
  <c r="AF164" i="61"/>
  <c r="AE164" i="61"/>
  <c r="AD164" i="61"/>
  <c r="AJ163" i="61"/>
  <c r="AI163" i="61"/>
  <c r="AH163" i="61"/>
  <c r="AG163" i="61"/>
  <c r="AF163" i="61"/>
  <c r="AE163" i="61"/>
  <c r="AD163" i="61"/>
  <c r="S163" i="61"/>
  <c r="Q163" i="61"/>
  <c r="O163" i="61"/>
  <c r="AB163" i="61"/>
  <c r="AA163" i="61"/>
  <c r="Z163" i="61"/>
  <c r="Y163" i="61"/>
  <c r="X163" i="61"/>
  <c r="W163" i="61"/>
  <c r="V163" i="61"/>
  <c r="AJ162" i="61"/>
  <c r="AI162" i="61"/>
  <c r="AH162" i="61"/>
  <c r="AG162" i="61"/>
  <c r="AF162" i="61"/>
  <c r="AE162" i="61"/>
  <c r="AD162" i="61"/>
  <c r="AJ161" i="61"/>
  <c r="AI161" i="61"/>
  <c r="AH161" i="61"/>
  <c r="AG161" i="61"/>
  <c r="AF161" i="61"/>
  <c r="AE161" i="61"/>
  <c r="AD161" i="61"/>
  <c r="AJ160" i="61"/>
  <c r="AI160" i="61"/>
  <c r="AH160" i="61"/>
  <c r="AG160" i="61"/>
  <c r="AF160" i="61"/>
  <c r="AE160" i="61"/>
  <c r="AD160" i="61"/>
  <c r="AJ158" i="61"/>
  <c r="AI158" i="61"/>
  <c r="AH158" i="61"/>
  <c r="AG158" i="61"/>
  <c r="AF158" i="61"/>
  <c r="AE158" i="61"/>
  <c r="AD158" i="61"/>
  <c r="AJ157" i="61"/>
  <c r="AI157" i="61"/>
  <c r="AH157" i="61"/>
  <c r="AG157" i="61"/>
  <c r="AF157" i="61"/>
  <c r="AE157" i="61"/>
  <c r="AD157" i="61"/>
  <c r="S157" i="61"/>
  <c r="Q157" i="61"/>
  <c r="O157" i="61"/>
  <c r="AB157" i="61"/>
  <c r="AA157" i="61"/>
  <c r="Z157" i="61"/>
  <c r="Y157" i="61"/>
  <c r="X157" i="61"/>
  <c r="W157" i="61"/>
  <c r="V157" i="61"/>
  <c r="AJ156" i="61"/>
  <c r="AI156" i="61"/>
  <c r="AH156" i="61"/>
  <c r="AG156" i="61"/>
  <c r="AF156" i="61"/>
  <c r="AE156" i="61"/>
  <c r="AD156" i="61"/>
  <c r="AJ155" i="61"/>
  <c r="AI155" i="61"/>
  <c r="AH155" i="61"/>
  <c r="AG155" i="61"/>
  <c r="AF155" i="61"/>
  <c r="AE155" i="61"/>
  <c r="AD155" i="61"/>
  <c r="AJ154" i="61"/>
  <c r="AI154" i="61"/>
  <c r="AH154" i="61"/>
  <c r="AG154" i="61"/>
  <c r="AF154" i="61"/>
  <c r="AE154" i="61"/>
  <c r="AD154" i="61"/>
  <c r="AJ152" i="61"/>
  <c r="AI152" i="61"/>
  <c r="AH152" i="61"/>
  <c r="AG152" i="61"/>
  <c r="AF152" i="61"/>
  <c r="AE152" i="61"/>
  <c r="AD152" i="61"/>
  <c r="AJ151" i="61"/>
  <c r="AI151" i="61"/>
  <c r="AH151" i="61"/>
  <c r="AG151" i="61"/>
  <c r="AF151" i="61"/>
  <c r="AE151" i="61"/>
  <c r="AD151" i="61"/>
  <c r="S151" i="61"/>
  <c r="Q151" i="61"/>
  <c r="O151" i="61"/>
  <c r="AB151" i="61"/>
  <c r="AA151" i="61"/>
  <c r="Z151" i="61"/>
  <c r="Y151" i="61"/>
  <c r="X151" i="61"/>
  <c r="W151" i="61"/>
  <c r="V151" i="61"/>
  <c r="AJ150" i="61"/>
  <c r="AI150" i="61"/>
  <c r="AH150" i="61"/>
  <c r="AG150" i="61"/>
  <c r="AF150" i="61"/>
  <c r="AE150" i="61"/>
  <c r="AD150" i="61"/>
  <c r="AJ149" i="61"/>
  <c r="AI149" i="61"/>
  <c r="AH149" i="61"/>
  <c r="AG149" i="61"/>
  <c r="AF149" i="61"/>
  <c r="AE149" i="61"/>
  <c r="AD149" i="61"/>
  <c r="AJ148" i="61"/>
  <c r="AI148" i="61"/>
  <c r="AH148" i="61"/>
  <c r="AG148" i="61"/>
  <c r="AF148" i="61"/>
  <c r="AE148" i="61"/>
  <c r="AD148" i="61"/>
  <c r="AJ146" i="61"/>
  <c r="AI146" i="61"/>
  <c r="AH146" i="61"/>
  <c r="AG146" i="61"/>
  <c r="AF146" i="61"/>
  <c r="AE146" i="61"/>
  <c r="AD146" i="61"/>
  <c r="AJ145" i="61"/>
  <c r="AI145" i="61"/>
  <c r="AH145" i="61"/>
  <c r="AG145" i="61"/>
  <c r="AF145" i="61"/>
  <c r="AE145" i="61"/>
  <c r="AD145" i="61"/>
  <c r="S145" i="61"/>
  <c r="Q145" i="61"/>
  <c r="O145" i="61"/>
  <c r="AB145" i="61"/>
  <c r="AA145" i="61"/>
  <c r="Z145" i="61"/>
  <c r="Y145" i="61"/>
  <c r="X145" i="61"/>
  <c r="W145" i="61"/>
  <c r="V145" i="61"/>
  <c r="AJ144" i="61"/>
  <c r="AI144" i="61"/>
  <c r="AH144" i="61"/>
  <c r="AG144" i="61"/>
  <c r="AF144" i="61"/>
  <c r="AE144" i="61"/>
  <c r="AD144" i="61"/>
  <c r="AJ143" i="61"/>
  <c r="AI143" i="61"/>
  <c r="AH143" i="61"/>
  <c r="AG143" i="61"/>
  <c r="AF143" i="61"/>
  <c r="AE143" i="61"/>
  <c r="AD143" i="61"/>
  <c r="AJ142" i="61"/>
  <c r="AI142" i="61"/>
  <c r="AH142" i="61"/>
  <c r="AG142" i="61"/>
  <c r="AF142" i="61"/>
  <c r="AE142" i="61"/>
  <c r="AD142" i="61"/>
  <c r="AJ140" i="61"/>
  <c r="AI140" i="61"/>
  <c r="AH140" i="61"/>
  <c r="AG140" i="61"/>
  <c r="AF140" i="61"/>
  <c r="AE140" i="61"/>
  <c r="AD140" i="61"/>
  <c r="AJ139" i="61"/>
  <c r="AI139" i="61"/>
  <c r="AH139" i="61"/>
  <c r="AG139" i="61"/>
  <c r="AF139" i="61"/>
  <c r="AE139" i="61"/>
  <c r="AD139" i="61"/>
  <c r="S139" i="61"/>
  <c r="Q139" i="61"/>
  <c r="O139" i="61"/>
  <c r="AB139" i="61"/>
  <c r="AA139" i="61"/>
  <c r="Z139" i="61"/>
  <c r="Y139" i="61"/>
  <c r="X139" i="61"/>
  <c r="W139" i="61"/>
  <c r="V139" i="61"/>
  <c r="AJ138" i="61"/>
  <c r="AI138" i="61"/>
  <c r="AH138" i="61"/>
  <c r="AG138" i="61"/>
  <c r="AF138" i="61"/>
  <c r="AE138" i="61"/>
  <c r="AD138" i="61"/>
  <c r="AJ137" i="61"/>
  <c r="AI137" i="61"/>
  <c r="AH137" i="61"/>
  <c r="AG137" i="61"/>
  <c r="AF137" i="61"/>
  <c r="AE137" i="61"/>
  <c r="AD137" i="61"/>
  <c r="AJ136" i="61"/>
  <c r="AI136" i="61"/>
  <c r="AH136" i="61"/>
  <c r="AG136" i="61"/>
  <c r="AF136" i="61"/>
  <c r="AE136" i="61"/>
  <c r="AD136" i="61"/>
  <c r="AJ134" i="61"/>
  <c r="AI134" i="61"/>
  <c r="AH134" i="61"/>
  <c r="AG134" i="61"/>
  <c r="AF134" i="61"/>
  <c r="AE134" i="61"/>
  <c r="AD134" i="61"/>
  <c r="AJ133" i="61"/>
  <c r="AI133" i="61"/>
  <c r="AH133" i="61"/>
  <c r="AG133" i="61"/>
  <c r="AF133" i="61"/>
  <c r="AE133" i="61"/>
  <c r="AD133" i="61"/>
  <c r="S133" i="61"/>
  <c r="Q133" i="61"/>
  <c r="O133" i="61"/>
  <c r="AB133" i="61"/>
  <c r="AA133" i="61"/>
  <c r="Z133" i="61"/>
  <c r="Y133" i="61"/>
  <c r="X133" i="61"/>
  <c r="W133" i="61"/>
  <c r="V133" i="61"/>
  <c r="AJ132" i="61"/>
  <c r="AI132" i="61"/>
  <c r="AH132" i="61"/>
  <c r="AG132" i="61"/>
  <c r="AF132" i="61"/>
  <c r="AE132" i="61"/>
  <c r="AD132" i="61"/>
  <c r="AJ131" i="61"/>
  <c r="AI131" i="61"/>
  <c r="AH131" i="61"/>
  <c r="AG131" i="61"/>
  <c r="AF131" i="61"/>
  <c r="AE131" i="61"/>
  <c r="AD131" i="61"/>
  <c r="AJ130" i="61"/>
  <c r="AI130" i="61"/>
  <c r="AH130" i="61"/>
  <c r="AG130" i="61"/>
  <c r="AF130" i="61"/>
  <c r="AE130" i="61"/>
  <c r="AD130" i="61"/>
  <c r="AJ128" i="61"/>
  <c r="AI128" i="61"/>
  <c r="AH128" i="61"/>
  <c r="AG128" i="61"/>
  <c r="AF128" i="61"/>
  <c r="AE128" i="61"/>
  <c r="AD128" i="61"/>
  <c r="AJ127" i="61"/>
  <c r="AI127" i="61"/>
  <c r="AH127" i="61"/>
  <c r="AG127" i="61"/>
  <c r="AF127" i="61"/>
  <c r="AE127" i="61"/>
  <c r="AD127" i="61"/>
  <c r="AB127" i="61"/>
  <c r="S127" i="61"/>
  <c r="Z127" i="61"/>
  <c r="Q127" i="61"/>
  <c r="X127" i="61"/>
  <c r="O127" i="61"/>
  <c r="V127" i="61"/>
  <c r="AJ126" i="61"/>
  <c r="AI126" i="61"/>
  <c r="AH126" i="61"/>
  <c r="AG126" i="61"/>
  <c r="AF126" i="61"/>
  <c r="AE126" i="61"/>
  <c r="AD126" i="61"/>
  <c r="AJ125" i="61"/>
  <c r="AI125" i="61"/>
  <c r="AH125" i="61"/>
  <c r="AG125" i="61"/>
  <c r="AF125" i="61"/>
  <c r="AE125" i="61"/>
  <c r="AD125" i="61"/>
  <c r="AJ124" i="61"/>
  <c r="AI124" i="61"/>
  <c r="AH124" i="61"/>
  <c r="AG124" i="61"/>
  <c r="AF124" i="61"/>
  <c r="AE124" i="61"/>
  <c r="AD124" i="61"/>
  <c r="AJ122" i="61"/>
  <c r="AI122" i="61"/>
  <c r="AH122" i="61"/>
  <c r="AG122" i="61"/>
  <c r="AF122" i="61"/>
  <c r="AE122" i="61"/>
  <c r="AD122" i="61"/>
  <c r="AJ121" i="61"/>
  <c r="AI121" i="61"/>
  <c r="AH121" i="61"/>
  <c r="AG121" i="61"/>
  <c r="AF121" i="61"/>
  <c r="AE121" i="61"/>
  <c r="AD121" i="61"/>
  <c r="AB121" i="61"/>
  <c r="S121" i="61"/>
  <c r="Z121" i="61"/>
  <c r="Q121" i="61"/>
  <c r="X121" i="61"/>
  <c r="O121" i="61"/>
  <c r="V121" i="61"/>
  <c r="AJ120" i="61"/>
  <c r="AI120" i="61"/>
  <c r="AH120" i="61"/>
  <c r="AG120" i="61"/>
  <c r="AF120" i="61"/>
  <c r="AE120" i="61"/>
  <c r="AD120" i="61"/>
  <c r="AJ119" i="61"/>
  <c r="AI119" i="61"/>
  <c r="AH119" i="61"/>
  <c r="AG119" i="61"/>
  <c r="AF119" i="61"/>
  <c r="AE119" i="61"/>
  <c r="AD119" i="61"/>
  <c r="AJ118" i="61"/>
  <c r="AI118" i="61"/>
  <c r="AH118" i="61"/>
  <c r="AG118" i="61"/>
  <c r="AF118" i="61"/>
  <c r="AE118" i="61"/>
  <c r="AD118" i="61"/>
  <c r="AJ116" i="61"/>
  <c r="AI116" i="61"/>
  <c r="AH116" i="61"/>
  <c r="AG116" i="61"/>
  <c r="AF116" i="61"/>
  <c r="AE116" i="61"/>
  <c r="AD116" i="61"/>
  <c r="AJ115" i="61"/>
  <c r="AI115" i="61"/>
  <c r="AH115" i="61"/>
  <c r="AG115" i="61"/>
  <c r="AF115" i="61"/>
  <c r="AE115" i="61"/>
  <c r="AD115" i="61"/>
  <c r="AB115" i="61"/>
  <c r="S115" i="61"/>
  <c r="Z115" i="61"/>
  <c r="Q115" i="61"/>
  <c r="X115" i="61"/>
  <c r="O115" i="61"/>
  <c r="V115" i="61"/>
  <c r="AJ114" i="61"/>
  <c r="AI114" i="61"/>
  <c r="AH114" i="61"/>
  <c r="AG114" i="61"/>
  <c r="AF114" i="61"/>
  <c r="AE114" i="61"/>
  <c r="AD114" i="61"/>
  <c r="AJ113" i="61"/>
  <c r="AI113" i="61"/>
  <c r="AH113" i="61"/>
  <c r="AG113" i="61"/>
  <c r="AF113" i="61"/>
  <c r="AE113" i="61"/>
  <c r="AD113" i="61"/>
  <c r="AJ112" i="61"/>
  <c r="AI112" i="61"/>
  <c r="AH112" i="61"/>
  <c r="AG112" i="61"/>
  <c r="AF112" i="61"/>
  <c r="AE112" i="61"/>
  <c r="AD112" i="61"/>
  <c r="AJ110" i="61"/>
  <c r="AI110" i="61"/>
  <c r="AH110" i="61"/>
  <c r="AG110" i="61"/>
  <c r="AF110" i="61"/>
  <c r="AE110" i="61"/>
  <c r="AD110" i="61"/>
  <c r="AJ109" i="61"/>
  <c r="AI109" i="61"/>
  <c r="AH109" i="61"/>
  <c r="AG109" i="61"/>
  <c r="AF109" i="61"/>
  <c r="AE109" i="61"/>
  <c r="AD109" i="61"/>
  <c r="AB109" i="61"/>
  <c r="S109" i="61"/>
  <c r="Z109" i="61"/>
  <c r="Q109" i="61"/>
  <c r="X109" i="61"/>
  <c r="O109" i="61"/>
  <c r="V109" i="61"/>
  <c r="AJ108" i="61"/>
  <c r="AI108" i="61"/>
  <c r="AH108" i="61"/>
  <c r="AG108" i="61"/>
  <c r="AF108" i="61"/>
  <c r="AE108" i="61"/>
  <c r="AD108" i="61"/>
  <c r="AJ107" i="61"/>
  <c r="AI107" i="61"/>
  <c r="AH107" i="61"/>
  <c r="AG107" i="61"/>
  <c r="AF107" i="61"/>
  <c r="AE107" i="61"/>
  <c r="AD107" i="61"/>
  <c r="AJ106" i="61"/>
  <c r="AI106" i="61"/>
  <c r="AH106" i="61"/>
  <c r="AG106" i="61"/>
  <c r="AF106" i="61"/>
  <c r="AE106" i="61"/>
  <c r="AD106" i="61"/>
  <c r="AJ104" i="61"/>
  <c r="AI104" i="61"/>
  <c r="AH104" i="61"/>
  <c r="AG104" i="61"/>
  <c r="AF104" i="61"/>
  <c r="AE104" i="61"/>
  <c r="AD104" i="61"/>
  <c r="AJ103" i="61"/>
  <c r="AI103" i="61"/>
  <c r="AH103" i="61"/>
  <c r="AG103" i="61"/>
  <c r="AF103" i="61"/>
  <c r="AE103" i="61"/>
  <c r="AD103" i="61"/>
  <c r="Q103" i="61"/>
  <c r="O103" i="61"/>
  <c r="Z103" i="61"/>
  <c r="Y103" i="61"/>
  <c r="X103" i="61"/>
  <c r="W103" i="61"/>
  <c r="V103" i="61"/>
  <c r="AJ102" i="61"/>
  <c r="AI102" i="61"/>
  <c r="AH102" i="61"/>
  <c r="AG102" i="61"/>
  <c r="AF102" i="61"/>
  <c r="AE102" i="61"/>
  <c r="AD102" i="61"/>
  <c r="AJ101" i="61"/>
  <c r="AI101" i="61"/>
  <c r="AH101" i="61"/>
  <c r="AG101" i="61"/>
  <c r="AF101" i="61"/>
  <c r="AE101" i="61"/>
  <c r="AD101" i="61"/>
  <c r="AJ100" i="61"/>
  <c r="AI100" i="61"/>
  <c r="AH100" i="61"/>
  <c r="AG100" i="61"/>
  <c r="AF100" i="61"/>
  <c r="AE100" i="61"/>
  <c r="AD100" i="61"/>
  <c r="AJ98" i="61"/>
  <c r="AI98" i="61"/>
  <c r="AH98" i="61"/>
  <c r="AG98" i="61"/>
  <c r="AF98" i="61"/>
  <c r="AE98" i="61"/>
  <c r="AD98" i="61"/>
  <c r="AJ97" i="61"/>
  <c r="AI97" i="61"/>
  <c r="AH97" i="61"/>
  <c r="AG97" i="61"/>
  <c r="AF97" i="61"/>
  <c r="AE97" i="61"/>
  <c r="AD97" i="61"/>
  <c r="S97" i="61"/>
  <c r="Q97" i="61"/>
  <c r="O97" i="61"/>
  <c r="AB97" i="61"/>
  <c r="AA97" i="61"/>
  <c r="Z97" i="61"/>
  <c r="Y97" i="61"/>
  <c r="X97" i="61"/>
  <c r="W97" i="61"/>
  <c r="V97" i="61"/>
  <c r="AJ96" i="61"/>
  <c r="AI96" i="61"/>
  <c r="AH96" i="61"/>
  <c r="AG96" i="61"/>
  <c r="AF96" i="61"/>
  <c r="AE96" i="61"/>
  <c r="AD96" i="61"/>
  <c r="AJ95" i="61"/>
  <c r="AI95" i="61"/>
  <c r="AH95" i="61"/>
  <c r="AG95" i="61"/>
  <c r="AF95" i="61"/>
  <c r="AE95" i="61"/>
  <c r="AD95" i="61"/>
  <c r="AJ94" i="61"/>
  <c r="AI94" i="61"/>
  <c r="AH94" i="61"/>
  <c r="AG94" i="61"/>
  <c r="AF94" i="61"/>
  <c r="AE94" i="61"/>
  <c r="AD94" i="61"/>
  <c r="AJ92" i="61"/>
  <c r="AI92" i="61"/>
  <c r="AH92" i="61"/>
  <c r="AG92" i="61"/>
  <c r="AF92" i="61"/>
  <c r="AE92" i="61"/>
  <c r="AD92" i="61"/>
  <c r="AJ91" i="61"/>
  <c r="AI91" i="61"/>
  <c r="AH91" i="61"/>
  <c r="AG91" i="61"/>
  <c r="AF91" i="61"/>
  <c r="AE91" i="61"/>
  <c r="AD91" i="61"/>
  <c r="S91" i="61"/>
  <c r="Q91" i="61"/>
  <c r="O91" i="61"/>
  <c r="AB91" i="61"/>
  <c r="AA91" i="61"/>
  <c r="Z91" i="61"/>
  <c r="Y91" i="61"/>
  <c r="X91" i="61"/>
  <c r="W91" i="61"/>
  <c r="V91" i="61"/>
  <c r="AJ90" i="61"/>
  <c r="AI90" i="61"/>
  <c r="AH90" i="61"/>
  <c r="AG90" i="61"/>
  <c r="AF90" i="61"/>
  <c r="AE90" i="61"/>
  <c r="AD90" i="61"/>
  <c r="AJ89" i="61"/>
  <c r="AI89" i="61"/>
  <c r="AH89" i="61"/>
  <c r="AG89" i="61"/>
  <c r="AF89" i="61"/>
  <c r="AE89" i="61"/>
  <c r="AD89" i="61"/>
  <c r="AJ88" i="61"/>
  <c r="AI88" i="61"/>
  <c r="AH88" i="61"/>
  <c r="AG88" i="61"/>
  <c r="AF88" i="61"/>
  <c r="AE88" i="61"/>
  <c r="AD88" i="61"/>
  <c r="AJ86" i="61"/>
  <c r="AI86" i="61"/>
  <c r="AH86" i="61"/>
  <c r="AG86" i="61"/>
  <c r="AF86" i="61"/>
  <c r="AE86" i="61"/>
  <c r="AD86" i="61"/>
  <c r="AJ85" i="61"/>
  <c r="AI85" i="61"/>
  <c r="AH85" i="61"/>
  <c r="AG85" i="61"/>
  <c r="AF85" i="61"/>
  <c r="AE85" i="61"/>
  <c r="AD85" i="61"/>
  <c r="S85" i="61"/>
  <c r="Q85" i="61"/>
  <c r="O85" i="61"/>
  <c r="AB85" i="61"/>
  <c r="AA85" i="61"/>
  <c r="Z85" i="61"/>
  <c r="Y85" i="61"/>
  <c r="X85" i="61"/>
  <c r="W85" i="61"/>
  <c r="V85" i="61"/>
  <c r="AJ84" i="61"/>
  <c r="AI84" i="61"/>
  <c r="AH84" i="61"/>
  <c r="AG84" i="61"/>
  <c r="AF84" i="61"/>
  <c r="AE84" i="61"/>
  <c r="AD84" i="61"/>
  <c r="AJ83" i="61"/>
  <c r="AI83" i="61"/>
  <c r="AH83" i="61"/>
  <c r="AG83" i="61"/>
  <c r="AF83" i="61"/>
  <c r="AE83" i="61"/>
  <c r="AD83" i="61"/>
  <c r="AJ82" i="61"/>
  <c r="AI82" i="61"/>
  <c r="AH82" i="61"/>
  <c r="AG82" i="61"/>
  <c r="AF82" i="61"/>
  <c r="AE82" i="61"/>
  <c r="AD82" i="61"/>
  <c r="AJ80" i="61"/>
  <c r="AI80" i="61"/>
  <c r="AH80" i="61"/>
  <c r="AG80" i="61"/>
  <c r="AF80" i="61"/>
  <c r="AE80" i="61"/>
  <c r="AD80" i="61"/>
  <c r="AJ79" i="61"/>
  <c r="AI79" i="61"/>
  <c r="AH79" i="61"/>
  <c r="AG79" i="61"/>
  <c r="AF79" i="61"/>
  <c r="AE79" i="61"/>
  <c r="AD79" i="61"/>
  <c r="S79" i="61"/>
  <c r="Q79" i="61"/>
  <c r="O79" i="61"/>
  <c r="AB79" i="61"/>
  <c r="AA79" i="61"/>
  <c r="Z79" i="61"/>
  <c r="Y79" i="61"/>
  <c r="X79" i="61"/>
  <c r="W79" i="61"/>
  <c r="V79" i="61"/>
  <c r="AJ78" i="61"/>
  <c r="AI78" i="61"/>
  <c r="AH78" i="61"/>
  <c r="AG78" i="61"/>
  <c r="AF78" i="61"/>
  <c r="AE78" i="61"/>
  <c r="AD78" i="61"/>
  <c r="AJ77" i="61"/>
  <c r="AI77" i="61"/>
  <c r="AH77" i="61"/>
  <c r="AG77" i="61"/>
  <c r="AF77" i="61"/>
  <c r="AE77" i="61"/>
  <c r="AD77" i="61"/>
  <c r="AJ76" i="61"/>
  <c r="AI76" i="61"/>
  <c r="AH76" i="61"/>
  <c r="AG76" i="61"/>
  <c r="AF76" i="61"/>
  <c r="AE76" i="61"/>
  <c r="AD76" i="61"/>
  <c r="AJ74" i="61"/>
  <c r="AI74" i="61"/>
  <c r="AH74" i="61"/>
  <c r="AG74" i="61"/>
  <c r="AF74" i="61"/>
  <c r="AE74" i="61"/>
  <c r="AD74" i="61"/>
  <c r="AJ73" i="61"/>
  <c r="AI73" i="61"/>
  <c r="AH73" i="61"/>
  <c r="AG73" i="61"/>
  <c r="AF73" i="61"/>
  <c r="AE73" i="61"/>
  <c r="AD73" i="61"/>
  <c r="S73" i="61"/>
  <c r="Q73" i="61"/>
  <c r="O73" i="61"/>
  <c r="AB73" i="61"/>
  <c r="AA73" i="61"/>
  <c r="Z73" i="61"/>
  <c r="Y73" i="61"/>
  <c r="X73" i="61"/>
  <c r="W73" i="61"/>
  <c r="V73" i="61"/>
  <c r="AJ72" i="61"/>
  <c r="AI72" i="61"/>
  <c r="AH72" i="61"/>
  <c r="AG72" i="61"/>
  <c r="AF72" i="61"/>
  <c r="AE72" i="61"/>
  <c r="AD72" i="61"/>
  <c r="AJ71" i="61"/>
  <c r="AI71" i="61"/>
  <c r="AH71" i="61"/>
  <c r="AG71" i="61"/>
  <c r="AF71" i="61"/>
  <c r="AE71" i="61"/>
  <c r="AD71" i="61"/>
  <c r="AJ70" i="61"/>
  <c r="AI70" i="61"/>
  <c r="AH70" i="61"/>
  <c r="AG70" i="61"/>
  <c r="AF70" i="61"/>
  <c r="AE70" i="61"/>
  <c r="AD70" i="61"/>
  <c r="AJ68" i="61"/>
  <c r="AI68" i="61"/>
  <c r="AH68" i="61"/>
  <c r="AG68" i="61"/>
  <c r="AF68" i="61"/>
  <c r="AE68" i="61"/>
  <c r="AD68" i="61"/>
  <c r="AJ67" i="61"/>
  <c r="AI67" i="61"/>
  <c r="AH67" i="61"/>
  <c r="AG67" i="61"/>
  <c r="AF67" i="61"/>
  <c r="AE67" i="61"/>
  <c r="AD67" i="61"/>
  <c r="S67" i="61"/>
  <c r="Q67" i="61"/>
  <c r="O67" i="61"/>
  <c r="AB67" i="61"/>
  <c r="AA67" i="61"/>
  <c r="Z67" i="61"/>
  <c r="Y67" i="61"/>
  <c r="X67" i="61"/>
  <c r="W67" i="61"/>
  <c r="V67" i="61"/>
  <c r="AJ66" i="61"/>
  <c r="AI66" i="61"/>
  <c r="AH66" i="61"/>
  <c r="AG66" i="61"/>
  <c r="AF66" i="61"/>
  <c r="AE66" i="61"/>
  <c r="AD66" i="61"/>
  <c r="AJ65" i="61"/>
  <c r="AI65" i="61"/>
  <c r="AH65" i="61"/>
  <c r="AG65" i="61"/>
  <c r="AF65" i="61"/>
  <c r="AE65" i="61"/>
  <c r="AD65" i="61"/>
  <c r="AJ64" i="61"/>
  <c r="AI64" i="61"/>
  <c r="AH64" i="61"/>
  <c r="AG64" i="61"/>
  <c r="AF64" i="61"/>
  <c r="AE64" i="61"/>
  <c r="AD64" i="61"/>
  <c r="AJ62" i="61"/>
  <c r="AI62" i="61"/>
  <c r="AH62" i="61"/>
  <c r="AG62" i="61"/>
  <c r="AF62" i="61"/>
  <c r="AE62" i="61"/>
  <c r="AD62" i="61"/>
  <c r="AJ61" i="61"/>
  <c r="AI61" i="61"/>
  <c r="AH61" i="61"/>
  <c r="AG61" i="61"/>
  <c r="AF61" i="61"/>
  <c r="AE61" i="61"/>
  <c r="AD61" i="61"/>
  <c r="S61" i="61"/>
  <c r="Q61" i="61"/>
  <c r="O61" i="61"/>
  <c r="AB61" i="61"/>
  <c r="AA61" i="61"/>
  <c r="Z61" i="61"/>
  <c r="Y61" i="61"/>
  <c r="X61" i="61"/>
  <c r="W61" i="61"/>
  <c r="V61" i="61"/>
  <c r="AJ60" i="61"/>
  <c r="AI60" i="61"/>
  <c r="AH60" i="61"/>
  <c r="AG60" i="61"/>
  <c r="AF60" i="61"/>
  <c r="AE60" i="61"/>
  <c r="AD60" i="61"/>
  <c r="AJ59" i="61"/>
  <c r="AI59" i="61"/>
  <c r="AH59" i="61"/>
  <c r="AG59" i="61"/>
  <c r="AF59" i="61"/>
  <c r="AE59" i="61"/>
  <c r="AD59" i="61"/>
  <c r="AJ58" i="61"/>
  <c r="AI58" i="61"/>
  <c r="AH58" i="61"/>
  <c r="AG58" i="61"/>
  <c r="AF58" i="61"/>
  <c r="AE58" i="61"/>
  <c r="AD58" i="61"/>
  <c r="AJ56" i="61"/>
  <c r="AI56" i="61"/>
  <c r="AH56" i="61"/>
  <c r="AG56" i="61"/>
  <c r="AF56" i="61"/>
  <c r="AE56" i="61"/>
  <c r="AD56" i="61"/>
  <c r="AJ55" i="61"/>
  <c r="AI55" i="61"/>
  <c r="AH55" i="61"/>
  <c r="AG55" i="61"/>
  <c r="AF55" i="61"/>
  <c r="AE55" i="61"/>
  <c r="AD55" i="61"/>
  <c r="S55" i="61"/>
  <c r="Q55" i="61"/>
  <c r="O55" i="61"/>
  <c r="AB55" i="61"/>
  <c r="AA55" i="61"/>
  <c r="Z55" i="61"/>
  <c r="Y55" i="61"/>
  <c r="X55" i="61"/>
  <c r="W55" i="61"/>
  <c r="V55" i="61"/>
  <c r="AJ54" i="61"/>
  <c r="AI54" i="61"/>
  <c r="AH54" i="61"/>
  <c r="AG54" i="61"/>
  <c r="AF54" i="61"/>
  <c r="AE54" i="61"/>
  <c r="AD54" i="61"/>
  <c r="AJ53" i="61"/>
  <c r="AI53" i="61"/>
  <c r="AH53" i="61"/>
  <c r="AG53" i="61"/>
  <c r="AF53" i="61"/>
  <c r="AE53" i="61"/>
  <c r="AD53" i="61"/>
  <c r="AJ52" i="61"/>
  <c r="AI52" i="61"/>
  <c r="AH52" i="61"/>
  <c r="AG52" i="61"/>
  <c r="AF52" i="61"/>
  <c r="AE52" i="61"/>
  <c r="AD52" i="61"/>
  <c r="AJ50" i="61"/>
  <c r="AI50" i="61"/>
  <c r="AH50" i="61"/>
  <c r="AG50" i="61"/>
  <c r="AF50" i="61"/>
  <c r="AE50" i="61"/>
  <c r="AD50" i="61"/>
  <c r="AJ49" i="61"/>
  <c r="AI49" i="61"/>
  <c r="AH49" i="61"/>
  <c r="AG49" i="61"/>
  <c r="AF49" i="61"/>
  <c r="AE49" i="61"/>
  <c r="AD49" i="61"/>
  <c r="S49" i="61"/>
  <c r="Q49" i="61"/>
  <c r="O49" i="61"/>
  <c r="AB49" i="61"/>
  <c r="AA49" i="61"/>
  <c r="Z49" i="61"/>
  <c r="Y49" i="61"/>
  <c r="X49" i="61"/>
  <c r="W49" i="61"/>
  <c r="V49" i="61"/>
  <c r="AJ48" i="61"/>
  <c r="AI48" i="61"/>
  <c r="AH48" i="61"/>
  <c r="AG48" i="61"/>
  <c r="AF48" i="61"/>
  <c r="AE48" i="61"/>
  <c r="AD48" i="61"/>
  <c r="AJ47" i="61"/>
  <c r="AI47" i="61"/>
  <c r="AH47" i="61"/>
  <c r="AG47" i="61"/>
  <c r="AF47" i="61"/>
  <c r="AE47" i="61"/>
  <c r="AD47" i="61"/>
  <c r="AJ46" i="61"/>
  <c r="AI46" i="61"/>
  <c r="AH46" i="61"/>
  <c r="AG46" i="61"/>
  <c r="AF46" i="61"/>
  <c r="AE46" i="61"/>
  <c r="AD46" i="61"/>
  <c r="AJ44" i="61"/>
  <c r="AI44" i="61"/>
  <c r="AH44" i="61"/>
  <c r="AG44" i="61"/>
  <c r="AF44" i="61"/>
  <c r="AE44" i="61"/>
  <c r="AD44" i="61"/>
  <c r="AJ43" i="61"/>
  <c r="AI43" i="61"/>
  <c r="AH43" i="61"/>
  <c r="AG43" i="61"/>
  <c r="AF43" i="61"/>
  <c r="AE43" i="61"/>
  <c r="AD43" i="61"/>
  <c r="S43" i="61"/>
  <c r="Q43" i="61"/>
  <c r="O43" i="61"/>
  <c r="AB43" i="61"/>
  <c r="AA43" i="61"/>
  <c r="Z43" i="61"/>
  <c r="Y43" i="61"/>
  <c r="X43" i="61"/>
  <c r="W43" i="61"/>
  <c r="V43" i="61"/>
  <c r="AJ42" i="61"/>
  <c r="AI42" i="61"/>
  <c r="AH42" i="61"/>
  <c r="AG42" i="61"/>
  <c r="AF42" i="61"/>
  <c r="AE42" i="61"/>
  <c r="AD42" i="61"/>
  <c r="AJ41" i="61"/>
  <c r="AI41" i="61"/>
  <c r="AH41" i="61"/>
  <c r="AG41" i="61"/>
  <c r="AF41" i="61"/>
  <c r="AE41" i="61"/>
  <c r="AD41" i="61"/>
  <c r="AJ40" i="61"/>
  <c r="AI40" i="61"/>
  <c r="AH40" i="61"/>
  <c r="AG40" i="61"/>
  <c r="AF40" i="61"/>
  <c r="AE40" i="61"/>
  <c r="AD40" i="61"/>
  <c r="AJ38" i="61"/>
  <c r="AI38" i="61"/>
  <c r="AH38" i="61"/>
  <c r="AG38" i="61"/>
  <c r="AF38" i="61"/>
  <c r="AE38" i="61"/>
  <c r="AD38" i="61"/>
  <c r="AJ37" i="61"/>
  <c r="AI37" i="61"/>
  <c r="AH37" i="61"/>
  <c r="AG37" i="61"/>
  <c r="AF37" i="61"/>
  <c r="AE37" i="61"/>
  <c r="AD37" i="61"/>
  <c r="S37" i="61"/>
  <c r="Q37" i="61"/>
  <c r="O37" i="61"/>
  <c r="AB37" i="61"/>
  <c r="AA37" i="61"/>
  <c r="Z37" i="61"/>
  <c r="Y37" i="61"/>
  <c r="X37" i="61"/>
  <c r="W37" i="61"/>
  <c r="V37" i="61"/>
  <c r="AJ36" i="61"/>
  <c r="AI36" i="61"/>
  <c r="AH36" i="61"/>
  <c r="AG36" i="61"/>
  <c r="AF36" i="61"/>
  <c r="AE36" i="61"/>
  <c r="AD36" i="61"/>
  <c r="AJ35" i="61"/>
  <c r="AI35" i="61"/>
  <c r="AH35" i="61"/>
  <c r="AG35" i="61"/>
  <c r="AF35" i="61"/>
  <c r="AE35" i="61"/>
  <c r="AD35" i="61"/>
  <c r="AJ34" i="61"/>
  <c r="AI34" i="61"/>
  <c r="AH34" i="61"/>
  <c r="AG34" i="61"/>
  <c r="AF34" i="61"/>
  <c r="AE34" i="61"/>
  <c r="AD34" i="61"/>
  <c r="AJ32" i="61"/>
  <c r="AI32" i="61"/>
  <c r="AH32" i="61"/>
  <c r="AG32" i="61"/>
  <c r="AF32" i="61"/>
  <c r="AE32" i="61"/>
  <c r="AD32" i="61"/>
  <c r="AJ31" i="61"/>
  <c r="AI31" i="61"/>
  <c r="AH31" i="61"/>
  <c r="AG31" i="61"/>
  <c r="AF31" i="61"/>
  <c r="AE31" i="61"/>
  <c r="AD31" i="61"/>
  <c r="S31" i="61"/>
  <c r="Q31" i="61"/>
  <c r="O31" i="61"/>
  <c r="AB31" i="61"/>
  <c r="AA31" i="61"/>
  <c r="Z31" i="61"/>
  <c r="Y31" i="61"/>
  <c r="X31" i="61"/>
  <c r="W31" i="61"/>
  <c r="V31" i="61"/>
  <c r="AJ30" i="61"/>
  <c r="AI30" i="61"/>
  <c r="AH30" i="61"/>
  <c r="AG30" i="61"/>
  <c r="AF30" i="61"/>
  <c r="AE30" i="61"/>
  <c r="AD30" i="61"/>
  <c r="AJ29" i="61"/>
  <c r="AI29" i="61"/>
  <c r="AH29" i="61"/>
  <c r="AG29" i="61"/>
  <c r="AF29" i="61"/>
  <c r="AE29" i="61"/>
  <c r="AD29" i="61"/>
  <c r="AJ28" i="61"/>
  <c r="AI28" i="61"/>
  <c r="AH28" i="61"/>
  <c r="AG28" i="61"/>
  <c r="AF28" i="61"/>
  <c r="AE28" i="61"/>
  <c r="AD28" i="61"/>
  <c r="AJ26" i="61"/>
  <c r="AI26" i="61"/>
  <c r="AH26" i="61"/>
  <c r="AG26" i="61"/>
  <c r="AF26" i="61"/>
  <c r="AE26" i="61"/>
  <c r="AD26" i="61"/>
  <c r="AJ25" i="61"/>
  <c r="AI25" i="61"/>
  <c r="AH25" i="61"/>
  <c r="AG25" i="61"/>
  <c r="AF25" i="61"/>
  <c r="AE25" i="61"/>
  <c r="AD25" i="61"/>
  <c r="S25" i="61"/>
  <c r="Q25" i="61"/>
  <c r="O25" i="61"/>
  <c r="AB25" i="61"/>
  <c r="AA25" i="61"/>
  <c r="Z25" i="61"/>
  <c r="Y25" i="61"/>
  <c r="X25" i="61"/>
  <c r="W25" i="61"/>
  <c r="V25" i="61"/>
  <c r="AJ24" i="61"/>
  <c r="AI24" i="61"/>
  <c r="AH24" i="61"/>
  <c r="AG24" i="61"/>
  <c r="AF24" i="61"/>
  <c r="AE24" i="61"/>
  <c r="AD24" i="61"/>
  <c r="AJ23" i="61"/>
  <c r="AI23" i="61"/>
  <c r="AH23" i="61"/>
  <c r="AG23" i="61"/>
  <c r="AF23" i="61"/>
  <c r="AE23" i="61"/>
  <c r="AD23" i="61"/>
  <c r="AJ22" i="61"/>
  <c r="AI22" i="61"/>
  <c r="AH22" i="61"/>
  <c r="AG22" i="61"/>
  <c r="AF22" i="61"/>
  <c r="AE22" i="61"/>
  <c r="AD22" i="61"/>
  <c r="AJ20" i="61"/>
  <c r="AI20" i="61"/>
  <c r="AH20" i="61"/>
  <c r="AG20" i="61"/>
  <c r="AF20" i="61"/>
  <c r="AE20" i="61"/>
  <c r="AD20" i="61"/>
  <c r="AJ19" i="61"/>
  <c r="AI19" i="61"/>
  <c r="AH19" i="61"/>
  <c r="AG19" i="61"/>
  <c r="AF19" i="61"/>
  <c r="AE19" i="61"/>
  <c r="AD19" i="61"/>
  <c r="S19" i="61"/>
  <c r="Q19" i="61"/>
  <c r="O19" i="61"/>
  <c r="AB19" i="61"/>
  <c r="AA19" i="61"/>
  <c r="Z19" i="61"/>
  <c r="Y19" i="61"/>
  <c r="X19" i="61"/>
  <c r="W19" i="61"/>
  <c r="V19" i="61"/>
  <c r="AJ18" i="61"/>
  <c r="AI18" i="61"/>
  <c r="AH18" i="61"/>
  <c r="AG18" i="61"/>
  <c r="AF18" i="61"/>
  <c r="AE18" i="61"/>
  <c r="AD18" i="61"/>
  <c r="AJ17" i="61"/>
  <c r="AI17" i="61"/>
  <c r="AH17" i="61"/>
  <c r="AG17" i="61"/>
  <c r="AF17" i="61"/>
  <c r="AE17" i="61"/>
  <c r="AD17" i="61"/>
  <c r="AJ16" i="61"/>
  <c r="AI16" i="61"/>
  <c r="AH16" i="61"/>
  <c r="AG16" i="61"/>
  <c r="AF16" i="61"/>
  <c r="AE16" i="61"/>
  <c r="AD16" i="61"/>
  <c r="AJ14" i="61"/>
  <c r="AI14" i="61"/>
  <c r="AH14" i="61"/>
  <c r="AG14" i="61"/>
  <c r="AF14" i="61"/>
  <c r="AE14" i="61"/>
  <c r="AD14" i="61"/>
  <c r="AJ13" i="61"/>
  <c r="AI13" i="61"/>
  <c r="AH13" i="61"/>
  <c r="AG13" i="61"/>
  <c r="AF13" i="61"/>
  <c r="AE13" i="61"/>
  <c r="AD13" i="61"/>
  <c r="AB13" i="61"/>
  <c r="AA13" i="61"/>
  <c r="Z13" i="61"/>
  <c r="Y13" i="61"/>
  <c r="X13" i="61"/>
  <c r="W13" i="61"/>
  <c r="V13" i="61"/>
  <c r="T13" i="61"/>
  <c r="S13" i="61"/>
  <c r="R13" i="61"/>
  <c r="Q13" i="61"/>
  <c r="P13" i="61"/>
  <c r="O13" i="61"/>
  <c r="N13" i="61"/>
  <c r="AJ12" i="61"/>
  <c r="AI12" i="61"/>
  <c r="AH12" i="61"/>
  <c r="AG12" i="61"/>
  <c r="AF12" i="61"/>
  <c r="AE12" i="61"/>
  <c r="AD12" i="61"/>
  <c r="AJ11" i="61"/>
  <c r="AI11" i="61"/>
  <c r="AH11" i="61"/>
  <c r="AG11" i="61"/>
  <c r="AF11" i="61"/>
  <c r="AE11" i="61"/>
  <c r="AD11" i="61"/>
  <c r="AJ10" i="61"/>
  <c r="AI10" i="61"/>
  <c r="AH10" i="61"/>
  <c r="AG10" i="61"/>
  <c r="AF10" i="61"/>
  <c r="AE10" i="61"/>
  <c r="AD10" i="61"/>
  <c r="AJ8" i="61"/>
  <c r="AI8" i="61"/>
  <c r="AH8" i="61"/>
  <c r="AG8" i="61"/>
  <c r="AF8" i="61"/>
  <c r="AE8" i="61"/>
  <c r="AD8" i="61"/>
  <c r="AJ7" i="61"/>
  <c r="AI7" i="61"/>
  <c r="AH7" i="61"/>
  <c r="AG7" i="61"/>
  <c r="AF7" i="61"/>
  <c r="AE7" i="61"/>
  <c r="AD7" i="61"/>
  <c r="AB7" i="61"/>
  <c r="AA7" i="61"/>
  <c r="Z7" i="61"/>
  <c r="Y7" i="61"/>
  <c r="X7" i="61"/>
  <c r="W7" i="61"/>
  <c r="V7" i="61"/>
  <c r="T7" i="61"/>
  <c r="S7" i="61"/>
  <c r="R7" i="61"/>
  <c r="Q7" i="61"/>
  <c r="P7" i="61"/>
  <c r="O7" i="61"/>
  <c r="N7" i="61"/>
  <c r="AJ6" i="61"/>
  <c r="AI6" i="61"/>
  <c r="AH6" i="61"/>
  <c r="AG6" i="61"/>
  <c r="AF6" i="61"/>
  <c r="AE6" i="61"/>
  <c r="AD6" i="61"/>
  <c r="AJ5" i="61"/>
  <c r="AI5" i="61"/>
  <c r="AH5" i="61"/>
  <c r="AG5" i="61"/>
  <c r="AF5" i="61"/>
  <c r="AE5" i="61"/>
  <c r="AD5" i="61"/>
  <c r="AJ4" i="61"/>
  <c r="AI4" i="61"/>
  <c r="AH4" i="61"/>
  <c r="AG4" i="61"/>
  <c r="AF4" i="61"/>
  <c r="AE4" i="61"/>
  <c r="AD4" i="61"/>
  <c r="K224" i="60"/>
  <c r="K213" i="60"/>
  <c r="AJ50" i="60"/>
  <c r="AI50" i="60"/>
  <c r="AH50" i="60"/>
  <c r="AG50" i="60"/>
  <c r="AF50" i="60"/>
  <c r="AE50" i="60"/>
  <c r="AD50" i="60"/>
  <c r="AJ49" i="60"/>
  <c r="AI49" i="60"/>
  <c r="AH49" i="60"/>
  <c r="AG49" i="60"/>
  <c r="AF49" i="60"/>
  <c r="AE49" i="60"/>
  <c r="AD49" i="60"/>
  <c r="AJ48" i="60"/>
  <c r="AI48" i="60"/>
  <c r="AH48" i="60"/>
  <c r="AG48" i="60"/>
  <c r="AF48" i="60"/>
  <c r="AE48" i="60"/>
  <c r="AD48" i="60"/>
  <c r="AJ47" i="60"/>
  <c r="AI47" i="60"/>
  <c r="AH47" i="60"/>
  <c r="AG47" i="60"/>
  <c r="AF47" i="60"/>
  <c r="AE47" i="60"/>
  <c r="AD47" i="60"/>
  <c r="AJ46" i="60"/>
  <c r="AI46" i="60"/>
  <c r="AH46" i="60"/>
  <c r="AG46" i="60"/>
  <c r="AF46" i="60"/>
  <c r="AE46" i="60"/>
  <c r="AD46" i="60"/>
  <c r="AJ14" i="60"/>
  <c r="AI14" i="60"/>
  <c r="AH14" i="60"/>
  <c r="AG14" i="60"/>
  <c r="AF14" i="60"/>
  <c r="AE14" i="60"/>
  <c r="AD14" i="60"/>
  <c r="AJ13" i="60"/>
  <c r="AI13" i="60"/>
  <c r="AH13" i="60"/>
  <c r="AG13" i="60"/>
  <c r="AF13" i="60"/>
  <c r="AE13" i="60"/>
  <c r="AD13" i="60"/>
  <c r="AB13" i="60"/>
  <c r="AA13" i="60"/>
  <c r="Z13" i="60"/>
  <c r="Y13" i="60"/>
  <c r="X13" i="60"/>
  <c r="W13" i="60"/>
  <c r="V13" i="60"/>
  <c r="T13" i="60"/>
  <c r="S13" i="60"/>
  <c r="R13" i="60"/>
  <c r="Q13" i="60"/>
  <c r="P13" i="60"/>
  <c r="O13" i="60"/>
  <c r="N13" i="60"/>
  <c r="AJ12" i="60"/>
  <c r="AI12" i="60"/>
  <c r="AH12" i="60"/>
  <c r="AG12" i="60"/>
  <c r="AF12" i="60"/>
  <c r="AE12" i="60"/>
  <c r="AD12" i="60"/>
  <c r="AJ11" i="60"/>
  <c r="AI11" i="60"/>
  <c r="AH11" i="60"/>
  <c r="AG11" i="60"/>
  <c r="AF11" i="60"/>
  <c r="AE11" i="60"/>
  <c r="AD11" i="60"/>
  <c r="AJ10" i="60"/>
  <c r="AI10" i="60"/>
  <c r="AH10" i="60"/>
  <c r="AG10" i="60"/>
  <c r="AF10" i="60"/>
  <c r="AE10" i="60"/>
  <c r="AD10" i="60"/>
  <c r="AJ8" i="60"/>
  <c r="AI8" i="60"/>
  <c r="AH8" i="60"/>
  <c r="AG8" i="60"/>
  <c r="AF8" i="60"/>
  <c r="AE8" i="60"/>
  <c r="AD8" i="60"/>
  <c r="AJ7" i="60"/>
  <c r="AI7" i="60"/>
  <c r="AH7" i="60"/>
  <c r="AG7" i="60"/>
  <c r="AF7" i="60"/>
  <c r="AE7" i="60"/>
  <c r="AD7" i="60"/>
  <c r="AB7" i="60"/>
  <c r="AA7" i="60"/>
  <c r="Z7" i="60"/>
  <c r="Y7" i="60"/>
  <c r="X7" i="60"/>
  <c r="W7" i="60"/>
  <c r="V7" i="60"/>
  <c r="T7" i="60"/>
  <c r="S7" i="60"/>
  <c r="R7" i="60"/>
  <c r="Q7" i="60"/>
  <c r="P7" i="60"/>
  <c r="O7" i="60"/>
  <c r="N7" i="60"/>
  <c r="AJ6" i="60"/>
  <c r="AI6" i="60"/>
  <c r="AH6" i="60"/>
  <c r="AG6" i="60"/>
  <c r="AF6" i="60"/>
  <c r="AE6" i="60"/>
  <c r="AD6" i="60"/>
  <c r="AJ5" i="60"/>
  <c r="AI5" i="60"/>
  <c r="AH5" i="60"/>
  <c r="AG5" i="60"/>
  <c r="AF5" i="60"/>
  <c r="AE5" i="60"/>
  <c r="AD5" i="60"/>
  <c r="AJ4" i="60"/>
  <c r="AI4" i="60"/>
  <c r="AH4" i="60"/>
  <c r="AG4" i="60"/>
  <c r="AF4" i="60"/>
  <c r="AE4" i="60"/>
  <c r="AD4" i="60"/>
  <c r="K446" i="59"/>
  <c r="K435" i="59"/>
  <c r="AJ272" i="59"/>
  <c r="AI272" i="59"/>
  <c r="AH272" i="59"/>
  <c r="AG272" i="59"/>
  <c r="AF272" i="59"/>
  <c r="AE272" i="59"/>
  <c r="AD272" i="59"/>
  <c r="AJ271" i="59"/>
  <c r="AI271" i="59"/>
  <c r="AH271" i="59"/>
  <c r="AG271" i="59"/>
  <c r="AF271" i="59"/>
  <c r="AE271" i="59"/>
  <c r="AD271" i="59"/>
  <c r="AJ270" i="59"/>
  <c r="AI270" i="59"/>
  <c r="AH270" i="59"/>
  <c r="AG270" i="59"/>
  <c r="AF270" i="59"/>
  <c r="AE270" i="59"/>
  <c r="AD270" i="59"/>
  <c r="AJ269" i="59"/>
  <c r="AI269" i="59"/>
  <c r="AH269" i="59"/>
  <c r="AG269" i="59"/>
  <c r="AF269" i="59"/>
  <c r="AE269" i="59"/>
  <c r="AD269" i="59"/>
  <c r="AJ268" i="59"/>
  <c r="AI268" i="59"/>
  <c r="AH268" i="59"/>
  <c r="AG268" i="59"/>
  <c r="AF268" i="59"/>
  <c r="AE268" i="59"/>
  <c r="AD268" i="59"/>
  <c r="AJ260" i="59"/>
  <c r="AI260" i="59"/>
  <c r="AH260" i="59"/>
  <c r="AG260" i="59"/>
  <c r="AF260" i="59"/>
  <c r="AE260" i="59"/>
  <c r="AD260" i="59"/>
  <c r="AJ259" i="59"/>
  <c r="AI259" i="59"/>
  <c r="AH259" i="59"/>
  <c r="AG259" i="59"/>
  <c r="AF259" i="59"/>
  <c r="AE259" i="59"/>
  <c r="AD259" i="59"/>
  <c r="S259" i="59"/>
  <c r="Q259" i="59"/>
  <c r="O259" i="59"/>
  <c r="AB259" i="59"/>
  <c r="AA259" i="59"/>
  <c r="Z259" i="59"/>
  <c r="Y259" i="59"/>
  <c r="X259" i="59"/>
  <c r="W259" i="59"/>
  <c r="V259" i="59"/>
  <c r="AJ258" i="59"/>
  <c r="AI258" i="59"/>
  <c r="AH258" i="59"/>
  <c r="AG258" i="59"/>
  <c r="AF258" i="59"/>
  <c r="AE258" i="59"/>
  <c r="AD258" i="59"/>
  <c r="AJ257" i="59"/>
  <c r="AI257" i="59"/>
  <c r="AH257" i="59"/>
  <c r="AG257" i="59"/>
  <c r="AF257" i="59"/>
  <c r="AE257" i="59"/>
  <c r="AD257" i="59"/>
  <c r="AJ256" i="59"/>
  <c r="AI256" i="59"/>
  <c r="AH256" i="59"/>
  <c r="AG256" i="59"/>
  <c r="AF256" i="59"/>
  <c r="AE256" i="59"/>
  <c r="AD256" i="59"/>
  <c r="AJ254" i="59"/>
  <c r="AI254" i="59"/>
  <c r="AH254" i="59"/>
  <c r="AG254" i="59"/>
  <c r="AF254" i="59"/>
  <c r="AE254" i="59"/>
  <c r="AD254" i="59"/>
  <c r="AJ253" i="59"/>
  <c r="AI253" i="59"/>
  <c r="AH253" i="59"/>
  <c r="AG253" i="59"/>
  <c r="AF253" i="59"/>
  <c r="AE253" i="59"/>
  <c r="AD253" i="59"/>
  <c r="S253" i="59"/>
  <c r="Q253" i="59"/>
  <c r="O253" i="59"/>
  <c r="AB253" i="59"/>
  <c r="AA253" i="59"/>
  <c r="Z253" i="59"/>
  <c r="Y253" i="59"/>
  <c r="X253" i="59"/>
  <c r="W253" i="59"/>
  <c r="V253" i="59"/>
  <c r="AJ252" i="59"/>
  <c r="AI252" i="59"/>
  <c r="AH252" i="59"/>
  <c r="AG252" i="59"/>
  <c r="AF252" i="59"/>
  <c r="AE252" i="59"/>
  <c r="AD252" i="59"/>
  <c r="AJ251" i="59"/>
  <c r="AI251" i="59"/>
  <c r="AH251" i="59"/>
  <c r="AG251" i="59"/>
  <c r="AF251" i="59"/>
  <c r="AE251" i="59"/>
  <c r="AD251" i="59"/>
  <c r="AJ250" i="59"/>
  <c r="AI250" i="59"/>
  <c r="AH250" i="59"/>
  <c r="AG250" i="59"/>
  <c r="AF250" i="59"/>
  <c r="AE250" i="59"/>
  <c r="AD250" i="59"/>
  <c r="AJ248" i="59"/>
  <c r="AI248" i="59"/>
  <c r="AH248" i="59"/>
  <c r="AG248" i="59"/>
  <c r="AF248" i="59"/>
  <c r="AE248" i="59"/>
  <c r="AD248" i="59"/>
  <c r="AJ247" i="59"/>
  <c r="AI247" i="59"/>
  <c r="AH247" i="59"/>
  <c r="AG247" i="59"/>
  <c r="AF247" i="59"/>
  <c r="AE247" i="59"/>
  <c r="AD247" i="59"/>
  <c r="S247" i="59"/>
  <c r="Q247" i="59"/>
  <c r="O247" i="59"/>
  <c r="AB247" i="59"/>
  <c r="AA247" i="59"/>
  <c r="Z247" i="59"/>
  <c r="Y247" i="59"/>
  <c r="X247" i="59"/>
  <c r="W247" i="59"/>
  <c r="V247" i="59"/>
  <c r="AJ246" i="59"/>
  <c r="AI246" i="59"/>
  <c r="AH246" i="59"/>
  <c r="AG246" i="59"/>
  <c r="AF246" i="59"/>
  <c r="AE246" i="59"/>
  <c r="AD246" i="59"/>
  <c r="AJ245" i="59"/>
  <c r="AI245" i="59"/>
  <c r="AH245" i="59"/>
  <c r="AG245" i="59"/>
  <c r="AF245" i="59"/>
  <c r="AE245" i="59"/>
  <c r="AD245" i="59"/>
  <c r="AJ244" i="59"/>
  <c r="AI244" i="59"/>
  <c r="AH244" i="59"/>
  <c r="AG244" i="59"/>
  <c r="AF244" i="59"/>
  <c r="AE244" i="59"/>
  <c r="AD244" i="59"/>
  <c r="AJ242" i="59"/>
  <c r="AI242" i="59"/>
  <c r="AH242" i="59"/>
  <c r="AG242" i="59"/>
  <c r="AF242" i="59"/>
  <c r="AE242" i="59"/>
  <c r="AD242" i="59"/>
  <c r="AJ241" i="59"/>
  <c r="AI241" i="59"/>
  <c r="AH241" i="59"/>
  <c r="AG241" i="59"/>
  <c r="AF241" i="59"/>
  <c r="AE241" i="59"/>
  <c r="AD241" i="59"/>
  <c r="S241" i="59"/>
  <c r="Q241" i="59"/>
  <c r="O241" i="59"/>
  <c r="AA241" i="59"/>
  <c r="Y241" i="59"/>
  <c r="W241" i="59"/>
  <c r="AJ240" i="59"/>
  <c r="AI240" i="59"/>
  <c r="AH240" i="59"/>
  <c r="AG240" i="59"/>
  <c r="AF240" i="59"/>
  <c r="AE240" i="59"/>
  <c r="AD240" i="59"/>
  <c r="AJ239" i="59"/>
  <c r="AI239" i="59"/>
  <c r="AH239" i="59"/>
  <c r="AG239" i="59"/>
  <c r="AF239" i="59"/>
  <c r="AE239" i="59"/>
  <c r="AD239" i="59"/>
  <c r="AJ238" i="59"/>
  <c r="AI238" i="59"/>
  <c r="AH238" i="59"/>
  <c r="AG238" i="59"/>
  <c r="AF238" i="59"/>
  <c r="AE238" i="59"/>
  <c r="AD238" i="59"/>
  <c r="AJ236" i="59"/>
  <c r="AI236" i="59"/>
  <c r="AH236" i="59"/>
  <c r="AG236" i="59"/>
  <c r="AF236" i="59"/>
  <c r="AE236" i="59"/>
  <c r="AD236" i="59"/>
  <c r="AJ235" i="59"/>
  <c r="AI235" i="59"/>
  <c r="AH235" i="59"/>
  <c r="AG235" i="59"/>
  <c r="AF235" i="59"/>
  <c r="AE235" i="59"/>
  <c r="AD235" i="59"/>
  <c r="AB235" i="59"/>
  <c r="X235" i="59"/>
  <c r="T235" i="59"/>
  <c r="AA235" i="59"/>
  <c r="R235" i="59"/>
  <c r="Y235" i="59"/>
  <c r="P235" i="59"/>
  <c r="W235" i="59"/>
  <c r="N235" i="59"/>
  <c r="AJ234" i="59"/>
  <c r="AI234" i="59"/>
  <c r="AH234" i="59"/>
  <c r="AG234" i="59"/>
  <c r="AF234" i="59"/>
  <c r="AE234" i="59"/>
  <c r="AD234" i="59"/>
  <c r="AJ233" i="59"/>
  <c r="AI233" i="59"/>
  <c r="AH233" i="59"/>
  <c r="AG233" i="59"/>
  <c r="AF233" i="59"/>
  <c r="AE233" i="59"/>
  <c r="AD233" i="59"/>
  <c r="AJ232" i="59"/>
  <c r="AI232" i="59"/>
  <c r="AH232" i="59"/>
  <c r="AG232" i="59"/>
  <c r="AF232" i="59"/>
  <c r="AE232" i="59"/>
  <c r="AD232" i="59"/>
  <c r="AJ230" i="59"/>
  <c r="AI230" i="59"/>
  <c r="AH230" i="59"/>
  <c r="AG230" i="59"/>
  <c r="AF230" i="59"/>
  <c r="AE230" i="59"/>
  <c r="AD230" i="59"/>
  <c r="AJ229" i="59"/>
  <c r="AI229" i="59"/>
  <c r="AH229" i="59"/>
  <c r="AG229" i="59"/>
  <c r="AF229" i="59"/>
  <c r="AE229" i="59"/>
  <c r="AD229" i="59"/>
  <c r="T229" i="59"/>
  <c r="R229" i="59"/>
  <c r="P229" i="59"/>
  <c r="N229" i="59"/>
  <c r="AB229" i="59"/>
  <c r="AA229" i="59"/>
  <c r="Z229" i="59"/>
  <c r="Y229" i="59"/>
  <c r="X229" i="59"/>
  <c r="W229" i="59"/>
  <c r="V229" i="59"/>
  <c r="AJ228" i="59"/>
  <c r="AI228" i="59"/>
  <c r="AH228" i="59"/>
  <c r="AG228" i="59"/>
  <c r="AF228" i="59"/>
  <c r="AE228" i="59"/>
  <c r="AD228" i="59"/>
  <c r="AJ227" i="59"/>
  <c r="AI227" i="59"/>
  <c r="AH227" i="59"/>
  <c r="AG227" i="59"/>
  <c r="AF227" i="59"/>
  <c r="AE227" i="59"/>
  <c r="AD227" i="59"/>
  <c r="AJ226" i="59"/>
  <c r="AI226" i="59"/>
  <c r="AH226" i="59"/>
  <c r="AG226" i="59"/>
  <c r="AF226" i="59"/>
  <c r="AE226" i="59"/>
  <c r="AD226" i="59"/>
  <c r="AJ224" i="59"/>
  <c r="AI224" i="59"/>
  <c r="AH224" i="59"/>
  <c r="AG224" i="59"/>
  <c r="AF224" i="59"/>
  <c r="AE224" i="59"/>
  <c r="AD224" i="59"/>
  <c r="AJ223" i="59"/>
  <c r="AI223" i="59"/>
  <c r="AH223" i="59"/>
  <c r="AG223" i="59"/>
  <c r="AF223" i="59"/>
  <c r="AE223" i="59"/>
  <c r="AD223" i="59"/>
  <c r="T223" i="59"/>
  <c r="R223" i="59"/>
  <c r="P223" i="59"/>
  <c r="N223" i="59"/>
  <c r="AB223" i="59"/>
  <c r="AA223" i="59"/>
  <c r="Z223" i="59"/>
  <c r="Y223" i="59"/>
  <c r="X223" i="59"/>
  <c r="W223" i="59"/>
  <c r="V223" i="59"/>
  <c r="AJ222" i="59"/>
  <c r="AI222" i="59"/>
  <c r="AH222" i="59"/>
  <c r="AG222" i="59"/>
  <c r="AF222" i="59"/>
  <c r="AE222" i="59"/>
  <c r="AD222" i="59"/>
  <c r="AJ221" i="59"/>
  <c r="AI221" i="59"/>
  <c r="AH221" i="59"/>
  <c r="AG221" i="59"/>
  <c r="AF221" i="59"/>
  <c r="AE221" i="59"/>
  <c r="AD221" i="59"/>
  <c r="AJ220" i="59"/>
  <c r="AI220" i="59"/>
  <c r="AH220" i="59"/>
  <c r="AG220" i="59"/>
  <c r="AF220" i="59"/>
  <c r="AE220" i="59"/>
  <c r="AD220" i="59"/>
  <c r="AJ218" i="59"/>
  <c r="AI218" i="59"/>
  <c r="AH218" i="59"/>
  <c r="AG218" i="59"/>
  <c r="AF218" i="59"/>
  <c r="AE218" i="59"/>
  <c r="AD218" i="59"/>
  <c r="AJ217" i="59"/>
  <c r="AI217" i="59"/>
  <c r="AH217" i="59"/>
  <c r="AG217" i="59"/>
  <c r="AF217" i="59"/>
  <c r="AE217" i="59"/>
  <c r="AD217" i="59"/>
  <c r="T217" i="59"/>
  <c r="R217" i="59"/>
  <c r="P217" i="59"/>
  <c r="N217" i="59"/>
  <c r="AB217" i="59"/>
  <c r="AA217" i="59"/>
  <c r="Z217" i="59"/>
  <c r="Y217" i="59"/>
  <c r="X217" i="59"/>
  <c r="W217" i="59"/>
  <c r="V217" i="59"/>
  <c r="AJ216" i="59"/>
  <c r="AI216" i="59"/>
  <c r="AH216" i="59"/>
  <c r="AG216" i="59"/>
  <c r="AF216" i="59"/>
  <c r="AE216" i="59"/>
  <c r="AD216" i="59"/>
  <c r="AJ215" i="59"/>
  <c r="AI215" i="59"/>
  <c r="AH215" i="59"/>
  <c r="AG215" i="59"/>
  <c r="AF215" i="59"/>
  <c r="AE215" i="59"/>
  <c r="AD215" i="59"/>
  <c r="AJ214" i="59"/>
  <c r="AI214" i="59"/>
  <c r="AH214" i="59"/>
  <c r="AG214" i="59"/>
  <c r="AF214" i="59"/>
  <c r="AE214" i="59"/>
  <c r="AD214" i="59"/>
  <c r="AJ212" i="59"/>
  <c r="AI212" i="59"/>
  <c r="AH212" i="59"/>
  <c r="AG212" i="59"/>
  <c r="AF212" i="59"/>
  <c r="AE212" i="59"/>
  <c r="AD212" i="59"/>
  <c r="AJ211" i="59"/>
  <c r="AI211" i="59"/>
  <c r="AH211" i="59"/>
  <c r="AG211" i="59"/>
  <c r="AF211" i="59"/>
  <c r="AE211" i="59"/>
  <c r="AD211" i="59"/>
  <c r="T211" i="59"/>
  <c r="R211" i="59"/>
  <c r="P211" i="59"/>
  <c r="N211" i="59"/>
  <c r="AB211" i="59"/>
  <c r="AA211" i="59"/>
  <c r="Z211" i="59"/>
  <c r="Y211" i="59"/>
  <c r="X211" i="59"/>
  <c r="W211" i="59"/>
  <c r="V211" i="59"/>
  <c r="AJ210" i="59"/>
  <c r="AI210" i="59"/>
  <c r="AH210" i="59"/>
  <c r="AG210" i="59"/>
  <c r="AF210" i="59"/>
  <c r="AE210" i="59"/>
  <c r="AD210" i="59"/>
  <c r="AJ209" i="59"/>
  <c r="AI209" i="59"/>
  <c r="AH209" i="59"/>
  <c r="AG209" i="59"/>
  <c r="AF209" i="59"/>
  <c r="AE209" i="59"/>
  <c r="AD209" i="59"/>
  <c r="AJ208" i="59"/>
  <c r="AI208" i="59"/>
  <c r="AH208" i="59"/>
  <c r="AG208" i="59"/>
  <c r="AF208" i="59"/>
  <c r="AE208" i="59"/>
  <c r="AD208" i="59"/>
  <c r="AJ206" i="59"/>
  <c r="AI206" i="59"/>
  <c r="AH206" i="59"/>
  <c r="AG206" i="59"/>
  <c r="AF206" i="59"/>
  <c r="AE206" i="59"/>
  <c r="AD206" i="59"/>
  <c r="AJ205" i="59"/>
  <c r="AI205" i="59"/>
  <c r="AH205" i="59"/>
  <c r="AG205" i="59"/>
  <c r="AF205" i="59"/>
  <c r="AE205" i="59"/>
  <c r="AD205" i="59"/>
  <c r="T205" i="59"/>
  <c r="R205" i="59"/>
  <c r="P205" i="59"/>
  <c r="N205" i="59"/>
  <c r="AB205" i="59"/>
  <c r="AA205" i="59"/>
  <c r="Z205" i="59"/>
  <c r="Y205" i="59"/>
  <c r="X205" i="59"/>
  <c r="W205" i="59"/>
  <c r="V205" i="59"/>
  <c r="AJ204" i="59"/>
  <c r="AI204" i="59"/>
  <c r="AH204" i="59"/>
  <c r="AG204" i="59"/>
  <c r="AF204" i="59"/>
  <c r="AE204" i="59"/>
  <c r="AD204" i="59"/>
  <c r="AJ203" i="59"/>
  <c r="AI203" i="59"/>
  <c r="AH203" i="59"/>
  <c r="AG203" i="59"/>
  <c r="AF203" i="59"/>
  <c r="AE203" i="59"/>
  <c r="AD203" i="59"/>
  <c r="AJ202" i="59"/>
  <c r="AI202" i="59"/>
  <c r="AH202" i="59"/>
  <c r="AG202" i="59"/>
  <c r="AF202" i="59"/>
  <c r="AE202" i="59"/>
  <c r="AD202" i="59"/>
  <c r="AJ200" i="59"/>
  <c r="AI200" i="59"/>
  <c r="AH200" i="59"/>
  <c r="AG200" i="59"/>
  <c r="AF200" i="59"/>
  <c r="AE200" i="59"/>
  <c r="AD200" i="59"/>
  <c r="AJ199" i="59"/>
  <c r="AI199" i="59"/>
  <c r="AH199" i="59"/>
  <c r="AG199" i="59"/>
  <c r="AF199" i="59"/>
  <c r="AE199" i="59"/>
  <c r="AD199" i="59"/>
  <c r="T199" i="59"/>
  <c r="R199" i="59"/>
  <c r="P199" i="59"/>
  <c r="N199" i="59"/>
  <c r="AB199" i="59"/>
  <c r="AA199" i="59"/>
  <c r="Z199" i="59"/>
  <c r="Y199" i="59"/>
  <c r="X199" i="59"/>
  <c r="W199" i="59"/>
  <c r="V199" i="59"/>
  <c r="AJ198" i="59"/>
  <c r="AI198" i="59"/>
  <c r="AH198" i="59"/>
  <c r="AG198" i="59"/>
  <c r="AF198" i="59"/>
  <c r="AE198" i="59"/>
  <c r="AD198" i="59"/>
  <c r="AJ197" i="59"/>
  <c r="AI197" i="59"/>
  <c r="AH197" i="59"/>
  <c r="AG197" i="59"/>
  <c r="AF197" i="59"/>
  <c r="AE197" i="59"/>
  <c r="AD197" i="59"/>
  <c r="AJ196" i="59"/>
  <c r="AI196" i="59"/>
  <c r="AH196" i="59"/>
  <c r="AG196" i="59"/>
  <c r="AF196" i="59"/>
  <c r="AE196" i="59"/>
  <c r="AD196" i="59"/>
  <c r="AJ194" i="59"/>
  <c r="AI194" i="59"/>
  <c r="AH194" i="59"/>
  <c r="AG194" i="59"/>
  <c r="AF194" i="59"/>
  <c r="AE194" i="59"/>
  <c r="AD194" i="59"/>
  <c r="AJ193" i="59"/>
  <c r="AI193" i="59"/>
  <c r="AH193" i="59"/>
  <c r="AG193" i="59"/>
  <c r="AF193" i="59"/>
  <c r="AE193" i="59"/>
  <c r="AD193" i="59"/>
  <c r="T193" i="59"/>
  <c r="R193" i="59"/>
  <c r="P193" i="59"/>
  <c r="N193" i="59"/>
  <c r="AB193" i="59"/>
  <c r="AA193" i="59"/>
  <c r="Z193" i="59"/>
  <c r="Y193" i="59"/>
  <c r="X193" i="59"/>
  <c r="W193" i="59"/>
  <c r="V193" i="59"/>
  <c r="AJ192" i="59"/>
  <c r="AI192" i="59"/>
  <c r="AH192" i="59"/>
  <c r="AG192" i="59"/>
  <c r="AF192" i="59"/>
  <c r="AE192" i="59"/>
  <c r="AD192" i="59"/>
  <c r="AJ191" i="59"/>
  <c r="AI191" i="59"/>
  <c r="AH191" i="59"/>
  <c r="AG191" i="59"/>
  <c r="AF191" i="59"/>
  <c r="AE191" i="59"/>
  <c r="AD191" i="59"/>
  <c r="AJ190" i="59"/>
  <c r="AI190" i="59"/>
  <c r="AH190" i="59"/>
  <c r="AG190" i="59"/>
  <c r="AF190" i="59"/>
  <c r="AE190" i="59"/>
  <c r="AD190" i="59"/>
  <c r="AJ188" i="59"/>
  <c r="AI188" i="59"/>
  <c r="AH188" i="59"/>
  <c r="AG188" i="59"/>
  <c r="AF188" i="59"/>
  <c r="AE188" i="59"/>
  <c r="AD188" i="59"/>
  <c r="AJ187" i="59"/>
  <c r="AI187" i="59"/>
  <c r="AH187" i="59"/>
  <c r="AG187" i="59"/>
  <c r="AF187" i="59"/>
  <c r="AE187" i="59"/>
  <c r="AD187" i="59"/>
  <c r="T187" i="59"/>
  <c r="R187" i="59"/>
  <c r="P187" i="59"/>
  <c r="N187" i="59"/>
  <c r="AB187" i="59"/>
  <c r="AA187" i="59"/>
  <c r="Z187" i="59"/>
  <c r="Y187" i="59"/>
  <c r="X187" i="59"/>
  <c r="W187" i="59"/>
  <c r="V187" i="59"/>
  <c r="AJ186" i="59"/>
  <c r="AI186" i="59"/>
  <c r="AH186" i="59"/>
  <c r="AG186" i="59"/>
  <c r="AF186" i="59"/>
  <c r="AE186" i="59"/>
  <c r="AD186" i="59"/>
  <c r="AJ185" i="59"/>
  <c r="AI185" i="59"/>
  <c r="AH185" i="59"/>
  <c r="AG185" i="59"/>
  <c r="AF185" i="59"/>
  <c r="AE185" i="59"/>
  <c r="AD185" i="59"/>
  <c r="AJ184" i="59"/>
  <c r="AI184" i="59"/>
  <c r="AH184" i="59"/>
  <c r="AG184" i="59"/>
  <c r="AF184" i="59"/>
  <c r="AE184" i="59"/>
  <c r="AD184" i="59"/>
  <c r="AJ182" i="59"/>
  <c r="AI182" i="59"/>
  <c r="AH182" i="59"/>
  <c r="AG182" i="59"/>
  <c r="AF182" i="59"/>
  <c r="AE182" i="59"/>
  <c r="AD182" i="59"/>
  <c r="AJ181" i="59"/>
  <c r="AI181" i="59"/>
  <c r="AH181" i="59"/>
  <c r="AG181" i="59"/>
  <c r="AF181" i="59"/>
  <c r="AE181" i="59"/>
  <c r="AD181" i="59"/>
  <c r="T181" i="59"/>
  <c r="R181" i="59"/>
  <c r="P181" i="59"/>
  <c r="N181" i="59"/>
  <c r="AB181" i="59"/>
  <c r="AA181" i="59"/>
  <c r="Z181" i="59"/>
  <c r="Y181" i="59"/>
  <c r="X181" i="59"/>
  <c r="W181" i="59"/>
  <c r="V181" i="59"/>
  <c r="AJ180" i="59"/>
  <c r="AI180" i="59"/>
  <c r="AH180" i="59"/>
  <c r="AG180" i="59"/>
  <c r="AF180" i="59"/>
  <c r="AE180" i="59"/>
  <c r="AD180" i="59"/>
  <c r="AJ179" i="59"/>
  <c r="AI179" i="59"/>
  <c r="AH179" i="59"/>
  <c r="AG179" i="59"/>
  <c r="AF179" i="59"/>
  <c r="AE179" i="59"/>
  <c r="AD179" i="59"/>
  <c r="AJ178" i="59"/>
  <c r="AI178" i="59"/>
  <c r="AH178" i="59"/>
  <c r="AG178" i="59"/>
  <c r="AF178" i="59"/>
  <c r="AE178" i="59"/>
  <c r="AD178" i="59"/>
  <c r="AJ176" i="59"/>
  <c r="AI176" i="59"/>
  <c r="AH176" i="59"/>
  <c r="AG176" i="59"/>
  <c r="AF176" i="59"/>
  <c r="AE176" i="59"/>
  <c r="AD176" i="59"/>
  <c r="AJ175" i="59"/>
  <c r="AI175" i="59"/>
  <c r="AH175" i="59"/>
  <c r="AG175" i="59"/>
  <c r="AF175" i="59"/>
  <c r="AE175" i="59"/>
  <c r="AD175" i="59"/>
  <c r="T175" i="59"/>
  <c r="R175" i="59"/>
  <c r="P175" i="59"/>
  <c r="N175" i="59"/>
  <c r="AB175" i="59"/>
  <c r="AA175" i="59"/>
  <c r="Z175" i="59"/>
  <c r="Y175" i="59"/>
  <c r="X175" i="59"/>
  <c r="W175" i="59"/>
  <c r="V175" i="59"/>
  <c r="AJ174" i="59"/>
  <c r="AI174" i="59"/>
  <c r="AH174" i="59"/>
  <c r="AG174" i="59"/>
  <c r="AF174" i="59"/>
  <c r="AE174" i="59"/>
  <c r="AD174" i="59"/>
  <c r="AJ173" i="59"/>
  <c r="AI173" i="59"/>
  <c r="AH173" i="59"/>
  <c r="AG173" i="59"/>
  <c r="AF173" i="59"/>
  <c r="AE173" i="59"/>
  <c r="AD173" i="59"/>
  <c r="AJ172" i="59"/>
  <c r="AI172" i="59"/>
  <c r="AH172" i="59"/>
  <c r="AG172" i="59"/>
  <c r="AF172" i="59"/>
  <c r="AE172" i="59"/>
  <c r="AD172" i="59"/>
  <c r="AJ170" i="59"/>
  <c r="AI170" i="59"/>
  <c r="AH170" i="59"/>
  <c r="AG170" i="59"/>
  <c r="AF170" i="59"/>
  <c r="AE170" i="59"/>
  <c r="AD170" i="59"/>
  <c r="AJ169" i="59"/>
  <c r="AI169" i="59"/>
  <c r="AH169" i="59"/>
  <c r="AG169" i="59"/>
  <c r="AF169" i="59"/>
  <c r="AE169" i="59"/>
  <c r="AD169" i="59"/>
  <c r="T169" i="59"/>
  <c r="R169" i="59"/>
  <c r="P169" i="59"/>
  <c r="N169" i="59"/>
  <c r="AB169" i="59"/>
  <c r="AA169" i="59"/>
  <c r="Z169" i="59"/>
  <c r="Y169" i="59"/>
  <c r="X169" i="59"/>
  <c r="W169" i="59"/>
  <c r="V169" i="59"/>
  <c r="AJ168" i="59"/>
  <c r="AI168" i="59"/>
  <c r="AH168" i="59"/>
  <c r="AG168" i="59"/>
  <c r="AF168" i="59"/>
  <c r="AE168" i="59"/>
  <c r="AD168" i="59"/>
  <c r="AJ167" i="59"/>
  <c r="AI167" i="59"/>
  <c r="AH167" i="59"/>
  <c r="AG167" i="59"/>
  <c r="AF167" i="59"/>
  <c r="AE167" i="59"/>
  <c r="AD167" i="59"/>
  <c r="AJ166" i="59"/>
  <c r="AI166" i="59"/>
  <c r="AH166" i="59"/>
  <c r="AG166" i="59"/>
  <c r="AF166" i="59"/>
  <c r="AE166" i="59"/>
  <c r="AD166" i="59"/>
  <c r="AJ164" i="59"/>
  <c r="AI164" i="59"/>
  <c r="AH164" i="59"/>
  <c r="AG164" i="59"/>
  <c r="AF164" i="59"/>
  <c r="AE164" i="59"/>
  <c r="AD164" i="59"/>
  <c r="AJ163" i="59"/>
  <c r="AI163" i="59"/>
  <c r="AH163" i="59"/>
  <c r="AG163" i="59"/>
  <c r="AF163" i="59"/>
  <c r="AE163" i="59"/>
  <c r="AD163" i="59"/>
  <c r="T163" i="59"/>
  <c r="R163" i="59"/>
  <c r="P163" i="59"/>
  <c r="N163" i="59"/>
  <c r="AB163" i="59"/>
  <c r="AA163" i="59"/>
  <c r="Z163" i="59"/>
  <c r="Y163" i="59"/>
  <c r="X163" i="59"/>
  <c r="W163" i="59"/>
  <c r="V163" i="59"/>
  <c r="AJ162" i="59"/>
  <c r="AI162" i="59"/>
  <c r="AH162" i="59"/>
  <c r="AG162" i="59"/>
  <c r="AF162" i="59"/>
  <c r="AE162" i="59"/>
  <c r="AD162" i="59"/>
  <c r="AJ161" i="59"/>
  <c r="AI161" i="59"/>
  <c r="AH161" i="59"/>
  <c r="AG161" i="59"/>
  <c r="AF161" i="59"/>
  <c r="AE161" i="59"/>
  <c r="AD161" i="59"/>
  <c r="AJ160" i="59"/>
  <c r="AI160" i="59"/>
  <c r="AH160" i="59"/>
  <c r="AG160" i="59"/>
  <c r="AF160" i="59"/>
  <c r="AE160" i="59"/>
  <c r="AD160" i="59"/>
  <c r="AJ158" i="59"/>
  <c r="AI158" i="59"/>
  <c r="AH158" i="59"/>
  <c r="AG158" i="59"/>
  <c r="AF158" i="59"/>
  <c r="AE158" i="59"/>
  <c r="AD158" i="59"/>
  <c r="AJ157" i="59"/>
  <c r="AI157" i="59"/>
  <c r="AH157" i="59"/>
  <c r="AG157" i="59"/>
  <c r="AF157" i="59"/>
  <c r="AE157" i="59"/>
  <c r="AD157" i="59"/>
  <c r="T157" i="59"/>
  <c r="R157" i="59"/>
  <c r="P157" i="59"/>
  <c r="N157" i="59"/>
  <c r="AB157" i="59"/>
  <c r="AA157" i="59"/>
  <c r="Z157" i="59"/>
  <c r="Y157" i="59"/>
  <c r="X157" i="59"/>
  <c r="W157" i="59"/>
  <c r="V157" i="59"/>
  <c r="AJ156" i="59"/>
  <c r="AI156" i="59"/>
  <c r="AH156" i="59"/>
  <c r="AG156" i="59"/>
  <c r="AF156" i="59"/>
  <c r="AE156" i="59"/>
  <c r="AD156" i="59"/>
  <c r="AJ155" i="59"/>
  <c r="AI155" i="59"/>
  <c r="AH155" i="59"/>
  <c r="AG155" i="59"/>
  <c r="AF155" i="59"/>
  <c r="AE155" i="59"/>
  <c r="AD155" i="59"/>
  <c r="AJ154" i="59"/>
  <c r="AI154" i="59"/>
  <c r="AH154" i="59"/>
  <c r="AG154" i="59"/>
  <c r="AF154" i="59"/>
  <c r="AE154" i="59"/>
  <c r="AD154" i="59"/>
  <c r="AJ152" i="59"/>
  <c r="AI152" i="59"/>
  <c r="AH152" i="59"/>
  <c r="AG152" i="59"/>
  <c r="AF152" i="59"/>
  <c r="AE152" i="59"/>
  <c r="AD152" i="59"/>
  <c r="AJ151" i="59"/>
  <c r="AI151" i="59"/>
  <c r="AH151" i="59"/>
  <c r="AG151" i="59"/>
  <c r="AF151" i="59"/>
  <c r="AE151" i="59"/>
  <c r="AD151" i="59"/>
  <c r="T151" i="59"/>
  <c r="R151" i="59"/>
  <c r="P151" i="59"/>
  <c r="N151" i="59"/>
  <c r="AB151" i="59"/>
  <c r="AA151" i="59"/>
  <c r="Z151" i="59"/>
  <c r="Y151" i="59"/>
  <c r="X151" i="59"/>
  <c r="W151" i="59"/>
  <c r="V151" i="59"/>
  <c r="AJ150" i="59"/>
  <c r="AI150" i="59"/>
  <c r="AH150" i="59"/>
  <c r="AG150" i="59"/>
  <c r="AF150" i="59"/>
  <c r="AE150" i="59"/>
  <c r="AD150" i="59"/>
  <c r="AJ149" i="59"/>
  <c r="AI149" i="59"/>
  <c r="AH149" i="59"/>
  <c r="AG149" i="59"/>
  <c r="AF149" i="59"/>
  <c r="AE149" i="59"/>
  <c r="AD149" i="59"/>
  <c r="AJ148" i="59"/>
  <c r="AI148" i="59"/>
  <c r="AH148" i="59"/>
  <c r="AG148" i="59"/>
  <c r="AF148" i="59"/>
  <c r="AE148" i="59"/>
  <c r="AD148" i="59"/>
  <c r="AJ146" i="59"/>
  <c r="AI146" i="59"/>
  <c r="AH146" i="59"/>
  <c r="AG146" i="59"/>
  <c r="AF146" i="59"/>
  <c r="AE146" i="59"/>
  <c r="AD146" i="59"/>
  <c r="AJ145" i="59"/>
  <c r="AI145" i="59"/>
  <c r="AH145" i="59"/>
  <c r="AG145" i="59"/>
  <c r="AF145" i="59"/>
  <c r="AE145" i="59"/>
  <c r="AD145" i="59"/>
  <c r="T145" i="59"/>
  <c r="R145" i="59"/>
  <c r="P145" i="59"/>
  <c r="N145" i="59"/>
  <c r="AB145" i="59"/>
  <c r="AA145" i="59"/>
  <c r="Z145" i="59"/>
  <c r="Y145" i="59"/>
  <c r="X145" i="59"/>
  <c r="W145" i="59"/>
  <c r="V145" i="59"/>
  <c r="AJ144" i="59"/>
  <c r="AI144" i="59"/>
  <c r="AH144" i="59"/>
  <c r="AG144" i="59"/>
  <c r="AF144" i="59"/>
  <c r="AE144" i="59"/>
  <c r="AD144" i="59"/>
  <c r="AJ143" i="59"/>
  <c r="AI143" i="59"/>
  <c r="AH143" i="59"/>
  <c r="AG143" i="59"/>
  <c r="AF143" i="59"/>
  <c r="AE143" i="59"/>
  <c r="AD143" i="59"/>
  <c r="AJ142" i="59"/>
  <c r="AI142" i="59"/>
  <c r="AH142" i="59"/>
  <c r="AG142" i="59"/>
  <c r="AF142" i="59"/>
  <c r="AE142" i="59"/>
  <c r="AD142" i="59"/>
  <c r="AJ140" i="59"/>
  <c r="AI140" i="59"/>
  <c r="AH140" i="59"/>
  <c r="AG140" i="59"/>
  <c r="AF140" i="59"/>
  <c r="AE140" i="59"/>
  <c r="AD140" i="59"/>
  <c r="AJ139" i="59"/>
  <c r="AI139" i="59"/>
  <c r="AH139" i="59"/>
  <c r="AG139" i="59"/>
  <c r="AF139" i="59"/>
  <c r="AE139" i="59"/>
  <c r="AD139" i="59"/>
  <c r="T139" i="59"/>
  <c r="R139" i="59"/>
  <c r="P139" i="59"/>
  <c r="N139" i="59"/>
  <c r="AB139" i="59"/>
  <c r="AA139" i="59"/>
  <c r="Z139" i="59"/>
  <c r="Y139" i="59"/>
  <c r="X139" i="59"/>
  <c r="W139" i="59"/>
  <c r="V139" i="59"/>
  <c r="AJ138" i="59"/>
  <c r="AI138" i="59"/>
  <c r="AH138" i="59"/>
  <c r="AG138" i="59"/>
  <c r="AF138" i="59"/>
  <c r="AE138" i="59"/>
  <c r="AD138" i="59"/>
  <c r="AJ137" i="59"/>
  <c r="AI137" i="59"/>
  <c r="AH137" i="59"/>
  <c r="AG137" i="59"/>
  <c r="AF137" i="59"/>
  <c r="AE137" i="59"/>
  <c r="AD137" i="59"/>
  <c r="AJ136" i="59"/>
  <c r="AI136" i="59"/>
  <c r="AH136" i="59"/>
  <c r="AG136" i="59"/>
  <c r="AF136" i="59"/>
  <c r="AE136" i="59"/>
  <c r="AD136" i="59"/>
  <c r="AJ134" i="59"/>
  <c r="AI134" i="59"/>
  <c r="AH134" i="59"/>
  <c r="AG134" i="59"/>
  <c r="AF134" i="59"/>
  <c r="AE134" i="59"/>
  <c r="AD134" i="59"/>
  <c r="AJ133" i="59"/>
  <c r="AI133" i="59"/>
  <c r="AH133" i="59"/>
  <c r="AG133" i="59"/>
  <c r="AF133" i="59"/>
  <c r="AE133" i="59"/>
  <c r="AD133" i="59"/>
  <c r="T133" i="59"/>
  <c r="R133" i="59"/>
  <c r="P133" i="59"/>
  <c r="N133" i="59"/>
  <c r="AB133" i="59"/>
  <c r="AA133" i="59"/>
  <c r="Z133" i="59"/>
  <c r="Y133" i="59"/>
  <c r="X133" i="59"/>
  <c r="W133" i="59"/>
  <c r="V133" i="59"/>
  <c r="AJ132" i="59"/>
  <c r="AI132" i="59"/>
  <c r="AH132" i="59"/>
  <c r="AG132" i="59"/>
  <c r="AF132" i="59"/>
  <c r="AE132" i="59"/>
  <c r="AD132" i="59"/>
  <c r="AJ131" i="59"/>
  <c r="AI131" i="59"/>
  <c r="AH131" i="59"/>
  <c r="AG131" i="59"/>
  <c r="AF131" i="59"/>
  <c r="AE131" i="59"/>
  <c r="AD131" i="59"/>
  <c r="AJ130" i="59"/>
  <c r="AI130" i="59"/>
  <c r="AH130" i="59"/>
  <c r="AG130" i="59"/>
  <c r="AF130" i="59"/>
  <c r="AE130" i="59"/>
  <c r="AD130" i="59"/>
  <c r="AJ128" i="59"/>
  <c r="AI128" i="59"/>
  <c r="AH128" i="59"/>
  <c r="AG128" i="59"/>
  <c r="AF128" i="59"/>
  <c r="AE128" i="59"/>
  <c r="AD128" i="59"/>
  <c r="AJ127" i="59"/>
  <c r="AI127" i="59"/>
  <c r="AH127" i="59"/>
  <c r="AG127" i="59"/>
  <c r="AF127" i="59"/>
  <c r="AE127" i="59"/>
  <c r="AD127" i="59"/>
  <c r="T127" i="59"/>
  <c r="R127" i="59"/>
  <c r="P127" i="59"/>
  <c r="N127" i="59"/>
  <c r="AB127" i="59"/>
  <c r="Z127" i="59"/>
  <c r="X127" i="59"/>
  <c r="V127" i="59"/>
  <c r="AJ126" i="59"/>
  <c r="AI126" i="59"/>
  <c r="AH126" i="59"/>
  <c r="AG126" i="59"/>
  <c r="AF126" i="59"/>
  <c r="AE126" i="59"/>
  <c r="AD126" i="59"/>
  <c r="AJ125" i="59"/>
  <c r="AI125" i="59"/>
  <c r="AH125" i="59"/>
  <c r="AG125" i="59"/>
  <c r="AF125" i="59"/>
  <c r="AE125" i="59"/>
  <c r="AD125" i="59"/>
  <c r="AJ124" i="59"/>
  <c r="AI124" i="59"/>
  <c r="AH124" i="59"/>
  <c r="AG124" i="59"/>
  <c r="AF124" i="59"/>
  <c r="AE124" i="59"/>
  <c r="AD124" i="59"/>
  <c r="AJ122" i="59"/>
  <c r="AI122" i="59"/>
  <c r="AH122" i="59"/>
  <c r="AG122" i="59"/>
  <c r="AF122" i="59"/>
  <c r="AE122" i="59"/>
  <c r="AD122" i="59"/>
  <c r="AJ121" i="59"/>
  <c r="AI121" i="59"/>
  <c r="AH121" i="59"/>
  <c r="AG121" i="59"/>
  <c r="AF121" i="59"/>
  <c r="AE121" i="59"/>
  <c r="AD121" i="59"/>
  <c r="T121" i="59"/>
  <c r="R121" i="59"/>
  <c r="P121" i="59"/>
  <c r="N121" i="59"/>
  <c r="AB121" i="59"/>
  <c r="S121" i="59"/>
  <c r="Z121" i="59"/>
  <c r="Q121" i="59"/>
  <c r="X121" i="59"/>
  <c r="O121" i="59"/>
  <c r="V121" i="59"/>
  <c r="AJ120" i="59"/>
  <c r="AI120" i="59"/>
  <c r="AH120" i="59"/>
  <c r="AG120" i="59"/>
  <c r="AF120" i="59"/>
  <c r="AE120" i="59"/>
  <c r="AD120" i="59"/>
  <c r="AJ119" i="59"/>
  <c r="AI119" i="59"/>
  <c r="AH119" i="59"/>
  <c r="AG119" i="59"/>
  <c r="AF119" i="59"/>
  <c r="AE119" i="59"/>
  <c r="AD119" i="59"/>
  <c r="AJ118" i="59"/>
  <c r="AI118" i="59"/>
  <c r="AH118" i="59"/>
  <c r="AG118" i="59"/>
  <c r="AF118" i="59"/>
  <c r="AE118" i="59"/>
  <c r="AD118" i="59"/>
  <c r="AJ116" i="59"/>
  <c r="AI116" i="59"/>
  <c r="AH116" i="59"/>
  <c r="AG116" i="59"/>
  <c r="AF116" i="59"/>
  <c r="AE116" i="59"/>
  <c r="AD116" i="59"/>
  <c r="AJ115" i="59"/>
  <c r="AI115" i="59"/>
  <c r="AH115" i="59"/>
  <c r="AG115" i="59"/>
  <c r="AF115" i="59"/>
  <c r="AE115" i="59"/>
  <c r="AD115" i="59"/>
  <c r="T115" i="59"/>
  <c r="R115" i="59"/>
  <c r="P115" i="59"/>
  <c r="N115" i="59"/>
  <c r="AB115" i="59"/>
  <c r="S115" i="59"/>
  <c r="Z115" i="59"/>
  <c r="Q115" i="59"/>
  <c r="X115" i="59"/>
  <c r="O115" i="59"/>
  <c r="V115" i="59"/>
  <c r="AJ114" i="59"/>
  <c r="AI114" i="59"/>
  <c r="AH114" i="59"/>
  <c r="AG114" i="59"/>
  <c r="AF114" i="59"/>
  <c r="AE114" i="59"/>
  <c r="AD114" i="59"/>
  <c r="AJ113" i="59"/>
  <c r="AI113" i="59"/>
  <c r="AH113" i="59"/>
  <c r="AG113" i="59"/>
  <c r="AF113" i="59"/>
  <c r="AE113" i="59"/>
  <c r="AD113" i="59"/>
  <c r="AJ112" i="59"/>
  <c r="AI112" i="59"/>
  <c r="AH112" i="59"/>
  <c r="AG112" i="59"/>
  <c r="AF112" i="59"/>
  <c r="AE112" i="59"/>
  <c r="AD112" i="59"/>
  <c r="AJ110" i="59"/>
  <c r="AI110" i="59"/>
  <c r="AH110" i="59"/>
  <c r="AG110" i="59"/>
  <c r="AF110" i="59"/>
  <c r="AE110" i="59"/>
  <c r="AD110" i="59"/>
  <c r="AJ109" i="59"/>
  <c r="AI109" i="59"/>
  <c r="AH109" i="59"/>
  <c r="AG109" i="59"/>
  <c r="AF109" i="59"/>
  <c r="AE109" i="59"/>
  <c r="AD109" i="59"/>
  <c r="T109" i="59"/>
  <c r="P109" i="59"/>
  <c r="N109" i="59"/>
  <c r="AB109" i="59"/>
  <c r="S109" i="59"/>
  <c r="Z109" i="59"/>
  <c r="Q109" i="59"/>
  <c r="X109" i="59"/>
  <c r="V109" i="59"/>
  <c r="AJ108" i="59"/>
  <c r="AI108" i="59"/>
  <c r="AH108" i="59"/>
  <c r="AG108" i="59"/>
  <c r="AF108" i="59"/>
  <c r="AE108" i="59"/>
  <c r="AD108" i="59"/>
  <c r="AJ107" i="59"/>
  <c r="AI107" i="59"/>
  <c r="AH107" i="59"/>
  <c r="AG107" i="59"/>
  <c r="AF107" i="59"/>
  <c r="AE107" i="59"/>
  <c r="AD107" i="59"/>
  <c r="AJ106" i="59"/>
  <c r="AI106" i="59"/>
  <c r="AH106" i="59"/>
  <c r="AG106" i="59"/>
  <c r="AF106" i="59"/>
  <c r="AE106" i="59"/>
  <c r="AD106" i="59"/>
  <c r="AJ104" i="59"/>
  <c r="AI104" i="59"/>
  <c r="AH104" i="59"/>
  <c r="AG104" i="59"/>
  <c r="AF104" i="59"/>
  <c r="AE104" i="59"/>
  <c r="AD104" i="59"/>
  <c r="AJ103" i="59"/>
  <c r="AI103" i="59"/>
  <c r="AH103" i="59"/>
  <c r="AG103" i="59"/>
  <c r="AF103" i="59"/>
  <c r="AE103" i="59"/>
  <c r="AD103" i="59"/>
  <c r="T103" i="59"/>
  <c r="R103" i="59"/>
  <c r="P103" i="59"/>
  <c r="N103" i="59"/>
  <c r="AB103" i="59"/>
  <c r="AA103" i="59"/>
  <c r="Z103" i="59"/>
  <c r="Y103" i="59"/>
  <c r="X103" i="59"/>
  <c r="W103" i="59"/>
  <c r="V103" i="59"/>
  <c r="AJ102" i="59"/>
  <c r="AI102" i="59"/>
  <c r="AH102" i="59"/>
  <c r="AG102" i="59"/>
  <c r="AF102" i="59"/>
  <c r="AE102" i="59"/>
  <c r="AD102" i="59"/>
  <c r="AJ101" i="59"/>
  <c r="AI101" i="59"/>
  <c r="AH101" i="59"/>
  <c r="AG101" i="59"/>
  <c r="AF101" i="59"/>
  <c r="AE101" i="59"/>
  <c r="AD101" i="59"/>
  <c r="AJ100" i="59"/>
  <c r="AI100" i="59"/>
  <c r="AH100" i="59"/>
  <c r="AG100" i="59"/>
  <c r="AF100" i="59"/>
  <c r="AE100" i="59"/>
  <c r="AD100" i="59"/>
  <c r="AJ98" i="59"/>
  <c r="AI98" i="59"/>
  <c r="AH98" i="59"/>
  <c r="AG98" i="59"/>
  <c r="AF98" i="59"/>
  <c r="AE98" i="59"/>
  <c r="AD98" i="59"/>
  <c r="AJ97" i="59"/>
  <c r="AI97" i="59"/>
  <c r="AH97" i="59"/>
  <c r="AG97" i="59"/>
  <c r="AF97" i="59"/>
  <c r="AE97" i="59"/>
  <c r="AD97" i="59"/>
  <c r="T97" i="59"/>
  <c r="R97" i="59"/>
  <c r="P97" i="59"/>
  <c r="N97" i="59"/>
  <c r="AB97" i="59"/>
  <c r="AA97" i="59"/>
  <c r="Z97" i="59"/>
  <c r="Y97" i="59"/>
  <c r="X97" i="59"/>
  <c r="W97" i="59"/>
  <c r="V97" i="59"/>
  <c r="AJ96" i="59"/>
  <c r="AI96" i="59"/>
  <c r="AH96" i="59"/>
  <c r="AG96" i="59"/>
  <c r="AF96" i="59"/>
  <c r="AE96" i="59"/>
  <c r="AD96" i="59"/>
  <c r="AJ95" i="59"/>
  <c r="AI95" i="59"/>
  <c r="AH95" i="59"/>
  <c r="AG95" i="59"/>
  <c r="AF95" i="59"/>
  <c r="AE95" i="59"/>
  <c r="AD95" i="59"/>
  <c r="AJ94" i="59"/>
  <c r="AI94" i="59"/>
  <c r="AH94" i="59"/>
  <c r="AG94" i="59"/>
  <c r="AF94" i="59"/>
  <c r="AE94" i="59"/>
  <c r="AD94" i="59"/>
  <c r="AJ92" i="59"/>
  <c r="AI92" i="59"/>
  <c r="AH92" i="59"/>
  <c r="AG92" i="59"/>
  <c r="AF92" i="59"/>
  <c r="AE92" i="59"/>
  <c r="AD92" i="59"/>
  <c r="AJ91" i="59"/>
  <c r="AI91" i="59"/>
  <c r="AH91" i="59"/>
  <c r="AG91" i="59"/>
  <c r="AF91" i="59"/>
  <c r="AE91" i="59"/>
  <c r="AD91" i="59"/>
  <c r="T91" i="59"/>
  <c r="R91" i="59"/>
  <c r="P91" i="59"/>
  <c r="N91" i="59"/>
  <c r="AB91" i="59"/>
  <c r="AA91" i="59"/>
  <c r="Z91" i="59"/>
  <c r="Y91" i="59"/>
  <c r="X91" i="59"/>
  <c r="W91" i="59"/>
  <c r="V91" i="59"/>
  <c r="AJ90" i="59"/>
  <c r="AI90" i="59"/>
  <c r="AH90" i="59"/>
  <c r="AG90" i="59"/>
  <c r="AF90" i="59"/>
  <c r="AE90" i="59"/>
  <c r="AD90" i="59"/>
  <c r="AJ89" i="59"/>
  <c r="AI89" i="59"/>
  <c r="AH89" i="59"/>
  <c r="AG89" i="59"/>
  <c r="AF89" i="59"/>
  <c r="AE89" i="59"/>
  <c r="AD89" i="59"/>
  <c r="AJ88" i="59"/>
  <c r="AI88" i="59"/>
  <c r="AH88" i="59"/>
  <c r="AG88" i="59"/>
  <c r="AF88" i="59"/>
  <c r="AE88" i="59"/>
  <c r="AD88" i="59"/>
  <c r="AJ86" i="59"/>
  <c r="AI86" i="59"/>
  <c r="AH86" i="59"/>
  <c r="AG86" i="59"/>
  <c r="AF86" i="59"/>
  <c r="AE86" i="59"/>
  <c r="AD86" i="59"/>
  <c r="AJ85" i="59"/>
  <c r="AI85" i="59"/>
  <c r="AH85" i="59"/>
  <c r="AG85" i="59"/>
  <c r="AF85" i="59"/>
  <c r="AE85" i="59"/>
  <c r="AD85" i="59"/>
  <c r="T85" i="59"/>
  <c r="R85" i="59"/>
  <c r="P85" i="59"/>
  <c r="N85" i="59"/>
  <c r="AB85" i="59"/>
  <c r="AA85" i="59"/>
  <c r="Z85" i="59"/>
  <c r="Y85" i="59"/>
  <c r="X85" i="59"/>
  <c r="W85" i="59"/>
  <c r="V85" i="59"/>
  <c r="AJ84" i="59"/>
  <c r="AI84" i="59"/>
  <c r="AH84" i="59"/>
  <c r="AG84" i="59"/>
  <c r="AF84" i="59"/>
  <c r="AE84" i="59"/>
  <c r="AD84" i="59"/>
  <c r="AJ83" i="59"/>
  <c r="AI83" i="59"/>
  <c r="AH83" i="59"/>
  <c r="AG83" i="59"/>
  <c r="AF83" i="59"/>
  <c r="AE83" i="59"/>
  <c r="AD83" i="59"/>
  <c r="AJ82" i="59"/>
  <c r="AI82" i="59"/>
  <c r="AH82" i="59"/>
  <c r="AG82" i="59"/>
  <c r="AF82" i="59"/>
  <c r="AE82" i="59"/>
  <c r="AD82" i="59"/>
  <c r="AJ80" i="59"/>
  <c r="AI80" i="59"/>
  <c r="AH80" i="59"/>
  <c r="AG80" i="59"/>
  <c r="AF80" i="59"/>
  <c r="AE80" i="59"/>
  <c r="AD80" i="59"/>
  <c r="AJ79" i="59"/>
  <c r="AI79" i="59"/>
  <c r="AH79" i="59"/>
  <c r="AG79" i="59"/>
  <c r="AF79" i="59"/>
  <c r="AE79" i="59"/>
  <c r="AD79" i="59"/>
  <c r="T79" i="59"/>
  <c r="R79" i="59"/>
  <c r="P79" i="59"/>
  <c r="N79" i="59"/>
  <c r="AB79" i="59"/>
  <c r="AA79" i="59"/>
  <c r="Z79" i="59"/>
  <c r="Y79" i="59"/>
  <c r="X79" i="59"/>
  <c r="W79" i="59"/>
  <c r="V79" i="59"/>
  <c r="AJ78" i="59"/>
  <c r="AI78" i="59"/>
  <c r="AH78" i="59"/>
  <c r="AG78" i="59"/>
  <c r="AF78" i="59"/>
  <c r="AE78" i="59"/>
  <c r="AD78" i="59"/>
  <c r="AJ77" i="59"/>
  <c r="AI77" i="59"/>
  <c r="AH77" i="59"/>
  <c r="AG77" i="59"/>
  <c r="AF77" i="59"/>
  <c r="AE77" i="59"/>
  <c r="AD77" i="59"/>
  <c r="AJ76" i="59"/>
  <c r="AI76" i="59"/>
  <c r="AH76" i="59"/>
  <c r="AG76" i="59"/>
  <c r="AF76" i="59"/>
  <c r="AE76" i="59"/>
  <c r="AD76" i="59"/>
  <c r="AJ74" i="59"/>
  <c r="AI74" i="59"/>
  <c r="AH74" i="59"/>
  <c r="AG74" i="59"/>
  <c r="AF74" i="59"/>
  <c r="AE74" i="59"/>
  <c r="AD74" i="59"/>
  <c r="AJ73" i="59"/>
  <c r="AI73" i="59"/>
  <c r="AH73" i="59"/>
  <c r="AG73" i="59"/>
  <c r="AF73" i="59"/>
  <c r="AE73" i="59"/>
  <c r="AD73" i="59"/>
  <c r="T73" i="59"/>
  <c r="R73" i="59"/>
  <c r="P73" i="59"/>
  <c r="N73" i="59"/>
  <c r="AB73" i="59"/>
  <c r="AA73" i="59"/>
  <c r="Z73" i="59"/>
  <c r="Y73" i="59"/>
  <c r="X73" i="59"/>
  <c r="W73" i="59"/>
  <c r="V73" i="59"/>
  <c r="AJ72" i="59"/>
  <c r="AI72" i="59"/>
  <c r="AH72" i="59"/>
  <c r="AG72" i="59"/>
  <c r="AF72" i="59"/>
  <c r="AE72" i="59"/>
  <c r="AD72" i="59"/>
  <c r="AJ71" i="59"/>
  <c r="AI71" i="59"/>
  <c r="AH71" i="59"/>
  <c r="AG71" i="59"/>
  <c r="AF71" i="59"/>
  <c r="AE71" i="59"/>
  <c r="AD71" i="59"/>
  <c r="AJ70" i="59"/>
  <c r="AI70" i="59"/>
  <c r="AH70" i="59"/>
  <c r="AG70" i="59"/>
  <c r="AF70" i="59"/>
  <c r="AE70" i="59"/>
  <c r="AD70" i="59"/>
  <c r="AJ68" i="59"/>
  <c r="AI68" i="59"/>
  <c r="AH68" i="59"/>
  <c r="AG68" i="59"/>
  <c r="AF68" i="59"/>
  <c r="AE68" i="59"/>
  <c r="AD68" i="59"/>
  <c r="AJ67" i="59"/>
  <c r="AI67" i="59"/>
  <c r="AH67" i="59"/>
  <c r="AG67" i="59"/>
  <c r="AF67" i="59"/>
  <c r="AE67" i="59"/>
  <c r="AD67" i="59"/>
  <c r="T67" i="59"/>
  <c r="R67" i="59"/>
  <c r="P67" i="59"/>
  <c r="N67" i="59"/>
  <c r="AB67" i="59"/>
  <c r="AA67" i="59"/>
  <c r="Z67" i="59"/>
  <c r="Y67" i="59"/>
  <c r="X67" i="59"/>
  <c r="W67" i="59"/>
  <c r="V67" i="59"/>
  <c r="AJ66" i="59"/>
  <c r="AI66" i="59"/>
  <c r="AH66" i="59"/>
  <c r="AG66" i="59"/>
  <c r="AF66" i="59"/>
  <c r="AE66" i="59"/>
  <c r="AD66" i="59"/>
  <c r="AJ65" i="59"/>
  <c r="AI65" i="59"/>
  <c r="AH65" i="59"/>
  <c r="AG65" i="59"/>
  <c r="AF65" i="59"/>
  <c r="AE65" i="59"/>
  <c r="AD65" i="59"/>
  <c r="AJ64" i="59"/>
  <c r="AI64" i="59"/>
  <c r="AH64" i="59"/>
  <c r="AG64" i="59"/>
  <c r="AF64" i="59"/>
  <c r="AE64" i="59"/>
  <c r="AD64" i="59"/>
  <c r="AJ62" i="59"/>
  <c r="AI62" i="59"/>
  <c r="AH62" i="59"/>
  <c r="AG62" i="59"/>
  <c r="AF62" i="59"/>
  <c r="AE62" i="59"/>
  <c r="AD62" i="59"/>
  <c r="AJ61" i="59"/>
  <c r="AI61" i="59"/>
  <c r="AH61" i="59"/>
  <c r="AG61" i="59"/>
  <c r="AF61" i="59"/>
  <c r="AE61" i="59"/>
  <c r="AD61" i="59"/>
  <c r="T61" i="59"/>
  <c r="R61" i="59"/>
  <c r="P61" i="59"/>
  <c r="N61" i="59"/>
  <c r="AB61" i="59"/>
  <c r="AA61" i="59"/>
  <c r="Z61" i="59"/>
  <c r="Y61" i="59"/>
  <c r="X61" i="59"/>
  <c r="W61" i="59"/>
  <c r="V61" i="59"/>
  <c r="AJ60" i="59"/>
  <c r="AI60" i="59"/>
  <c r="AH60" i="59"/>
  <c r="AG60" i="59"/>
  <c r="AF60" i="59"/>
  <c r="AE60" i="59"/>
  <c r="AD60" i="59"/>
  <c r="AJ59" i="59"/>
  <c r="AI59" i="59"/>
  <c r="AH59" i="59"/>
  <c r="AG59" i="59"/>
  <c r="AF59" i="59"/>
  <c r="AE59" i="59"/>
  <c r="AD59" i="59"/>
  <c r="AJ58" i="59"/>
  <c r="AI58" i="59"/>
  <c r="AH58" i="59"/>
  <c r="AG58" i="59"/>
  <c r="AF58" i="59"/>
  <c r="AE58" i="59"/>
  <c r="AD58" i="59"/>
  <c r="AJ56" i="59"/>
  <c r="AI56" i="59"/>
  <c r="AH56" i="59"/>
  <c r="AG56" i="59"/>
  <c r="AF56" i="59"/>
  <c r="AE56" i="59"/>
  <c r="AD56" i="59"/>
  <c r="AJ55" i="59"/>
  <c r="AI55" i="59"/>
  <c r="AH55" i="59"/>
  <c r="AG55" i="59"/>
  <c r="AF55" i="59"/>
  <c r="AE55" i="59"/>
  <c r="AD55" i="59"/>
  <c r="T55" i="59"/>
  <c r="R55" i="59"/>
  <c r="P55" i="59"/>
  <c r="N55" i="59"/>
  <c r="AB55" i="59"/>
  <c r="AA55" i="59"/>
  <c r="Z55" i="59"/>
  <c r="Y55" i="59"/>
  <c r="X55" i="59"/>
  <c r="W55" i="59"/>
  <c r="V55" i="59"/>
  <c r="AJ54" i="59"/>
  <c r="AI54" i="59"/>
  <c r="AH54" i="59"/>
  <c r="AG54" i="59"/>
  <c r="AF54" i="59"/>
  <c r="AE54" i="59"/>
  <c r="AD54" i="59"/>
  <c r="AJ53" i="59"/>
  <c r="AI53" i="59"/>
  <c r="AH53" i="59"/>
  <c r="AG53" i="59"/>
  <c r="AF53" i="59"/>
  <c r="AE53" i="59"/>
  <c r="AD53" i="59"/>
  <c r="AJ52" i="59"/>
  <c r="AI52" i="59"/>
  <c r="AH52" i="59"/>
  <c r="AG52" i="59"/>
  <c r="AF52" i="59"/>
  <c r="AE52" i="59"/>
  <c r="AD52" i="59"/>
  <c r="AJ50" i="59"/>
  <c r="AI50" i="59"/>
  <c r="AH50" i="59"/>
  <c r="AG50" i="59"/>
  <c r="AF50" i="59"/>
  <c r="AE50" i="59"/>
  <c r="AD50" i="59"/>
  <c r="AJ49" i="59"/>
  <c r="AI49" i="59"/>
  <c r="AH49" i="59"/>
  <c r="AG49" i="59"/>
  <c r="AF49" i="59"/>
  <c r="AE49" i="59"/>
  <c r="AD49" i="59"/>
  <c r="T49" i="59"/>
  <c r="R49" i="59"/>
  <c r="P49" i="59"/>
  <c r="N49" i="59"/>
  <c r="AB49" i="59"/>
  <c r="AA49" i="59"/>
  <c r="Z49" i="59"/>
  <c r="Y49" i="59"/>
  <c r="X49" i="59"/>
  <c r="W49" i="59"/>
  <c r="V49" i="59"/>
  <c r="AJ48" i="59"/>
  <c r="AI48" i="59"/>
  <c r="AH48" i="59"/>
  <c r="AG48" i="59"/>
  <c r="AF48" i="59"/>
  <c r="AE48" i="59"/>
  <c r="AD48" i="59"/>
  <c r="AJ47" i="59"/>
  <c r="AI47" i="59"/>
  <c r="AH47" i="59"/>
  <c r="AG47" i="59"/>
  <c r="AF47" i="59"/>
  <c r="AE47" i="59"/>
  <c r="AD47" i="59"/>
  <c r="AJ46" i="59"/>
  <c r="AI46" i="59"/>
  <c r="AH46" i="59"/>
  <c r="AG46" i="59"/>
  <c r="AF46" i="59"/>
  <c r="AE46" i="59"/>
  <c r="AD46" i="59"/>
  <c r="AJ44" i="59"/>
  <c r="AI44" i="59"/>
  <c r="AH44" i="59"/>
  <c r="AG44" i="59"/>
  <c r="AF44" i="59"/>
  <c r="AE44" i="59"/>
  <c r="AD44" i="59"/>
  <c r="AJ43" i="59"/>
  <c r="AI43" i="59"/>
  <c r="AH43" i="59"/>
  <c r="AG43" i="59"/>
  <c r="AF43" i="59"/>
  <c r="AE43" i="59"/>
  <c r="AD43" i="59"/>
  <c r="T43" i="59"/>
  <c r="R43" i="59"/>
  <c r="P43" i="59"/>
  <c r="N43" i="59"/>
  <c r="AB43" i="59"/>
  <c r="AA43" i="59"/>
  <c r="Z43" i="59"/>
  <c r="Y43" i="59"/>
  <c r="X43" i="59"/>
  <c r="W43" i="59"/>
  <c r="V43" i="59"/>
  <c r="AJ42" i="59"/>
  <c r="AI42" i="59"/>
  <c r="AH42" i="59"/>
  <c r="AG42" i="59"/>
  <c r="AF42" i="59"/>
  <c r="AE42" i="59"/>
  <c r="AD42" i="59"/>
  <c r="AJ41" i="59"/>
  <c r="AI41" i="59"/>
  <c r="AH41" i="59"/>
  <c r="AG41" i="59"/>
  <c r="AF41" i="59"/>
  <c r="AE41" i="59"/>
  <c r="AD41" i="59"/>
  <c r="AJ40" i="59"/>
  <c r="AI40" i="59"/>
  <c r="AH40" i="59"/>
  <c r="AG40" i="59"/>
  <c r="AF40" i="59"/>
  <c r="AE40" i="59"/>
  <c r="AD40" i="59"/>
  <c r="AJ14" i="59"/>
  <c r="AI14" i="59"/>
  <c r="AH14" i="59"/>
  <c r="AG14" i="59"/>
  <c r="AF14" i="59"/>
  <c r="AE14" i="59"/>
  <c r="AD14" i="59"/>
  <c r="AJ13" i="59"/>
  <c r="AI13" i="59"/>
  <c r="AH13" i="59"/>
  <c r="AG13" i="59"/>
  <c r="AF13" i="59"/>
  <c r="AE13" i="59"/>
  <c r="AD13" i="59"/>
  <c r="AB13" i="59"/>
  <c r="AA13" i="59"/>
  <c r="Z13" i="59"/>
  <c r="Y13" i="59"/>
  <c r="X13" i="59"/>
  <c r="W13" i="59"/>
  <c r="V13" i="59"/>
  <c r="T13" i="59"/>
  <c r="S13" i="59"/>
  <c r="R13" i="59"/>
  <c r="Q13" i="59"/>
  <c r="P13" i="59"/>
  <c r="O13" i="59"/>
  <c r="N13" i="59"/>
  <c r="AJ12" i="59"/>
  <c r="AI12" i="59"/>
  <c r="AH12" i="59"/>
  <c r="AG12" i="59"/>
  <c r="AF12" i="59"/>
  <c r="AE12" i="59"/>
  <c r="AD12" i="59"/>
  <c r="AJ11" i="59"/>
  <c r="AI11" i="59"/>
  <c r="AH11" i="59"/>
  <c r="AG11" i="59"/>
  <c r="AF11" i="59"/>
  <c r="AE11" i="59"/>
  <c r="AD11" i="59"/>
  <c r="AJ10" i="59"/>
  <c r="AI10" i="59"/>
  <c r="AH10" i="59"/>
  <c r="AG10" i="59"/>
  <c r="AF10" i="59"/>
  <c r="AE10" i="59"/>
  <c r="AD10" i="59"/>
  <c r="AJ8" i="59"/>
  <c r="AI8" i="59"/>
  <c r="AH8" i="59"/>
  <c r="AG8" i="59"/>
  <c r="AF8" i="59"/>
  <c r="AE8" i="59"/>
  <c r="AD8" i="59"/>
  <c r="AJ7" i="59"/>
  <c r="AI7" i="59"/>
  <c r="AH7" i="59"/>
  <c r="AG7" i="59"/>
  <c r="AF7" i="59"/>
  <c r="AE7" i="59"/>
  <c r="AD7" i="59"/>
  <c r="AB7" i="59"/>
  <c r="AA7" i="59"/>
  <c r="Z7" i="59"/>
  <c r="Y7" i="59"/>
  <c r="X7" i="59"/>
  <c r="W7" i="59"/>
  <c r="V7" i="59"/>
  <c r="T7" i="59"/>
  <c r="S7" i="59"/>
  <c r="R7" i="59"/>
  <c r="Q7" i="59"/>
  <c r="P7" i="59"/>
  <c r="O7" i="59"/>
  <c r="N7" i="59"/>
  <c r="AJ6" i="59"/>
  <c r="AI6" i="59"/>
  <c r="AH6" i="59"/>
  <c r="AG6" i="59"/>
  <c r="AF6" i="59"/>
  <c r="AE6" i="59"/>
  <c r="AD6" i="59"/>
  <c r="AJ5" i="59"/>
  <c r="AI5" i="59"/>
  <c r="AH5" i="59"/>
  <c r="AG5" i="59"/>
  <c r="AF5" i="59"/>
  <c r="AE5" i="59"/>
  <c r="AD5" i="59"/>
  <c r="AJ4" i="59"/>
  <c r="AI4" i="59"/>
  <c r="AH4" i="59"/>
  <c r="AG4" i="59"/>
  <c r="AF4" i="59"/>
  <c r="AE4" i="59"/>
  <c r="AD4" i="59"/>
  <c r="N19" i="61"/>
  <c r="P19" i="61"/>
  <c r="R19" i="61"/>
  <c r="T19" i="61"/>
  <c r="N25" i="61"/>
  <c r="P25" i="61"/>
  <c r="R25" i="61"/>
  <c r="T25" i="61"/>
  <c r="N31" i="61"/>
  <c r="P31" i="61"/>
  <c r="R31" i="61"/>
  <c r="T31" i="61"/>
  <c r="N37" i="61"/>
  <c r="P37" i="61"/>
  <c r="R37" i="61"/>
  <c r="T37" i="61"/>
  <c r="N43" i="61"/>
  <c r="P43" i="61"/>
  <c r="R43" i="61"/>
  <c r="T43" i="61"/>
  <c r="N49" i="61"/>
  <c r="P49" i="61"/>
  <c r="R49" i="61"/>
  <c r="T49" i="61"/>
  <c r="N55" i="61"/>
  <c r="P55" i="61"/>
  <c r="R55" i="61"/>
  <c r="T55" i="61"/>
  <c r="N61" i="61"/>
  <c r="P61" i="61"/>
  <c r="R61" i="61"/>
  <c r="T61" i="61"/>
  <c r="N67" i="61"/>
  <c r="P67" i="61"/>
  <c r="R67" i="61"/>
  <c r="T67" i="61"/>
  <c r="N73" i="61"/>
  <c r="P73" i="61"/>
  <c r="R73" i="61"/>
  <c r="T73" i="61"/>
  <c r="N79" i="61"/>
  <c r="P79" i="61"/>
  <c r="R79" i="61"/>
  <c r="T79" i="61"/>
  <c r="N85" i="61"/>
  <c r="P85" i="61"/>
  <c r="R85" i="61"/>
  <c r="T85" i="61"/>
  <c r="N91" i="61"/>
  <c r="P91" i="61"/>
  <c r="R91" i="61"/>
  <c r="T91" i="61"/>
  <c r="N97" i="61"/>
  <c r="P97" i="61"/>
  <c r="R97" i="61"/>
  <c r="T97" i="61"/>
  <c r="S103" i="61"/>
  <c r="AA103" i="61"/>
  <c r="N103" i="61"/>
  <c r="P103" i="61"/>
  <c r="R103" i="61"/>
  <c r="AB103" i="61"/>
  <c r="T103" i="61"/>
  <c r="N109" i="61"/>
  <c r="P109" i="61"/>
  <c r="R109" i="61"/>
  <c r="T109" i="61"/>
  <c r="W109" i="61"/>
  <c r="Y109" i="61"/>
  <c r="AA109" i="61"/>
  <c r="N115" i="61"/>
  <c r="P115" i="61"/>
  <c r="R115" i="61"/>
  <c r="T115" i="61"/>
  <c r="W115" i="61"/>
  <c r="Y115" i="61"/>
  <c r="AA115" i="61"/>
  <c r="N121" i="61"/>
  <c r="P121" i="61"/>
  <c r="R121" i="61"/>
  <c r="T121" i="61"/>
  <c r="W121" i="61"/>
  <c r="Y121" i="61"/>
  <c r="AA121" i="61"/>
  <c r="N127" i="61"/>
  <c r="P127" i="61"/>
  <c r="R127" i="61"/>
  <c r="T127" i="61"/>
  <c r="W127" i="61"/>
  <c r="Y127" i="61"/>
  <c r="AA127" i="61"/>
  <c r="N133" i="61"/>
  <c r="P133" i="61"/>
  <c r="R133" i="61"/>
  <c r="T133" i="61"/>
  <c r="N139" i="61"/>
  <c r="P139" i="61"/>
  <c r="R139" i="61"/>
  <c r="T139" i="61"/>
  <c r="N145" i="61"/>
  <c r="P145" i="61"/>
  <c r="R145" i="61"/>
  <c r="T145" i="61"/>
  <c r="N151" i="61"/>
  <c r="P151" i="61"/>
  <c r="R151" i="61"/>
  <c r="T151" i="61"/>
  <c r="N157" i="61"/>
  <c r="P157" i="61"/>
  <c r="R157" i="61"/>
  <c r="T157" i="61"/>
  <c r="N163" i="61"/>
  <c r="P163" i="61"/>
  <c r="R163" i="61"/>
  <c r="T163" i="61"/>
  <c r="N169" i="61"/>
  <c r="P169" i="61"/>
  <c r="R169" i="61"/>
  <c r="T169" i="61"/>
  <c r="N175" i="61"/>
  <c r="P175" i="61"/>
  <c r="R175" i="61"/>
  <c r="T175" i="61"/>
  <c r="N181" i="61"/>
  <c r="P181" i="61"/>
  <c r="R181" i="61"/>
  <c r="T181" i="61"/>
  <c r="N187" i="61"/>
  <c r="P187" i="61"/>
  <c r="R187" i="61"/>
  <c r="T187" i="61"/>
  <c r="Y193" i="61"/>
  <c r="Y199" i="61"/>
  <c r="Y205" i="61"/>
  <c r="O211" i="61"/>
  <c r="Q211" i="61"/>
  <c r="S211" i="61"/>
  <c r="O217" i="61"/>
  <c r="Q217" i="61"/>
  <c r="S217" i="61"/>
  <c r="O223" i="61"/>
  <c r="Q223" i="61"/>
  <c r="S223" i="61"/>
  <c r="O229" i="61"/>
  <c r="Q229" i="61"/>
  <c r="S229" i="61"/>
  <c r="O235" i="61"/>
  <c r="Q235" i="61"/>
  <c r="S235" i="61"/>
  <c r="N49" i="60"/>
  <c r="O43" i="59"/>
  <c r="Q43" i="59"/>
  <c r="S43" i="59"/>
  <c r="O49" i="59"/>
  <c r="Q49" i="59"/>
  <c r="S49" i="59"/>
  <c r="O55" i="59"/>
  <c r="Q55" i="59"/>
  <c r="S55" i="59"/>
  <c r="O61" i="59"/>
  <c r="Q61" i="59"/>
  <c r="S61" i="59"/>
  <c r="O67" i="59"/>
  <c r="Q67" i="59"/>
  <c r="S67" i="59"/>
  <c r="O73" i="59"/>
  <c r="Q73" i="59"/>
  <c r="S73" i="59"/>
  <c r="O79" i="59"/>
  <c r="Q79" i="59"/>
  <c r="S79" i="59"/>
  <c r="O85" i="59"/>
  <c r="Q85" i="59"/>
  <c r="S85" i="59"/>
  <c r="O91" i="59"/>
  <c r="Q91" i="59"/>
  <c r="S91" i="59"/>
  <c r="O97" i="59"/>
  <c r="Q97" i="59"/>
  <c r="S97" i="59"/>
  <c r="O103" i="59"/>
  <c r="Q103" i="59"/>
  <c r="S103" i="59"/>
  <c r="O109" i="59"/>
  <c r="R109" i="59"/>
  <c r="W109" i="59"/>
  <c r="AA109" i="59"/>
  <c r="W115" i="59"/>
  <c r="AA115" i="59"/>
  <c r="W121" i="59"/>
  <c r="AA121" i="59"/>
  <c r="Y109" i="59"/>
  <c r="Y115" i="59"/>
  <c r="Y121" i="59"/>
  <c r="W127" i="59"/>
  <c r="O127" i="59"/>
  <c r="Y127" i="59"/>
  <c r="Q127" i="59"/>
  <c r="AA127" i="59"/>
  <c r="S127" i="59"/>
  <c r="O133" i="59"/>
  <c r="Q133" i="59"/>
  <c r="S133" i="59"/>
  <c r="O139" i="59"/>
  <c r="Q139" i="59"/>
  <c r="S139" i="59"/>
  <c r="O145" i="59"/>
  <c r="Q145" i="59"/>
  <c r="S145" i="59"/>
  <c r="O151" i="59"/>
  <c r="Q151" i="59"/>
  <c r="S151" i="59"/>
  <c r="O157" i="59"/>
  <c r="Q157" i="59"/>
  <c r="S157" i="59"/>
  <c r="O163" i="59"/>
  <c r="Q163" i="59"/>
  <c r="S163" i="59"/>
  <c r="O169" i="59"/>
  <c r="Q169" i="59"/>
  <c r="S169" i="59"/>
  <c r="O175" i="59"/>
  <c r="Q175" i="59"/>
  <c r="S175" i="59"/>
  <c r="O181" i="59"/>
  <c r="Q181" i="59"/>
  <c r="S181" i="59"/>
  <c r="O187" i="59"/>
  <c r="Q187" i="59"/>
  <c r="S187" i="59"/>
  <c r="O193" i="59"/>
  <c r="Q193" i="59"/>
  <c r="S193" i="59"/>
  <c r="O199" i="59"/>
  <c r="Q199" i="59"/>
  <c r="S199" i="59"/>
  <c r="O205" i="59"/>
  <c r="Q205" i="59"/>
  <c r="S205" i="59"/>
  <c r="O211" i="59"/>
  <c r="Q211" i="59"/>
  <c r="S211" i="59"/>
  <c r="O217" i="59"/>
  <c r="Q217" i="59"/>
  <c r="S217" i="59"/>
  <c r="O223" i="59"/>
  <c r="Q223" i="59"/>
  <c r="S223" i="59"/>
  <c r="O229" i="59"/>
  <c r="Q229" i="59"/>
  <c r="S229" i="59"/>
  <c r="Q235" i="59"/>
  <c r="V235" i="59"/>
  <c r="Z235" i="59"/>
  <c r="O235" i="59"/>
  <c r="S235" i="59"/>
  <c r="V241" i="59"/>
  <c r="N241" i="59"/>
  <c r="X241" i="59"/>
  <c r="P241" i="59"/>
  <c r="Z241" i="59"/>
  <c r="R241" i="59"/>
  <c r="AB241" i="59"/>
  <c r="T241" i="59"/>
  <c r="N247" i="59"/>
  <c r="P247" i="59"/>
  <c r="R247" i="59"/>
  <c r="T247" i="59"/>
  <c r="N253" i="59"/>
  <c r="P253" i="59"/>
  <c r="R253" i="59"/>
  <c r="T253" i="59"/>
  <c r="N259" i="59"/>
  <c r="P259" i="59"/>
  <c r="R259" i="59"/>
  <c r="T259" i="59"/>
  <c r="K446" i="58"/>
  <c r="K7" i="58"/>
  <c r="K103" i="58"/>
  <c r="K109" i="58"/>
  <c r="K115" i="58"/>
  <c r="K121" i="58"/>
  <c r="K127" i="58"/>
  <c r="K133" i="58"/>
  <c r="K139" i="58"/>
  <c r="K145" i="58"/>
  <c r="K151" i="58"/>
  <c r="K157" i="58"/>
  <c r="K163" i="58"/>
  <c r="K169" i="58"/>
  <c r="K175" i="58"/>
  <c r="K181" i="58"/>
  <c r="K187" i="58"/>
  <c r="K193" i="58"/>
  <c r="K199" i="58"/>
  <c r="K205" i="58"/>
  <c r="K211" i="58"/>
  <c r="S211" i="58"/>
  <c r="K217" i="58"/>
  <c r="K223" i="58"/>
  <c r="S223" i="58"/>
  <c r="K229" i="58"/>
  <c r="T7" i="58"/>
  <c r="T13" i="58"/>
  <c r="T19" i="58"/>
  <c r="T25" i="58"/>
  <c r="T31" i="58"/>
  <c r="T37" i="58"/>
  <c r="T43" i="58"/>
  <c r="T49" i="58"/>
  <c r="T55" i="58"/>
  <c r="T61" i="58"/>
  <c r="T67" i="58"/>
  <c r="T73" i="58"/>
  <c r="T79" i="58"/>
  <c r="T85" i="58"/>
  <c r="T91" i="58"/>
  <c r="T97" i="58"/>
  <c r="T103" i="58"/>
  <c r="T109" i="58"/>
  <c r="T115" i="58"/>
  <c r="T121" i="58"/>
  <c r="T127" i="58"/>
  <c r="T133" i="58"/>
  <c r="T139" i="58"/>
  <c r="T145" i="58"/>
  <c r="T151" i="58"/>
  <c r="T157" i="58"/>
  <c r="T163" i="58"/>
  <c r="T169" i="58"/>
  <c r="T175" i="58"/>
  <c r="T181" i="58"/>
  <c r="T187" i="58"/>
  <c r="T193" i="58"/>
  <c r="T199" i="58"/>
  <c r="T205" i="58"/>
  <c r="T211" i="58"/>
  <c r="T217" i="58"/>
  <c r="T223" i="58"/>
  <c r="T229" i="58"/>
  <c r="S7" i="58"/>
  <c r="S13" i="58"/>
  <c r="S19" i="58"/>
  <c r="S25" i="58"/>
  <c r="S31" i="58"/>
  <c r="S37" i="58"/>
  <c r="S43" i="58"/>
  <c r="S49" i="58"/>
  <c r="S55" i="58"/>
  <c r="S61" i="58"/>
  <c r="S67" i="58"/>
  <c r="S73" i="58"/>
  <c r="S79" i="58"/>
  <c r="S85" i="58"/>
  <c r="S91" i="58"/>
  <c r="S97" i="58"/>
  <c r="S103" i="58"/>
  <c r="S109" i="58"/>
  <c r="S115" i="58"/>
  <c r="S121" i="58"/>
  <c r="S127" i="58"/>
  <c r="S133" i="58"/>
  <c r="S139" i="58"/>
  <c r="S145" i="58"/>
  <c r="S151" i="58"/>
  <c r="S157" i="58"/>
  <c r="S163" i="58"/>
  <c r="S169" i="58"/>
  <c r="S175" i="58"/>
  <c r="S181" i="58"/>
  <c r="S187" i="58"/>
  <c r="S193" i="58"/>
  <c r="S199" i="58"/>
  <c r="S205" i="58"/>
  <c r="S217" i="58"/>
  <c r="S229" i="58"/>
  <c r="R7" i="58"/>
  <c r="R13" i="58"/>
  <c r="R19" i="58"/>
  <c r="R25" i="58"/>
  <c r="R31" i="58"/>
  <c r="R37" i="58"/>
  <c r="R43" i="58"/>
  <c r="R49" i="58"/>
  <c r="R55" i="58"/>
  <c r="R61" i="58"/>
  <c r="R67" i="58"/>
  <c r="R73" i="58"/>
  <c r="R79" i="58"/>
  <c r="R85" i="58"/>
  <c r="R91" i="58"/>
  <c r="R97" i="58"/>
  <c r="R103" i="58"/>
  <c r="R109" i="58"/>
  <c r="R115" i="58"/>
  <c r="R121" i="58"/>
  <c r="R127" i="58"/>
  <c r="R133" i="58"/>
  <c r="R139" i="58"/>
  <c r="R145" i="58"/>
  <c r="R151" i="58"/>
  <c r="R157" i="58"/>
  <c r="R163" i="58"/>
  <c r="R169" i="58"/>
  <c r="R175" i="58"/>
  <c r="R181" i="58"/>
  <c r="R187" i="58"/>
  <c r="R193" i="58"/>
  <c r="R199" i="58"/>
  <c r="R205" i="58"/>
  <c r="R211" i="58"/>
  <c r="R217" i="58"/>
  <c r="R223" i="58"/>
  <c r="R229" i="58"/>
  <c r="Q7" i="58"/>
  <c r="Q13" i="58"/>
  <c r="Q19" i="58"/>
  <c r="Q25" i="58"/>
  <c r="Q31" i="58"/>
  <c r="Q37" i="58"/>
  <c r="Q43" i="58"/>
  <c r="Q49" i="58"/>
  <c r="Q55" i="58"/>
  <c r="Q61" i="58"/>
  <c r="Q67" i="58"/>
  <c r="Q73" i="58"/>
  <c r="Q79" i="58"/>
  <c r="Q85" i="58"/>
  <c r="Q91" i="58"/>
  <c r="Q97" i="58"/>
  <c r="Q103" i="58"/>
  <c r="Q109" i="58"/>
  <c r="Q115" i="58"/>
  <c r="Q121" i="58"/>
  <c r="Q127" i="58"/>
  <c r="Q133" i="58"/>
  <c r="Q139" i="58"/>
  <c r="Q145" i="58"/>
  <c r="Q151" i="58"/>
  <c r="Q157" i="58"/>
  <c r="Q163" i="58"/>
  <c r="Q169" i="58"/>
  <c r="Q175" i="58"/>
  <c r="Q181" i="58"/>
  <c r="Q187" i="58"/>
  <c r="Q193" i="58"/>
  <c r="Q199" i="58"/>
  <c r="Q205" i="58"/>
  <c r="Q211" i="58"/>
  <c r="Q217" i="58"/>
  <c r="Q223" i="58"/>
  <c r="Q229" i="58"/>
  <c r="P7" i="58"/>
  <c r="P13" i="58"/>
  <c r="P19" i="58"/>
  <c r="P25" i="58"/>
  <c r="P31" i="58"/>
  <c r="P37" i="58"/>
  <c r="P43" i="58"/>
  <c r="P49" i="58"/>
  <c r="P55" i="58"/>
  <c r="P61" i="58"/>
  <c r="P67" i="58"/>
  <c r="P73" i="58"/>
  <c r="P79" i="58"/>
  <c r="P85" i="58"/>
  <c r="P91" i="58"/>
  <c r="P97" i="58"/>
  <c r="P103" i="58"/>
  <c r="P109" i="58"/>
  <c r="P115" i="58"/>
  <c r="P121" i="58"/>
  <c r="P127" i="58"/>
  <c r="P133" i="58"/>
  <c r="P139" i="58"/>
  <c r="P145" i="58"/>
  <c r="P151" i="58"/>
  <c r="P157" i="58"/>
  <c r="P163" i="58"/>
  <c r="P169" i="58"/>
  <c r="P175" i="58"/>
  <c r="P181" i="58"/>
  <c r="P187" i="58"/>
  <c r="P193" i="58"/>
  <c r="P199" i="58"/>
  <c r="P205" i="58"/>
  <c r="P211" i="58"/>
  <c r="P217" i="58"/>
  <c r="P223" i="58"/>
  <c r="P229" i="58"/>
  <c r="O7" i="58"/>
  <c r="O13" i="58"/>
  <c r="O19" i="58"/>
  <c r="O25" i="58"/>
  <c r="O31" i="58"/>
  <c r="O37" i="58"/>
  <c r="O43" i="58"/>
  <c r="O49" i="58"/>
  <c r="O55" i="58"/>
  <c r="O61" i="58"/>
  <c r="O67" i="58"/>
  <c r="O73" i="58"/>
  <c r="O79" i="58"/>
  <c r="O85" i="58"/>
  <c r="O91" i="58"/>
  <c r="O97" i="58"/>
  <c r="O103" i="58"/>
  <c r="O109" i="58"/>
  <c r="O115" i="58"/>
  <c r="O121" i="58"/>
  <c r="O127" i="58"/>
  <c r="O133" i="58"/>
  <c r="O139" i="58"/>
  <c r="O145" i="58"/>
  <c r="O151" i="58"/>
  <c r="O157" i="58"/>
  <c r="O163" i="58"/>
  <c r="O169" i="58"/>
  <c r="O175" i="58"/>
  <c r="O181" i="58"/>
  <c r="O187" i="58"/>
  <c r="O193" i="58"/>
  <c r="O199" i="58"/>
  <c r="O205" i="58"/>
  <c r="O211" i="58"/>
  <c r="O217" i="58"/>
  <c r="O223" i="58"/>
  <c r="O229" i="58"/>
  <c r="N7" i="58"/>
  <c r="N13" i="58"/>
  <c r="N19" i="58"/>
  <c r="N25" i="58"/>
  <c r="N31" i="58"/>
  <c r="N37" i="58"/>
  <c r="N43" i="58"/>
  <c r="N49" i="58"/>
  <c r="N55" i="58"/>
  <c r="N61" i="58"/>
  <c r="N67" i="58"/>
  <c r="N73" i="58"/>
  <c r="N79" i="58"/>
  <c r="N85" i="58"/>
  <c r="N91" i="58"/>
  <c r="N97" i="58"/>
  <c r="N103" i="58"/>
  <c r="N109" i="58"/>
  <c r="N115" i="58"/>
  <c r="N121" i="58"/>
  <c r="N127" i="58"/>
  <c r="N133" i="58"/>
  <c r="N139" i="58"/>
  <c r="N145" i="58"/>
  <c r="N151" i="58"/>
  <c r="N157" i="58"/>
  <c r="N163" i="58"/>
  <c r="N169" i="58"/>
  <c r="N175" i="58"/>
  <c r="N181" i="58"/>
  <c r="N187" i="58"/>
  <c r="N193" i="58"/>
  <c r="N199" i="58"/>
  <c r="N205" i="58"/>
  <c r="N211" i="58"/>
  <c r="N217" i="58"/>
  <c r="N223" i="58"/>
  <c r="N229" i="58"/>
  <c r="AJ6" i="58"/>
  <c r="AJ10" i="58"/>
  <c r="AJ20" i="58"/>
  <c r="AJ25" i="58"/>
  <c r="AJ30" i="58"/>
  <c r="AJ35" i="58"/>
  <c r="AJ40" i="58"/>
  <c r="AJ50" i="58"/>
  <c r="AJ55" i="58"/>
  <c r="AJ60" i="58"/>
  <c r="AJ65" i="58"/>
  <c r="AJ70" i="58"/>
  <c r="AJ80" i="58"/>
  <c r="AJ85" i="58"/>
  <c r="AJ90" i="58"/>
  <c r="AJ95" i="58"/>
  <c r="AJ100" i="58"/>
  <c r="AJ110" i="58"/>
  <c r="AJ115" i="58"/>
  <c r="AJ120" i="58"/>
  <c r="AJ125" i="58"/>
  <c r="AJ130" i="58"/>
  <c r="AJ140" i="58"/>
  <c r="AJ145" i="58"/>
  <c r="AJ150" i="58"/>
  <c r="AJ155" i="58"/>
  <c r="AJ160" i="58"/>
  <c r="AJ170" i="58"/>
  <c r="AJ175" i="58"/>
  <c r="AJ180" i="58"/>
  <c r="AJ185" i="58"/>
  <c r="AJ190" i="58"/>
  <c r="AJ200" i="58"/>
  <c r="AJ205" i="58"/>
  <c r="AJ210" i="58"/>
  <c r="AJ215" i="58"/>
  <c r="AJ220" i="58"/>
  <c r="AI6" i="58"/>
  <c r="AI10" i="58"/>
  <c r="AI20" i="58"/>
  <c r="AI25" i="58"/>
  <c r="AI30" i="58"/>
  <c r="AI35" i="58"/>
  <c r="AI40" i="58"/>
  <c r="AI50" i="58"/>
  <c r="AI55" i="58"/>
  <c r="AI60" i="58"/>
  <c r="AI65" i="58"/>
  <c r="AI70" i="58"/>
  <c r="AI80" i="58"/>
  <c r="AI85" i="58"/>
  <c r="AI90" i="58"/>
  <c r="AI95" i="58"/>
  <c r="AI100" i="58"/>
  <c r="AI110" i="58"/>
  <c r="AI115" i="58"/>
  <c r="AI120" i="58"/>
  <c r="AI125" i="58"/>
  <c r="AI130" i="58"/>
  <c r="AI140" i="58"/>
  <c r="AI145" i="58"/>
  <c r="AI150" i="58"/>
  <c r="AI155" i="58"/>
  <c r="AI160" i="58"/>
  <c r="AI170" i="58"/>
  <c r="AI175" i="58"/>
  <c r="AI180" i="58"/>
  <c r="AI185" i="58"/>
  <c r="AI190" i="58"/>
  <c r="AI200" i="58"/>
  <c r="AI205" i="58"/>
  <c r="AI210" i="58"/>
  <c r="AI215" i="58"/>
  <c r="AI220" i="58"/>
  <c r="AH6" i="58"/>
  <c r="AH10" i="58"/>
  <c r="AH20" i="58"/>
  <c r="AH25" i="58"/>
  <c r="AH30" i="58"/>
  <c r="AH35" i="58"/>
  <c r="AH40" i="58"/>
  <c r="AH50" i="58"/>
  <c r="AH55" i="58"/>
  <c r="AH60" i="58"/>
  <c r="AH65" i="58"/>
  <c r="AH70" i="58"/>
  <c r="AH80" i="58"/>
  <c r="AH85" i="58"/>
  <c r="AH90" i="58"/>
  <c r="AH95" i="58"/>
  <c r="AH100" i="58"/>
  <c r="AH110" i="58"/>
  <c r="AH115" i="58"/>
  <c r="AH120" i="58"/>
  <c r="AH125" i="58"/>
  <c r="AH130" i="58"/>
  <c r="AH140" i="58"/>
  <c r="AH145" i="58"/>
  <c r="AH150" i="58"/>
  <c r="AH155" i="58"/>
  <c r="AH160" i="58"/>
  <c r="AH170" i="58"/>
  <c r="AH175" i="58"/>
  <c r="AH180" i="58"/>
  <c r="AH185" i="58"/>
  <c r="AH190" i="58"/>
  <c r="AH200" i="58"/>
  <c r="AH205" i="58"/>
  <c r="AH210" i="58"/>
  <c r="AH215" i="58"/>
  <c r="AH220" i="58"/>
  <c r="AG6" i="58"/>
  <c r="AG10" i="58"/>
  <c r="AG20" i="58"/>
  <c r="AG25" i="58"/>
  <c r="AG30" i="58"/>
  <c r="AG35" i="58"/>
  <c r="AG40" i="58"/>
  <c r="AG50" i="58"/>
  <c r="AG55" i="58"/>
  <c r="AG60" i="58"/>
  <c r="AG65" i="58"/>
  <c r="AG70" i="58"/>
  <c r="AG80" i="58"/>
  <c r="AG85" i="58"/>
  <c r="AG90" i="58"/>
  <c r="AG95" i="58"/>
  <c r="AG100" i="58"/>
  <c r="AG110" i="58"/>
  <c r="AG115" i="58"/>
  <c r="AG120" i="58"/>
  <c r="AG125" i="58"/>
  <c r="AG130" i="58"/>
  <c r="AG140" i="58"/>
  <c r="AG145" i="58"/>
  <c r="AG150" i="58"/>
  <c r="AG155" i="58"/>
  <c r="AG160" i="58"/>
  <c r="AG170" i="58"/>
  <c r="AG175" i="58"/>
  <c r="AG180" i="58"/>
  <c r="AG185" i="58"/>
  <c r="AG190" i="58"/>
  <c r="AG200" i="58"/>
  <c r="AG205" i="58"/>
  <c r="AG210" i="58"/>
  <c r="AG215" i="58"/>
  <c r="AG220" i="58"/>
  <c r="AF6" i="58"/>
  <c r="AF10" i="58"/>
  <c r="AF20" i="58"/>
  <c r="AF25" i="58"/>
  <c r="AF30" i="58"/>
  <c r="AF35" i="58"/>
  <c r="AF40" i="58"/>
  <c r="AF50" i="58"/>
  <c r="AF55" i="58"/>
  <c r="AF60" i="58"/>
  <c r="AF65" i="58"/>
  <c r="AF70" i="58"/>
  <c r="AF80" i="58"/>
  <c r="AF85" i="58"/>
  <c r="AF90" i="58"/>
  <c r="AF95" i="58"/>
  <c r="AF100" i="58"/>
  <c r="AF110" i="58"/>
  <c r="AF115" i="58"/>
  <c r="AF120" i="58"/>
  <c r="AF125" i="58"/>
  <c r="AF130" i="58"/>
  <c r="AF140" i="58"/>
  <c r="AF145" i="58"/>
  <c r="AF150" i="58"/>
  <c r="AF155" i="58"/>
  <c r="AF160" i="58"/>
  <c r="AF170" i="58"/>
  <c r="AF175" i="58"/>
  <c r="AF180" i="58"/>
  <c r="AF185" i="58"/>
  <c r="AF190" i="58"/>
  <c r="AF200" i="58"/>
  <c r="AF205" i="58"/>
  <c r="AF210" i="58"/>
  <c r="AF215" i="58"/>
  <c r="AF220" i="58"/>
  <c r="AE6" i="58"/>
  <c r="AE10" i="58"/>
  <c r="AE20" i="58"/>
  <c r="AE25" i="58"/>
  <c r="AE30" i="58"/>
  <c r="AE35" i="58"/>
  <c r="AE40" i="58"/>
  <c r="AE50" i="58"/>
  <c r="AE55" i="58"/>
  <c r="AE60" i="58"/>
  <c r="AE65" i="58"/>
  <c r="AE70" i="58"/>
  <c r="AE80" i="58"/>
  <c r="AE85" i="58"/>
  <c r="AE90" i="58"/>
  <c r="AE95" i="58"/>
  <c r="AE100" i="58"/>
  <c r="AE110" i="58"/>
  <c r="AE115" i="58"/>
  <c r="AE120" i="58"/>
  <c r="AE125" i="58"/>
  <c r="AE130" i="58"/>
  <c r="AE140" i="58"/>
  <c r="AE145" i="58"/>
  <c r="AE150" i="58"/>
  <c r="AE155" i="58"/>
  <c r="AE160" i="58"/>
  <c r="AE170" i="58"/>
  <c r="AE175" i="58"/>
  <c r="AE180" i="58"/>
  <c r="AE185" i="58"/>
  <c r="AE190" i="58"/>
  <c r="AE200" i="58"/>
  <c r="AE205" i="58"/>
  <c r="AE210" i="58"/>
  <c r="AE215" i="58"/>
  <c r="AE220" i="58"/>
  <c r="AD6" i="58"/>
  <c r="AD10" i="58"/>
  <c r="AD20" i="58"/>
  <c r="AD25" i="58"/>
  <c r="AD30" i="58"/>
  <c r="AD35" i="58"/>
  <c r="AD40" i="58"/>
  <c r="AD50" i="58"/>
  <c r="AD55" i="58"/>
  <c r="AD60" i="58"/>
  <c r="AD65" i="58"/>
  <c r="AD70" i="58"/>
  <c r="AD80" i="58"/>
  <c r="AD85" i="58"/>
  <c r="AD90" i="58"/>
  <c r="AD95" i="58"/>
  <c r="AD100" i="58"/>
  <c r="AD110" i="58"/>
  <c r="AD115" i="58"/>
  <c r="AD120" i="58"/>
  <c r="AD125" i="58"/>
  <c r="AD130" i="58"/>
  <c r="AD140" i="58"/>
  <c r="AD145" i="58"/>
  <c r="AD150" i="58"/>
  <c r="AD155" i="58"/>
  <c r="AD160" i="58"/>
  <c r="AD170" i="58"/>
  <c r="AD175" i="58"/>
  <c r="AD180" i="58"/>
  <c r="AD185" i="58"/>
  <c r="AD190" i="58"/>
  <c r="AD200" i="58"/>
  <c r="AD205" i="58"/>
  <c r="AD210" i="58"/>
  <c r="AD215" i="58"/>
  <c r="AD220" i="58"/>
  <c r="AJ5" i="58"/>
  <c r="AJ14" i="58"/>
  <c r="AJ19" i="58"/>
  <c r="AJ24" i="58"/>
  <c r="AJ29" i="58"/>
  <c r="AJ34" i="58"/>
  <c r="AJ44" i="58"/>
  <c r="AJ49" i="58"/>
  <c r="AJ54" i="58"/>
  <c r="AJ59" i="58"/>
  <c r="AJ64" i="58"/>
  <c r="AJ74" i="58"/>
  <c r="AJ79" i="58"/>
  <c r="AJ84" i="58"/>
  <c r="AJ89" i="58"/>
  <c r="AJ94" i="58"/>
  <c r="AJ104" i="58"/>
  <c r="AJ109" i="58"/>
  <c r="AJ114" i="58"/>
  <c r="AJ119" i="58"/>
  <c r="AJ124" i="58"/>
  <c r="AJ134" i="58"/>
  <c r="AJ139" i="58"/>
  <c r="AJ144" i="58"/>
  <c r="AJ149" i="58"/>
  <c r="AJ154" i="58"/>
  <c r="AJ164" i="58"/>
  <c r="AJ169" i="58"/>
  <c r="AJ174" i="58"/>
  <c r="AJ179" i="58"/>
  <c r="AJ184" i="58"/>
  <c r="AJ194" i="58"/>
  <c r="AJ199" i="58"/>
  <c r="AJ204" i="58"/>
  <c r="AJ209" i="58"/>
  <c r="AJ214" i="58"/>
  <c r="AJ224" i="58"/>
  <c r="AJ230" i="58"/>
  <c r="AI5" i="58"/>
  <c r="AI14" i="58"/>
  <c r="AI19" i="58"/>
  <c r="AI24" i="58"/>
  <c r="AI29" i="58"/>
  <c r="AI34" i="58"/>
  <c r="AI44" i="58"/>
  <c r="AI49" i="58"/>
  <c r="AI54" i="58"/>
  <c r="AI59" i="58"/>
  <c r="AI64" i="58"/>
  <c r="AI74" i="58"/>
  <c r="AI79" i="58"/>
  <c r="AI84" i="58"/>
  <c r="AI89" i="58"/>
  <c r="AI94" i="58"/>
  <c r="AI104" i="58"/>
  <c r="AI109" i="58"/>
  <c r="AI114" i="58"/>
  <c r="AI119" i="58"/>
  <c r="AI124" i="58"/>
  <c r="AI134" i="58"/>
  <c r="AI139" i="58"/>
  <c r="AI144" i="58"/>
  <c r="AI149" i="58"/>
  <c r="AI154" i="58"/>
  <c r="AI164" i="58"/>
  <c r="AI169" i="58"/>
  <c r="AI174" i="58"/>
  <c r="AI179" i="58"/>
  <c r="AI184" i="58"/>
  <c r="AI194" i="58"/>
  <c r="AI199" i="58"/>
  <c r="AI204" i="58"/>
  <c r="AI209" i="58"/>
  <c r="AI214" i="58"/>
  <c r="AI224" i="58"/>
  <c r="AI230" i="58"/>
  <c r="AH5" i="58"/>
  <c r="AH14" i="58"/>
  <c r="AH19" i="58"/>
  <c r="AH24" i="58"/>
  <c r="AH29" i="58"/>
  <c r="AH34" i="58"/>
  <c r="AH44" i="58"/>
  <c r="AH49" i="58"/>
  <c r="AH54" i="58"/>
  <c r="AH59" i="58"/>
  <c r="AH64" i="58"/>
  <c r="AH74" i="58"/>
  <c r="AH79" i="58"/>
  <c r="AH84" i="58"/>
  <c r="AH89" i="58"/>
  <c r="AH94" i="58"/>
  <c r="AH104" i="58"/>
  <c r="AH109" i="58"/>
  <c r="AH114" i="58"/>
  <c r="AH119" i="58"/>
  <c r="AH124" i="58"/>
  <c r="AH134" i="58"/>
  <c r="AH139" i="58"/>
  <c r="AH144" i="58"/>
  <c r="AH149" i="58"/>
  <c r="AH154" i="58"/>
  <c r="AH164" i="58"/>
  <c r="AH169" i="58"/>
  <c r="AH174" i="58"/>
  <c r="AH179" i="58"/>
  <c r="AH184" i="58"/>
  <c r="AH194" i="58"/>
  <c r="AH199" i="58"/>
  <c r="AH204" i="58"/>
  <c r="AH209" i="58"/>
  <c r="AH214" i="58"/>
  <c r="AH224" i="58"/>
  <c r="AH230" i="58"/>
  <c r="AG5" i="58"/>
  <c r="AG14" i="58"/>
  <c r="AG19" i="58"/>
  <c r="AG24" i="58"/>
  <c r="AG29" i="58"/>
  <c r="AG34" i="58"/>
  <c r="AG44" i="58"/>
  <c r="AG49" i="58"/>
  <c r="AG54" i="58"/>
  <c r="AG59" i="58"/>
  <c r="AG64" i="58"/>
  <c r="AG74" i="58"/>
  <c r="AG79" i="58"/>
  <c r="AG84" i="58"/>
  <c r="AG89" i="58"/>
  <c r="AG94" i="58"/>
  <c r="AG104" i="58"/>
  <c r="AG109" i="58"/>
  <c r="AG114" i="58"/>
  <c r="AG119" i="58"/>
  <c r="AG124" i="58"/>
  <c r="AG134" i="58"/>
  <c r="AG139" i="58"/>
  <c r="AG144" i="58"/>
  <c r="AG149" i="58"/>
  <c r="AG154" i="58"/>
  <c r="AG164" i="58"/>
  <c r="AG169" i="58"/>
  <c r="AG174" i="58"/>
  <c r="AG179" i="58"/>
  <c r="AG184" i="58"/>
  <c r="AG194" i="58"/>
  <c r="AG199" i="58"/>
  <c r="AG204" i="58"/>
  <c r="AG209" i="58"/>
  <c r="AG214" i="58"/>
  <c r="AG224" i="58"/>
  <c r="AG230" i="58"/>
  <c r="AF5" i="58"/>
  <c r="AF14" i="58"/>
  <c r="AF19" i="58"/>
  <c r="AF24" i="58"/>
  <c r="AF29" i="58"/>
  <c r="AF34" i="58"/>
  <c r="AF44" i="58"/>
  <c r="AF49" i="58"/>
  <c r="AF54" i="58"/>
  <c r="AF59" i="58"/>
  <c r="AF64" i="58"/>
  <c r="AF74" i="58"/>
  <c r="AF79" i="58"/>
  <c r="AF84" i="58"/>
  <c r="AF89" i="58"/>
  <c r="AF94" i="58"/>
  <c r="AF104" i="58"/>
  <c r="AF109" i="58"/>
  <c r="AF114" i="58"/>
  <c r="AF119" i="58"/>
  <c r="AF124" i="58"/>
  <c r="AF134" i="58"/>
  <c r="AF139" i="58"/>
  <c r="AF144" i="58"/>
  <c r="AF149" i="58"/>
  <c r="AF154" i="58"/>
  <c r="AF164" i="58"/>
  <c r="AF169" i="58"/>
  <c r="AF174" i="58"/>
  <c r="AF179" i="58"/>
  <c r="AF184" i="58"/>
  <c r="AF194" i="58"/>
  <c r="AF199" i="58"/>
  <c r="AF204" i="58"/>
  <c r="AF209" i="58"/>
  <c r="AF214" i="58"/>
  <c r="AF224" i="58"/>
  <c r="AF230" i="58"/>
  <c r="AE5" i="58"/>
  <c r="AE14" i="58"/>
  <c r="AE19" i="58"/>
  <c r="AE24" i="58"/>
  <c r="AE29" i="58"/>
  <c r="AE34" i="58"/>
  <c r="AE44" i="58"/>
  <c r="AE49" i="58"/>
  <c r="AE54" i="58"/>
  <c r="AE59" i="58"/>
  <c r="AE64" i="58"/>
  <c r="AE74" i="58"/>
  <c r="AE79" i="58"/>
  <c r="AE84" i="58"/>
  <c r="AE89" i="58"/>
  <c r="AE94" i="58"/>
  <c r="AE104" i="58"/>
  <c r="AE109" i="58"/>
  <c r="AE114" i="58"/>
  <c r="AE119" i="58"/>
  <c r="AE124" i="58"/>
  <c r="AE134" i="58"/>
  <c r="AE139" i="58"/>
  <c r="AE144" i="58"/>
  <c r="AE149" i="58"/>
  <c r="AE154" i="58"/>
  <c r="AE164" i="58"/>
  <c r="AE169" i="58"/>
  <c r="AE174" i="58"/>
  <c r="AE179" i="58"/>
  <c r="AE184" i="58"/>
  <c r="AE194" i="58"/>
  <c r="AE199" i="58"/>
  <c r="AE204" i="58"/>
  <c r="AE209" i="58"/>
  <c r="AE214" i="58"/>
  <c r="AE224" i="58"/>
  <c r="AE230" i="58"/>
  <c r="AD5" i="58"/>
  <c r="AD14" i="58"/>
  <c r="AD19" i="58"/>
  <c r="AD24" i="58"/>
  <c r="AD29" i="58"/>
  <c r="AD34" i="58"/>
  <c r="AD44" i="58"/>
  <c r="AD49" i="58"/>
  <c r="AD54" i="58"/>
  <c r="AD59" i="58"/>
  <c r="AD64" i="58"/>
  <c r="AD74" i="58"/>
  <c r="AD79" i="58"/>
  <c r="AD84" i="58"/>
  <c r="AD89" i="58"/>
  <c r="AD94" i="58"/>
  <c r="AD104" i="58"/>
  <c r="AD109" i="58"/>
  <c r="AD114" i="58"/>
  <c r="AD119" i="58"/>
  <c r="AD124" i="58"/>
  <c r="AD134" i="58"/>
  <c r="AD139" i="58"/>
  <c r="AD144" i="58"/>
  <c r="AD149" i="58"/>
  <c r="AD154" i="58"/>
  <c r="AD164" i="58"/>
  <c r="AD169" i="58"/>
  <c r="AD174" i="58"/>
  <c r="AD179" i="58"/>
  <c r="AD184" i="58"/>
  <c r="AD194" i="58"/>
  <c r="AD199" i="58"/>
  <c r="AD204" i="58"/>
  <c r="AD209" i="58"/>
  <c r="AD214" i="58"/>
  <c r="AD224" i="58"/>
  <c r="AD230" i="58"/>
  <c r="AJ4" i="58"/>
  <c r="AJ13" i="58"/>
  <c r="AJ18" i="58"/>
  <c r="AJ23" i="58"/>
  <c r="AJ28" i="58"/>
  <c r="AJ38" i="58"/>
  <c r="AJ43" i="58"/>
  <c r="AJ48" i="58"/>
  <c r="AJ53" i="58"/>
  <c r="AJ58" i="58"/>
  <c r="AJ68" i="58"/>
  <c r="AJ73" i="58"/>
  <c r="AJ78" i="58"/>
  <c r="AJ83" i="58"/>
  <c r="AJ88" i="58"/>
  <c r="AJ98" i="58"/>
  <c r="AJ103" i="58"/>
  <c r="AJ108" i="58"/>
  <c r="AJ113" i="58"/>
  <c r="AJ118" i="58"/>
  <c r="AJ128" i="58"/>
  <c r="AJ133" i="58"/>
  <c r="AJ138" i="58"/>
  <c r="AJ143" i="58"/>
  <c r="AJ148" i="58"/>
  <c r="AJ158" i="58"/>
  <c r="AJ163" i="58"/>
  <c r="AJ168" i="58"/>
  <c r="AJ173" i="58"/>
  <c r="AJ178" i="58"/>
  <c r="AJ188" i="58"/>
  <c r="AJ193" i="58"/>
  <c r="AJ198" i="58"/>
  <c r="AJ203" i="58"/>
  <c r="AJ208" i="58"/>
  <c r="AJ218" i="58"/>
  <c r="AJ223" i="58"/>
  <c r="AJ228" i="58"/>
  <c r="AI4" i="58"/>
  <c r="AI13" i="58"/>
  <c r="AI18" i="58"/>
  <c r="AI23" i="58"/>
  <c r="AI28" i="58"/>
  <c r="AI38" i="58"/>
  <c r="AI43" i="58"/>
  <c r="AI48" i="58"/>
  <c r="AI53" i="58"/>
  <c r="AI58" i="58"/>
  <c r="AI68" i="58"/>
  <c r="AI73" i="58"/>
  <c r="AI78" i="58"/>
  <c r="AI83" i="58"/>
  <c r="AI88" i="58"/>
  <c r="AI98" i="58"/>
  <c r="AI103" i="58"/>
  <c r="AI108" i="58"/>
  <c r="AI113" i="58"/>
  <c r="AI118" i="58"/>
  <c r="AI128" i="58"/>
  <c r="AI133" i="58"/>
  <c r="AI138" i="58"/>
  <c r="AI143" i="58"/>
  <c r="AI148" i="58"/>
  <c r="AI158" i="58"/>
  <c r="AI163" i="58"/>
  <c r="AI168" i="58"/>
  <c r="AI173" i="58"/>
  <c r="AI178" i="58"/>
  <c r="AI188" i="58"/>
  <c r="AI193" i="58"/>
  <c r="AI198" i="58"/>
  <c r="AI203" i="58"/>
  <c r="AI208" i="58"/>
  <c r="AI218" i="58"/>
  <c r="AI223" i="58"/>
  <c r="AI228" i="58"/>
  <c r="AH4" i="58"/>
  <c r="AH13" i="58"/>
  <c r="AH18" i="58"/>
  <c r="AH23" i="58"/>
  <c r="AH28" i="58"/>
  <c r="AH38" i="58"/>
  <c r="AH43" i="58"/>
  <c r="AH48" i="58"/>
  <c r="AH53" i="58"/>
  <c r="AH58" i="58"/>
  <c r="AH68" i="58"/>
  <c r="AH73" i="58"/>
  <c r="AH78" i="58"/>
  <c r="AH83" i="58"/>
  <c r="AH88" i="58"/>
  <c r="AH98" i="58"/>
  <c r="AH103" i="58"/>
  <c r="AH108" i="58"/>
  <c r="AH113" i="58"/>
  <c r="AH118" i="58"/>
  <c r="AH128" i="58"/>
  <c r="AH133" i="58"/>
  <c r="AH138" i="58"/>
  <c r="AH143" i="58"/>
  <c r="AH148" i="58"/>
  <c r="AH158" i="58"/>
  <c r="AH163" i="58"/>
  <c r="AH168" i="58"/>
  <c r="AH173" i="58"/>
  <c r="AH178" i="58"/>
  <c r="AH188" i="58"/>
  <c r="AH193" i="58"/>
  <c r="AH198" i="58"/>
  <c r="AH203" i="58"/>
  <c r="AH208" i="58"/>
  <c r="AH218" i="58"/>
  <c r="AH223" i="58"/>
  <c r="AH228" i="58"/>
  <c r="AG4" i="58"/>
  <c r="AG13" i="58"/>
  <c r="AG18" i="58"/>
  <c r="AG23" i="58"/>
  <c r="AG28" i="58"/>
  <c r="AG38" i="58"/>
  <c r="AG43" i="58"/>
  <c r="AG48" i="58"/>
  <c r="AG53" i="58"/>
  <c r="AG58" i="58"/>
  <c r="AG68" i="58"/>
  <c r="AG73" i="58"/>
  <c r="AG78" i="58"/>
  <c r="AG83" i="58"/>
  <c r="AG88" i="58"/>
  <c r="AG98" i="58"/>
  <c r="AG103" i="58"/>
  <c r="AG108" i="58"/>
  <c r="AG113" i="58"/>
  <c r="AG118" i="58"/>
  <c r="AG128" i="58"/>
  <c r="AG133" i="58"/>
  <c r="AG138" i="58"/>
  <c r="AG143" i="58"/>
  <c r="AG148" i="58"/>
  <c r="AG158" i="58"/>
  <c r="AG163" i="58"/>
  <c r="AG168" i="58"/>
  <c r="AG173" i="58"/>
  <c r="AG178" i="58"/>
  <c r="AG188" i="58"/>
  <c r="AG193" i="58"/>
  <c r="AG198" i="58"/>
  <c r="AG203" i="58"/>
  <c r="AG208" i="58"/>
  <c r="AG218" i="58"/>
  <c r="AG223" i="58"/>
  <c r="AG228" i="58"/>
  <c r="AF4" i="58"/>
  <c r="AF13" i="58"/>
  <c r="AF18" i="58"/>
  <c r="AF23" i="58"/>
  <c r="AF28" i="58"/>
  <c r="AF38" i="58"/>
  <c r="AF43" i="58"/>
  <c r="AF48" i="58"/>
  <c r="AF53" i="58"/>
  <c r="AF58" i="58"/>
  <c r="AF68" i="58"/>
  <c r="AF73" i="58"/>
  <c r="AF78" i="58"/>
  <c r="AF83" i="58"/>
  <c r="AF88" i="58"/>
  <c r="AF98" i="58"/>
  <c r="AF103" i="58"/>
  <c r="AF108" i="58"/>
  <c r="AF113" i="58"/>
  <c r="AF118" i="58"/>
  <c r="AF128" i="58"/>
  <c r="AF133" i="58"/>
  <c r="AF138" i="58"/>
  <c r="AF143" i="58"/>
  <c r="AF148" i="58"/>
  <c r="AF158" i="58"/>
  <c r="AF163" i="58"/>
  <c r="AF168" i="58"/>
  <c r="AF173" i="58"/>
  <c r="AF178" i="58"/>
  <c r="AF188" i="58"/>
  <c r="AF193" i="58"/>
  <c r="AF198" i="58"/>
  <c r="AF203" i="58"/>
  <c r="AF208" i="58"/>
  <c r="AF218" i="58"/>
  <c r="AF223" i="58"/>
  <c r="AF228" i="58"/>
  <c r="AE4" i="58"/>
  <c r="AE13" i="58"/>
  <c r="AE18" i="58"/>
  <c r="AE23" i="58"/>
  <c r="AE28" i="58"/>
  <c r="AE38" i="58"/>
  <c r="AE43" i="58"/>
  <c r="AE48" i="58"/>
  <c r="AE53" i="58"/>
  <c r="AE58" i="58"/>
  <c r="AE68" i="58"/>
  <c r="AE73" i="58"/>
  <c r="AE78" i="58"/>
  <c r="AE83" i="58"/>
  <c r="AE88" i="58"/>
  <c r="AE98" i="58"/>
  <c r="AE103" i="58"/>
  <c r="AE108" i="58"/>
  <c r="AE113" i="58"/>
  <c r="AE118" i="58"/>
  <c r="AE128" i="58"/>
  <c r="AE133" i="58"/>
  <c r="AE138" i="58"/>
  <c r="AE143" i="58"/>
  <c r="AE148" i="58"/>
  <c r="AE158" i="58"/>
  <c r="AE163" i="58"/>
  <c r="AE168" i="58"/>
  <c r="AE173" i="58"/>
  <c r="AE178" i="58"/>
  <c r="AE188" i="58"/>
  <c r="AE193" i="58"/>
  <c r="AE198" i="58"/>
  <c r="AE203" i="58"/>
  <c r="AE208" i="58"/>
  <c r="AE218" i="58"/>
  <c r="AE223" i="58"/>
  <c r="AE228" i="58"/>
  <c r="AD4" i="58"/>
  <c r="AD13" i="58"/>
  <c r="AD18" i="58"/>
  <c r="AD23" i="58"/>
  <c r="AD28" i="58"/>
  <c r="AD38" i="58"/>
  <c r="AD43" i="58"/>
  <c r="AD48" i="58"/>
  <c r="AD53" i="58"/>
  <c r="AD58" i="58"/>
  <c r="AD68" i="58"/>
  <c r="AD73" i="58"/>
  <c r="AD78" i="58"/>
  <c r="AD83" i="58"/>
  <c r="AD88" i="58"/>
  <c r="AD98" i="58"/>
  <c r="AD103" i="58"/>
  <c r="AD108" i="58"/>
  <c r="AD113" i="58"/>
  <c r="AD118" i="58"/>
  <c r="AD128" i="58"/>
  <c r="AD133" i="58"/>
  <c r="AD138" i="58"/>
  <c r="AD143" i="58"/>
  <c r="AD148" i="58"/>
  <c r="AD158" i="58"/>
  <c r="AD163" i="58"/>
  <c r="AD168" i="58"/>
  <c r="AD173" i="58"/>
  <c r="AD178" i="58"/>
  <c r="AD188" i="58"/>
  <c r="AD193" i="58"/>
  <c r="AD198" i="58"/>
  <c r="AD203" i="58"/>
  <c r="AD208" i="58"/>
  <c r="AD218" i="58"/>
  <c r="AD223" i="58"/>
  <c r="AD228" i="58"/>
  <c r="AJ8" i="58"/>
  <c r="AJ12" i="58"/>
  <c r="AJ17" i="58"/>
  <c r="AJ22" i="58"/>
  <c r="AJ32" i="58"/>
  <c r="AJ37" i="58"/>
  <c r="AJ42" i="58"/>
  <c r="AJ47" i="58"/>
  <c r="AJ52" i="58"/>
  <c r="AJ62" i="58"/>
  <c r="AJ67" i="58"/>
  <c r="AJ72" i="58"/>
  <c r="AJ77" i="58"/>
  <c r="AJ82" i="58"/>
  <c r="AJ92" i="58"/>
  <c r="AJ97" i="58"/>
  <c r="AJ102" i="58"/>
  <c r="AJ107" i="58"/>
  <c r="AJ112" i="58"/>
  <c r="AJ122" i="58"/>
  <c r="AJ127" i="58"/>
  <c r="AJ132" i="58"/>
  <c r="AJ137" i="58"/>
  <c r="AJ142" i="58"/>
  <c r="AJ152" i="58"/>
  <c r="AJ157" i="58"/>
  <c r="AJ162" i="58"/>
  <c r="AJ167" i="58"/>
  <c r="AJ172" i="58"/>
  <c r="AJ182" i="58"/>
  <c r="AJ187" i="58"/>
  <c r="AJ192" i="58"/>
  <c r="AJ197" i="58"/>
  <c r="AJ202" i="58"/>
  <c r="AJ212" i="58"/>
  <c r="AJ217" i="58"/>
  <c r="AJ222" i="58"/>
  <c r="AJ227" i="58"/>
  <c r="AI8" i="58"/>
  <c r="AI12" i="58"/>
  <c r="AI17" i="58"/>
  <c r="AI22" i="58"/>
  <c r="AI32" i="58"/>
  <c r="AI37" i="58"/>
  <c r="AI42" i="58"/>
  <c r="AI47" i="58"/>
  <c r="AI52" i="58"/>
  <c r="AI62" i="58"/>
  <c r="AI67" i="58"/>
  <c r="AI72" i="58"/>
  <c r="AI77" i="58"/>
  <c r="AI82" i="58"/>
  <c r="AI92" i="58"/>
  <c r="AI97" i="58"/>
  <c r="AI102" i="58"/>
  <c r="AI107" i="58"/>
  <c r="AI112" i="58"/>
  <c r="AI122" i="58"/>
  <c r="AI127" i="58"/>
  <c r="AI132" i="58"/>
  <c r="AI137" i="58"/>
  <c r="AI142" i="58"/>
  <c r="AI152" i="58"/>
  <c r="AI157" i="58"/>
  <c r="AI162" i="58"/>
  <c r="AI167" i="58"/>
  <c r="AI172" i="58"/>
  <c r="AI182" i="58"/>
  <c r="AI187" i="58"/>
  <c r="AI192" i="58"/>
  <c r="AI197" i="58"/>
  <c r="AI202" i="58"/>
  <c r="AI212" i="58"/>
  <c r="AI217" i="58"/>
  <c r="AI222" i="58"/>
  <c r="AI227" i="58"/>
  <c r="AH8" i="58"/>
  <c r="AH12" i="58"/>
  <c r="AH17" i="58"/>
  <c r="AH22" i="58"/>
  <c r="AH32" i="58"/>
  <c r="AH37" i="58"/>
  <c r="AH42" i="58"/>
  <c r="AH47" i="58"/>
  <c r="AH52" i="58"/>
  <c r="AH62" i="58"/>
  <c r="AH67" i="58"/>
  <c r="AH72" i="58"/>
  <c r="AH77" i="58"/>
  <c r="AH82" i="58"/>
  <c r="AH92" i="58"/>
  <c r="AH97" i="58"/>
  <c r="AH102" i="58"/>
  <c r="AH107" i="58"/>
  <c r="AH112" i="58"/>
  <c r="AH122" i="58"/>
  <c r="AH127" i="58"/>
  <c r="AH132" i="58"/>
  <c r="AH137" i="58"/>
  <c r="AH142" i="58"/>
  <c r="AH152" i="58"/>
  <c r="AH157" i="58"/>
  <c r="AH162" i="58"/>
  <c r="AH167" i="58"/>
  <c r="AH172" i="58"/>
  <c r="AH182" i="58"/>
  <c r="AH187" i="58"/>
  <c r="AH192" i="58"/>
  <c r="AH197" i="58"/>
  <c r="AH202" i="58"/>
  <c r="AH212" i="58"/>
  <c r="AH217" i="58"/>
  <c r="AH222" i="58"/>
  <c r="AH227" i="58"/>
  <c r="AG8" i="58"/>
  <c r="AG12" i="58"/>
  <c r="AG17" i="58"/>
  <c r="AG22" i="58"/>
  <c r="AG32" i="58"/>
  <c r="AG37" i="58"/>
  <c r="AG42" i="58"/>
  <c r="AG47" i="58"/>
  <c r="AG52" i="58"/>
  <c r="AG62" i="58"/>
  <c r="AG67" i="58"/>
  <c r="AG72" i="58"/>
  <c r="AG77" i="58"/>
  <c r="AG82" i="58"/>
  <c r="AG92" i="58"/>
  <c r="AG97" i="58"/>
  <c r="AG102" i="58"/>
  <c r="AG107" i="58"/>
  <c r="AG112" i="58"/>
  <c r="AG122" i="58"/>
  <c r="AG127" i="58"/>
  <c r="AG132" i="58"/>
  <c r="AG137" i="58"/>
  <c r="AG142" i="58"/>
  <c r="AG152" i="58"/>
  <c r="AG157" i="58"/>
  <c r="AG162" i="58"/>
  <c r="AG167" i="58"/>
  <c r="AG172" i="58"/>
  <c r="AG182" i="58"/>
  <c r="AG187" i="58"/>
  <c r="AG192" i="58"/>
  <c r="AG197" i="58"/>
  <c r="AG202" i="58"/>
  <c r="AG212" i="58"/>
  <c r="AG217" i="58"/>
  <c r="AG222" i="58"/>
  <c r="AG227" i="58"/>
  <c r="AF8" i="58"/>
  <c r="AF12" i="58"/>
  <c r="AF17" i="58"/>
  <c r="AF22" i="58"/>
  <c r="AF32" i="58"/>
  <c r="AF37" i="58"/>
  <c r="AF42" i="58"/>
  <c r="AF47" i="58"/>
  <c r="AF52" i="58"/>
  <c r="AF62" i="58"/>
  <c r="AF67" i="58"/>
  <c r="AF72" i="58"/>
  <c r="AF77" i="58"/>
  <c r="AF82" i="58"/>
  <c r="AF92" i="58"/>
  <c r="AF97" i="58"/>
  <c r="AF102" i="58"/>
  <c r="AF107" i="58"/>
  <c r="AF112" i="58"/>
  <c r="AF122" i="58"/>
  <c r="AF127" i="58"/>
  <c r="AF132" i="58"/>
  <c r="AF137" i="58"/>
  <c r="AF142" i="58"/>
  <c r="AF152" i="58"/>
  <c r="AF157" i="58"/>
  <c r="AF162" i="58"/>
  <c r="AF167" i="58"/>
  <c r="AF172" i="58"/>
  <c r="AF182" i="58"/>
  <c r="AF187" i="58"/>
  <c r="AF192" i="58"/>
  <c r="AF197" i="58"/>
  <c r="AF202" i="58"/>
  <c r="AF212" i="58"/>
  <c r="AF217" i="58"/>
  <c r="AF222" i="58"/>
  <c r="AF227" i="58"/>
  <c r="AE8" i="58"/>
  <c r="AE12" i="58"/>
  <c r="AE17" i="58"/>
  <c r="AE22" i="58"/>
  <c r="AE32" i="58"/>
  <c r="AE37" i="58"/>
  <c r="AE42" i="58"/>
  <c r="AE47" i="58"/>
  <c r="AE52" i="58"/>
  <c r="AE62" i="58"/>
  <c r="AE67" i="58"/>
  <c r="AE72" i="58"/>
  <c r="AE77" i="58"/>
  <c r="AE82" i="58"/>
  <c r="AE92" i="58"/>
  <c r="AE97" i="58"/>
  <c r="AE102" i="58"/>
  <c r="AE107" i="58"/>
  <c r="AE112" i="58"/>
  <c r="AE122" i="58"/>
  <c r="AE127" i="58"/>
  <c r="AE132" i="58"/>
  <c r="AE137" i="58"/>
  <c r="AE142" i="58"/>
  <c r="AE152" i="58"/>
  <c r="AE157" i="58"/>
  <c r="AE162" i="58"/>
  <c r="AE167" i="58"/>
  <c r="AE172" i="58"/>
  <c r="AE182" i="58"/>
  <c r="AE187" i="58"/>
  <c r="AE192" i="58"/>
  <c r="AE197" i="58"/>
  <c r="AE202" i="58"/>
  <c r="AE212" i="58"/>
  <c r="AE217" i="58"/>
  <c r="AE222" i="58"/>
  <c r="AE227" i="58"/>
  <c r="AD8" i="58"/>
  <c r="AD12" i="58"/>
  <c r="AD17" i="58"/>
  <c r="AD22" i="58"/>
  <c r="AD32" i="58"/>
  <c r="AD37" i="58"/>
  <c r="AD42" i="58"/>
  <c r="AD47" i="58"/>
  <c r="AD52" i="58"/>
  <c r="AD62" i="58"/>
  <c r="AD67" i="58"/>
  <c r="AD72" i="58"/>
  <c r="AD77" i="58"/>
  <c r="AD82" i="58"/>
  <c r="AD92" i="58"/>
  <c r="AD97" i="58"/>
  <c r="AD102" i="58"/>
  <c r="AD107" i="58"/>
  <c r="AD112" i="58"/>
  <c r="AD122" i="58"/>
  <c r="AD127" i="58"/>
  <c r="AD132" i="58"/>
  <c r="AD137" i="58"/>
  <c r="AD142" i="58"/>
  <c r="AD152" i="58"/>
  <c r="AD157" i="58"/>
  <c r="AD162" i="58"/>
  <c r="AD167" i="58"/>
  <c r="AD172" i="58"/>
  <c r="AD182" i="58"/>
  <c r="AD187" i="58"/>
  <c r="AD192" i="58"/>
  <c r="AD197" i="58"/>
  <c r="AD202" i="58"/>
  <c r="AD212" i="58"/>
  <c r="AD217" i="58"/>
  <c r="AD222" i="58"/>
  <c r="AD227" i="58"/>
  <c r="AJ7" i="58"/>
  <c r="AJ11" i="58"/>
  <c r="AJ16" i="58"/>
  <c r="AJ26" i="58"/>
  <c r="AJ31" i="58"/>
  <c r="AJ36" i="58"/>
  <c r="AJ41" i="58"/>
  <c r="AJ46" i="58"/>
  <c r="AJ56" i="58"/>
  <c r="AJ61" i="58"/>
  <c r="AJ66" i="58"/>
  <c r="AJ71" i="58"/>
  <c r="AJ76" i="58"/>
  <c r="AJ86" i="58"/>
  <c r="AJ91" i="58"/>
  <c r="AJ96" i="58"/>
  <c r="AJ101" i="58"/>
  <c r="AJ106" i="58"/>
  <c r="AJ116" i="58"/>
  <c r="AJ121" i="58"/>
  <c r="AJ126" i="58"/>
  <c r="AJ131" i="58"/>
  <c r="AJ136" i="58"/>
  <c r="AJ146" i="58"/>
  <c r="AJ151" i="58"/>
  <c r="AJ156" i="58"/>
  <c r="AJ161" i="58"/>
  <c r="AJ166" i="58"/>
  <c r="AJ176" i="58"/>
  <c r="AJ181" i="58"/>
  <c r="AJ186" i="58"/>
  <c r="AJ191" i="58"/>
  <c r="AJ196" i="58"/>
  <c r="AJ206" i="58"/>
  <c r="AJ211" i="58"/>
  <c r="AJ216" i="58"/>
  <c r="AJ221" i="58"/>
  <c r="AJ226" i="58"/>
  <c r="AI7" i="58"/>
  <c r="AI11" i="58"/>
  <c r="AI16" i="58"/>
  <c r="AI26" i="58"/>
  <c r="AI31" i="58"/>
  <c r="AI36" i="58"/>
  <c r="AI41" i="58"/>
  <c r="AI46" i="58"/>
  <c r="AI56" i="58"/>
  <c r="AI61" i="58"/>
  <c r="AI66" i="58"/>
  <c r="AI71" i="58"/>
  <c r="AI76" i="58"/>
  <c r="AI86" i="58"/>
  <c r="AI91" i="58"/>
  <c r="AI96" i="58"/>
  <c r="AI101" i="58"/>
  <c r="AI106" i="58"/>
  <c r="AI116" i="58"/>
  <c r="AI121" i="58"/>
  <c r="AI126" i="58"/>
  <c r="AI131" i="58"/>
  <c r="AI136" i="58"/>
  <c r="AI146" i="58"/>
  <c r="AI151" i="58"/>
  <c r="AI156" i="58"/>
  <c r="AI161" i="58"/>
  <c r="AI166" i="58"/>
  <c r="AI176" i="58"/>
  <c r="AI181" i="58"/>
  <c r="AI186" i="58"/>
  <c r="AI191" i="58"/>
  <c r="AI196" i="58"/>
  <c r="AI206" i="58"/>
  <c r="AI211" i="58"/>
  <c r="AI216" i="58"/>
  <c r="AI221" i="58"/>
  <c r="AI226" i="58"/>
  <c r="AH7" i="58"/>
  <c r="AH11" i="58"/>
  <c r="AH16" i="58"/>
  <c r="AH26" i="58"/>
  <c r="AH31" i="58"/>
  <c r="AH36" i="58"/>
  <c r="AH41" i="58"/>
  <c r="AH46" i="58"/>
  <c r="AH56" i="58"/>
  <c r="AH61" i="58"/>
  <c r="AH66" i="58"/>
  <c r="AH71" i="58"/>
  <c r="AH76" i="58"/>
  <c r="AH86" i="58"/>
  <c r="AH91" i="58"/>
  <c r="AH96" i="58"/>
  <c r="AH101" i="58"/>
  <c r="AH106" i="58"/>
  <c r="AH116" i="58"/>
  <c r="AH121" i="58"/>
  <c r="AH126" i="58"/>
  <c r="AH131" i="58"/>
  <c r="AH136" i="58"/>
  <c r="AH146" i="58"/>
  <c r="AH151" i="58"/>
  <c r="AH156" i="58"/>
  <c r="AH161" i="58"/>
  <c r="AH166" i="58"/>
  <c r="AH176" i="58"/>
  <c r="AH181" i="58"/>
  <c r="AH186" i="58"/>
  <c r="AH191" i="58"/>
  <c r="AH196" i="58"/>
  <c r="AH206" i="58"/>
  <c r="AH211" i="58"/>
  <c r="AH216" i="58"/>
  <c r="AH221" i="58"/>
  <c r="AH226" i="58"/>
  <c r="AG7" i="58"/>
  <c r="AG11" i="58"/>
  <c r="AG16" i="58"/>
  <c r="AG26" i="58"/>
  <c r="AG31" i="58"/>
  <c r="AG36" i="58"/>
  <c r="AG41" i="58"/>
  <c r="AG46" i="58"/>
  <c r="AG56" i="58"/>
  <c r="AG61" i="58"/>
  <c r="AG66" i="58"/>
  <c r="AG71" i="58"/>
  <c r="AG76" i="58"/>
  <c r="AG86" i="58"/>
  <c r="AG91" i="58"/>
  <c r="AG96" i="58"/>
  <c r="AG101" i="58"/>
  <c r="AG106" i="58"/>
  <c r="AG116" i="58"/>
  <c r="AG121" i="58"/>
  <c r="AG126" i="58"/>
  <c r="AG131" i="58"/>
  <c r="AG136" i="58"/>
  <c r="AG146" i="58"/>
  <c r="AG151" i="58"/>
  <c r="AG156" i="58"/>
  <c r="AG161" i="58"/>
  <c r="AG166" i="58"/>
  <c r="AG176" i="58"/>
  <c r="AG181" i="58"/>
  <c r="AG186" i="58"/>
  <c r="AG191" i="58"/>
  <c r="AG196" i="58"/>
  <c r="AG206" i="58"/>
  <c r="AG211" i="58"/>
  <c r="AG216" i="58"/>
  <c r="AG221" i="58"/>
  <c r="AG226" i="58"/>
  <c r="AF7" i="58"/>
  <c r="AF11" i="58"/>
  <c r="AF16" i="58"/>
  <c r="AF26" i="58"/>
  <c r="AF31" i="58"/>
  <c r="AF36" i="58"/>
  <c r="AF41" i="58"/>
  <c r="AF46" i="58"/>
  <c r="AF56" i="58"/>
  <c r="AF61" i="58"/>
  <c r="AF66" i="58"/>
  <c r="AF71" i="58"/>
  <c r="AF76" i="58"/>
  <c r="AF86" i="58"/>
  <c r="AF91" i="58"/>
  <c r="AF96" i="58"/>
  <c r="AF101" i="58"/>
  <c r="AF106" i="58"/>
  <c r="AF116" i="58"/>
  <c r="AF121" i="58"/>
  <c r="AF126" i="58"/>
  <c r="AF131" i="58"/>
  <c r="AF136" i="58"/>
  <c r="AF146" i="58"/>
  <c r="AF151" i="58"/>
  <c r="AF156" i="58"/>
  <c r="AF161" i="58"/>
  <c r="AF166" i="58"/>
  <c r="AF176" i="58"/>
  <c r="AF181" i="58"/>
  <c r="AF186" i="58"/>
  <c r="AF191" i="58"/>
  <c r="AF196" i="58"/>
  <c r="AF206" i="58"/>
  <c r="AF211" i="58"/>
  <c r="AF216" i="58"/>
  <c r="AF221" i="58"/>
  <c r="AF226" i="58"/>
  <c r="AE7" i="58"/>
  <c r="AE11" i="58"/>
  <c r="AE16" i="58"/>
  <c r="AE26" i="58"/>
  <c r="AE31" i="58"/>
  <c r="AE36" i="58"/>
  <c r="AE41" i="58"/>
  <c r="AE46" i="58"/>
  <c r="AE56" i="58"/>
  <c r="AE61" i="58"/>
  <c r="AE66" i="58"/>
  <c r="AE71" i="58"/>
  <c r="AE76" i="58"/>
  <c r="AE86" i="58"/>
  <c r="AE91" i="58"/>
  <c r="AE96" i="58"/>
  <c r="AE101" i="58"/>
  <c r="AE106" i="58"/>
  <c r="AE116" i="58"/>
  <c r="AE121" i="58"/>
  <c r="AE126" i="58"/>
  <c r="AE131" i="58"/>
  <c r="AE136" i="58"/>
  <c r="AE146" i="58"/>
  <c r="AE151" i="58"/>
  <c r="AE156" i="58"/>
  <c r="AE161" i="58"/>
  <c r="AE166" i="58"/>
  <c r="AE176" i="58"/>
  <c r="AE181" i="58"/>
  <c r="AE186" i="58"/>
  <c r="AE191" i="58"/>
  <c r="AE196" i="58"/>
  <c r="AE206" i="58"/>
  <c r="AE211" i="58"/>
  <c r="AE216" i="58"/>
  <c r="AE221" i="58"/>
  <c r="AE226" i="58"/>
  <c r="AD7" i="58"/>
  <c r="AD11" i="58"/>
  <c r="AD16" i="58"/>
  <c r="AD26" i="58"/>
  <c r="AD31" i="58"/>
  <c r="AD36" i="58"/>
  <c r="AD41" i="58"/>
  <c r="AD46" i="58"/>
  <c r="AD56" i="58"/>
  <c r="AD61" i="58"/>
  <c r="AD66" i="58"/>
  <c r="AD71" i="58"/>
  <c r="AD76" i="58"/>
  <c r="AD86" i="58"/>
  <c r="AD91" i="58"/>
  <c r="AD96" i="58"/>
  <c r="AD101" i="58"/>
  <c r="AD106" i="58"/>
  <c r="AD116" i="58"/>
  <c r="AD121" i="58"/>
  <c r="AD126" i="58"/>
  <c r="AD131" i="58"/>
  <c r="AD136" i="58"/>
  <c r="AD146" i="58"/>
  <c r="AD151" i="58"/>
  <c r="AD156" i="58"/>
  <c r="AD161" i="58"/>
  <c r="AD166" i="58"/>
  <c r="AD176" i="58"/>
  <c r="AD181" i="58"/>
  <c r="AD186" i="58"/>
  <c r="AD191" i="58"/>
  <c r="AD196" i="58"/>
  <c r="AD206" i="58"/>
  <c r="AD211" i="58"/>
  <c r="AD216" i="58"/>
  <c r="AD221" i="58"/>
  <c r="AD226" i="58"/>
  <c r="L7" i="58"/>
  <c r="L13" i="58"/>
  <c r="L19" i="58"/>
  <c r="L25" i="58"/>
  <c r="L31" i="58"/>
  <c r="L37" i="58"/>
  <c r="L43" i="58"/>
  <c r="L49" i="58"/>
  <c r="L55" i="58"/>
  <c r="L61" i="58"/>
  <c r="L67" i="58"/>
  <c r="L73" i="58"/>
  <c r="L79" i="58"/>
  <c r="L85" i="58"/>
  <c r="L91" i="58"/>
  <c r="L97" i="58"/>
  <c r="L103" i="58"/>
  <c r="L109" i="58"/>
  <c r="L115" i="58"/>
  <c r="L121" i="58"/>
  <c r="L127" i="58"/>
  <c r="L133" i="58"/>
  <c r="L139" i="58"/>
  <c r="L145" i="58"/>
  <c r="L151" i="58"/>
  <c r="L157" i="58"/>
  <c r="L163" i="58"/>
  <c r="L169" i="58"/>
  <c r="L175" i="58"/>
  <c r="L181" i="58"/>
  <c r="L187" i="58"/>
  <c r="L193" i="58"/>
  <c r="L199" i="58"/>
  <c r="L205" i="58"/>
  <c r="L211" i="58"/>
  <c r="L217" i="58"/>
  <c r="L223" i="58"/>
  <c r="L229" i="58"/>
  <c r="V7" i="58"/>
  <c r="V13" i="58"/>
  <c r="V19" i="58"/>
  <c r="V25" i="58"/>
  <c r="V31" i="58"/>
  <c r="V37" i="58"/>
  <c r="V43" i="58"/>
  <c r="V49" i="58"/>
  <c r="V55" i="58"/>
  <c r="V61" i="58"/>
  <c r="V67" i="58"/>
  <c r="V73" i="58"/>
  <c r="V79" i="58"/>
  <c r="V85" i="58"/>
  <c r="V91" i="58"/>
  <c r="V97" i="58"/>
  <c r="V103" i="58"/>
  <c r="V109" i="58"/>
  <c r="V115" i="58"/>
  <c r="V121" i="58"/>
  <c r="V127" i="58"/>
  <c r="V133" i="58"/>
  <c r="V139" i="58"/>
  <c r="V145" i="58"/>
  <c r="V151" i="58"/>
  <c r="V157" i="58"/>
  <c r="V163" i="58"/>
  <c r="V169" i="58"/>
  <c r="V175" i="58"/>
  <c r="V181" i="58"/>
  <c r="V187" i="58"/>
  <c r="V193" i="58"/>
  <c r="V199" i="58"/>
  <c r="V205" i="58"/>
  <c r="V211" i="58"/>
  <c r="V217" i="58"/>
  <c r="V223" i="58"/>
  <c r="V229" i="58"/>
  <c r="W7" i="58"/>
  <c r="W13" i="58"/>
  <c r="W19" i="58"/>
  <c r="W25" i="58"/>
  <c r="W31" i="58"/>
  <c r="W37" i="58"/>
  <c r="W43" i="58"/>
  <c r="W49" i="58"/>
  <c r="W55" i="58"/>
  <c r="W61" i="58"/>
  <c r="W67" i="58"/>
  <c r="W73" i="58"/>
  <c r="W79" i="58"/>
  <c r="W85" i="58"/>
  <c r="W91" i="58"/>
  <c r="W97" i="58"/>
  <c r="W103" i="58"/>
  <c r="W109" i="58"/>
  <c r="W115" i="58"/>
  <c r="W121" i="58"/>
  <c r="W127" i="58"/>
  <c r="W133" i="58"/>
  <c r="W139" i="58"/>
  <c r="W145" i="58"/>
  <c r="W151" i="58"/>
  <c r="W157" i="58"/>
  <c r="W163" i="58"/>
  <c r="W169" i="58"/>
  <c r="W175" i="58"/>
  <c r="W181" i="58"/>
  <c r="W187" i="58"/>
  <c r="W193" i="58"/>
  <c r="W199" i="58"/>
  <c r="W205" i="58"/>
  <c r="W211" i="58"/>
  <c r="W217" i="58"/>
  <c r="W223" i="58"/>
  <c r="W229" i="58"/>
  <c r="X7" i="58"/>
  <c r="X13" i="58"/>
  <c r="X19" i="58"/>
  <c r="X25" i="58"/>
  <c r="X31" i="58"/>
  <c r="X37" i="58"/>
  <c r="X43" i="58"/>
  <c r="X49" i="58"/>
  <c r="X55" i="58"/>
  <c r="X61" i="58"/>
  <c r="X67" i="58"/>
  <c r="X73" i="58"/>
  <c r="X79" i="58"/>
  <c r="X85" i="58"/>
  <c r="X91" i="58"/>
  <c r="X97" i="58"/>
  <c r="X103" i="58"/>
  <c r="X109" i="58"/>
  <c r="X115" i="58"/>
  <c r="X121" i="58"/>
  <c r="X127" i="58"/>
  <c r="X133" i="58"/>
  <c r="X139" i="58"/>
  <c r="X145" i="58"/>
  <c r="X151" i="58"/>
  <c r="X157" i="58"/>
  <c r="X163" i="58"/>
  <c r="X169" i="58"/>
  <c r="X175" i="58"/>
  <c r="X181" i="58"/>
  <c r="X187" i="58"/>
  <c r="X193" i="58"/>
  <c r="X199" i="58"/>
  <c r="X205" i="58"/>
  <c r="X211" i="58"/>
  <c r="X217" i="58"/>
  <c r="X223" i="58"/>
  <c r="X229" i="58"/>
  <c r="Y7" i="58"/>
  <c r="Y13" i="58"/>
  <c r="Y19" i="58"/>
  <c r="Y25" i="58"/>
  <c r="Y31" i="58"/>
  <c r="Y37" i="58"/>
  <c r="Y43" i="58"/>
  <c r="Y49" i="58"/>
  <c r="Y55" i="58"/>
  <c r="Y61" i="58"/>
  <c r="Y67" i="58"/>
  <c r="Y73" i="58"/>
  <c r="Y79" i="58"/>
  <c r="Y85" i="58"/>
  <c r="Y91" i="58"/>
  <c r="Y97" i="58"/>
  <c r="Y103" i="58"/>
  <c r="Y109" i="58"/>
  <c r="Y115" i="58"/>
  <c r="Y121" i="58"/>
  <c r="Y127" i="58"/>
  <c r="Y133" i="58"/>
  <c r="Y139" i="58"/>
  <c r="Y145" i="58"/>
  <c r="Y151" i="58"/>
  <c r="Y157" i="58"/>
  <c r="Y163" i="58"/>
  <c r="Y169" i="58"/>
  <c r="Y175" i="58"/>
  <c r="Y181" i="58"/>
  <c r="Y187" i="58"/>
  <c r="Y193" i="58"/>
  <c r="Y199" i="58"/>
  <c r="Y205" i="58"/>
  <c r="Y211" i="58"/>
  <c r="Y217" i="58"/>
  <c r="Y223" i="58"/>
  <c r="Y229" i="58"/>
  <c r="Z7" i="58"/>
  <c r="Z13" i="58"/>
  <c r="Z19" i="58"/>
  <c r="Z25" i="58"/>
  <c r="Z31" i="58"/>
  <c r="Z37" i="58"/>
  <c r="Z43" i="58"/>
  <c r="Z49" i="58"/>
  <c r="Z55" i="58"/>
  <c r="Z61" i="58"/>
  <c r="Z67" i="58"/>
  <c r="Z73" i="58"/>
  <c r="Z79" i="58"/>
  <c r="Z85" i="58"/>
  <c r="Z91" i="58"/>
  <c r="Z97" i="58"/>
  <c r="Z103" i="58"/>
  <c r="Z109" i="58"/>
  <c r="Z115" i="58"/>
  <c r="Z121" i="58"/>
  <c r="Z127" i="58"/>
  <c r="Z133" i="58"/>
  <c r="Z139" i="58"/>
  <c r="Z145" i="58"/>
  <c r="Z151" i="58"/>
  <c r="Z157" i="58"/>
  <c r="Z163" i="58"/>
  <c r="Z169" i="58"/>
  <c r="Z175" i="58"/>
  <c r="Z181" i="58"/>
  <c r="Z187" i="58"/>
  <c r="Z193" i="58"/>
  <c r="Z199" i="58"/>
  <c r="Z205" i="58"/>
  <c r="Z211" i="58"/>
  <c r="Z217" i="58"/>
  <c r="Z223" i="58"/>
  <c r="Z229" i="58"/>
  <c r="AA7" i="58"/>
  <c r="AA13" i="58"/>
  <c r="AA19" i="58"/>
  <c r="AA25" i="58"/>
  <c r="AA31" i="58"/>
  <c r="AA37" i="58"/>
  <c r="AA43" i="58"/>
  <c r="AA49" i="58"/>
  <c r="AA55" i="58"/>
  <c r="AA61" i="58"/>
  <c r="AA67" i="58"/>
  <c r="AA73" i="58"/>
  <c r="AA79" i="58"/>
  <c r="AA85" i="58"/>
  <c r="AA91" i="58"/>
  <c r="AA97" i="58"/>
  <c r="AA103" i="58"/>
  <c r="AA109" i="58"/>
  <c r="AA115" i="58"/>
  <c r="AA121" i="58"/>
  <c r="AA127" i="58"/>
  <c r="AA133" i="58"/>
  <c r="AA139" i="58"/>
  <c r="AA145" i="58"/>
  <c r="AA151" i="58"/>
  <c r="AA157" i="58"/>
  <c r="AA163" i="58"/>
  <c r="AA169" i="58"/>
  <c r="AA175" i="58"/>
  <c r="AA181" i="58"/>
  <c r="AA187" i="58"/>
  <c r="AA193" i="58"/>
  <c r="AA199" i="58"/>
  <c r="AA205" i="58"/>
  <c r="AA211" i="58"/>
  <c r="AA217" i="58"/>
  <c r="AA223" i="58"/>
  <c r="AA229" i="58"/>
  <c r="AB7" i="58"/>
  <c r="AB13" i="58"/>
  <c r="AB19" i="58"/>
  <c r="AB25" i="58"/>
  <c r="AB31" i="58"/>
  <c r="AB37" i="58"/>
  <c r="AB43" i="58"/>
  <c r="AB49" i="58"/>
  <c r="AB55" i="58"/>
  <c r="AB61" i="58"/>
  <c r="AB67" i="58"/>
  <c r="AB73" i="58"/>
  <c r="AB79" i="58"/>
  <c r="AB85" i="58"/>
  <c r="AB91" i="58"/>
  <c r="AB97" i="58"/>
  <c r="AB103" i="58"/>
  <c r="AB109" i="58"/>
  <c r="AB115" i="58"/>
  <c r="AB121" i="58"/>
  <c r="AB127" i="58"/>
  <c r="AB133" i="58"/>
  <c r="AB139" i="58"/>
  <c r="AB145" i="58"/>
  <c r="AB151" i="58"/>
  <c r="AB157" i="58"/>
  <c r="AB163" i="58"/>
  <c r="AB169" i="58"/>
  <c r="AB175" i="58"/>
  <c r="AB181" i="58"/>
  <c r="AB187" i="58"/>
  <c r="AB193" i="58"/>
  <c r="AB199" i="58"/>
  <c r="AB205" i="58"/>
  <c r="AB211" i="58"/>
  <c r="AB217" i="58"/>
  <c r="AB223" i="58"/>
  <c r="AB229" i="58"/>
  <c r="AJ229" i="58"/>
  <c r="AI229" i="58"/>
  <c r="AH229" i="58"/>
  <c r="AG229" i="58"/>
  <c r="AF229" i="58"/>
  <c r="AE229" i="58"/>
  <c r="AD229" i="58"/>
  <c r="K97" i="58"/>
  <c r="K85" i="58"/>
  <c r="K73" i="58"/>
  <c r="K61" i="58"/>
  <c r="K49" i="58"/>
  <c r="K37" i="58"/>
  <c r="K25" i="58"/>
  <c r="K91" i="58"/>
  <c r="K79" i="58"/>
  <c r="K67" i="58"/>
  <c r="K55" i="58"/>
  <c r="K43" i="58"/>
  <c r="K31" i="58"/>
  <c r="K19" i="58"/>
  <c r="K13" i="58"/>
  <c r="Q415" i="62" l="1"/>
  <c r="T271" i="61"/>
  <c r="AB415" i="62"/>
  <c r="X421" i="58"/>
  <c r="AA295" i="62"/>
  <c r="N313" i="59"/>
  <c r="AA271" i="61"/>
  <c r="AA414" i="61"/>
  <c r="W414" i="61"/>
  <c r="G211" i="60"/>
  <c r="G226" i="60" s="1"/>
  <c r="Y49" i="60"/>
  <c r="P415" i="59"/>
  <c r="T415" i="59"/>
  <c r="Q295" i="62"/>
  <c r="Z414" i="61"/>
  <c r="X414" i="61"/>
  <c r="Q271" i="61"/>
  <c r="D438" i="61"/>
  <c r="H438" i="61"/>
  <c r="E439" i="61"/>
  <c r="I439" i="61"/>
  <c r="F440" i="61"/>
  <c r="J440" i="61"/>
  <c r="D430" i="61"/>
  <c r="H430" i="61"/>
  <c r="E441" i="61"/>
  <c r="I441" i="61"/>
  <c r="F442" i="61"/>
  <c r="J442" i="61"/>
  <c r="G439" i="61"/>
  <c r="D440" i="61"/>
  <c r="H440" i="61"/>
  <c r="D442" i="61"/>
  <c r="H442" i="61"/>
  <c r="I438" i="61"/>
  <c r="G441" i="61"/>
  <c r="F430" i="61"/>
  <c r="J430" i="61"/>
  <c r="G438" i="61"/>
  <c r="D439" i="61"/>
  <c r="F439" i="61"/>
  <c r="G440" i="61"/>
  <c r="E440" i="61"/>
  <c r="H441" i="61"/>
  <c r="G442" i="61"/>
  <c r="V271" i="61"/>
  <c r="J441" i="61"/>
  <c r="F438" i="61"/>
  <c r="R49" i="60"/>
  <c r="I221" i="60"/>
  <c r="H221" i="60"/>
  <c r="S415" i="59"/>
  <c r="AB421" i="58"/>
  <c r="N415" i="62"/>
  <c r="AA229" i="62"/>
  <c r="K433" i="62"/>
  <c r="K437" i="62" s="1"/>
  <c r="W421" i="58"/>
  <c r="AA421" i="58"/>
  <c r="H444" i="62"/>
  <c r="AA415" i="62"/>
  <c r="I444" i="62"/>
  <c r="F433" i="62"/>
  <c r="F448" i="62" s="1"/>
  <c r="D442" i="62"/>
  <c r="I443" i="62"/>
  <c r="G433" i="62"/>
  <c r="G448" i="62" s="1"/>
  <c r="F444" i="62"/>
  <c r="G440" i="62"/>
  <c r="F443" i="62"/>
  <c r="J443" i="62"/>
  <c r="G444" i="62"/>
  <c r="I441" i="62"/>
  <c r="F442" i="62"/>
  <c r="G443" i="62"/>
  <c r="E440" i="62"/>
  <c r="J441" i="62"/>
  <c r="AB229" i="62"/>
  <c r="Q229" i="62"/>
  <c r="N271" i="59"/>
  <c r="D433" i="59"/>
  <c r="O49" i="60"/>
  <c r="K431" i="61"/>
  <c r="K446" i="61" s="1"/>
  <c r="Z271" i="61"/>
  <c r="AB414" i="61"/>
  <c r="O271" i="61"/>
  <c r="J439" i="61"/>
  <c r="F441" i="61"/>
  <c r="I440" i="61"/>
  <c r="D441" i="61"/>
  <c r="K229" i="62"/>
  <c r="W229" i="62"/>
  <c r="L229" i="62"/>
  <c r="O229" i="62"/>
  <c r="W295" i="62"/>
  <c r="O295" i="62"/>
  <c r="L295" i="62"/>
  <c r="L415" i="62"/>
  <c r="O415" i="62"/>
  <c r="K415" i="62"/>
  <c r="D444" i="62"/>
  <c r="I440" i="62"/>
  <c r="F441" i="62"/>
  <c r="E433" i="62"/>
  <c r="E448" i="62" s="1"/>
  <c r="I433" i="62"/>
  <c r="I437" i="62" s="1"/>
  <c r="J432" i="62"/>
  <c r="G442" i="62"/>
  <c r="D443" i="62"/>
  <c r="H443" i="62"/>
  <c r="G432" i="62"/>
  <c r="E444" i="62"/>
  <c r="D432" i="62"/>
  <c r="H432" i="62"/>
  <c r="F440" i="62"/>
  <c r="J440" i="62"/>
  <c r="G441" i="62"/>
  <c r="H442" i="62"/>
  <c r="E443" i="62"/>
  <c r="J444" i="62"/>
  <c r="D441" i="62"/>
  <c r="H441" i="62"/>
  <c r="E442" i="62"/>
  <c r="I442" i="62"/>
  <c r="D440" i="62"/>
  <c r="H440" i="62"/>
  <c r="E441" i="62"/>
  <c r="D433" i="62"/>
  <c r="D448" i="62" s="1"/>
  <c r="H433" i="62"/>
  <c r="H448" i="62" s="1"/>
  <c r="E432" i="62"/>
  <c r="I432" i="62"/>
  <c r="J442" i="62"/>
  <c r="V229" i="62"/>
  <c r="N229" i="62"/>
  <c r="P295" i="62"/>
  <c r="X295" i="62"/>
  <c r="K295" i="62"/>
  <c r="N295" i="62"/>
  <c r="R415" i="62"/>
  <c r="Z415" i="62"/>
  <c r="R229" i="62"/>
  <c r="T295" i="62"/>
  <c r="AB295" i="62"/>
  <c r="P415" i="62"/>
  <c r="X415" i="62"/>
  <c r="F432" i="62"/>
  <c r="J433" i="62"/>
  <c r="P229" i="62"/>
  <c r="X229" i="62"/>
  <c r="R295" i="62"/>
  <c r="Z295" i="62"/>
  <c r="H222" i="60"/>
  <c r="F219" i="60"/>
  <c r="J221" i="60"/>
  <c r="S49" i="60"/>
  <c r="F218" i="60"/>
  <c r="E221" i="60"/>
  <c r="D211" i="60"/>
  <c r="D218" i="60"/>
  <c r="Y414" i="61"/>
  <c r="Q414" i="61"/>
  <c r="K414" i="61"/>
  <c r="E438" i="61"/>
  <c r="H439" i="61"/>
  <c r="E442" i="61"/>
  <c r="I442" i="61"/>
  <c r="J438" i="61"/>
  <c r="X271" i="61"/>
  <c r="P271" i="61"/>
  <c r="K271" i="61"/>
  <c r="I431" i="61"/>
  <c r="I435" i="61" s="1"/>
  <c r="G431" i="61"/>
  <c r="G446" i="61" s="1"/>
  <c r="E431" i="61"/>
  <c r="E446" i="61" s="1"/>
  <c r="G430" i="61"/>
  <c r="F431" i="61"/>
  <c r="F435" i="61" s="1"/>
  <c r="E430" i="61"/>
  <c r="J431" i="61"/>
  <c r="J435" i="61" s="1"/>
  <c r="I430" i="61"/>
  <c r="D431" i="61"/>
  <c r="D435" i="61" s="1"/>
  <c r="H431" i="61"/>
  <c r="H435" i="61" s="1"/>
  <c r="L271" i="61"/>
  <c r="V414" i="61"/>
  <c r="L414" i="61"/>
  <c r="I210" i="60"/>
  <c r="AB49" i="60"/>
  <c r="E218" i="60"/>
  <c r="G220" i="60"/>
  <c r="G222" i="60"/>
  <c r="I219" i="60"/>
  <c r="J220" i="60"/>
  <c r="H220" i="60"/>
  <c r="F210" i="60"/>
  <c r="I218" i="60"/>
  <c r="J219" i="60"/>
  <c r="F221" i="60"/>
  <c r="H218" i="60"/>
  <c r="E219" i="60"/>
  <c r="F220" i="60"/>
  <c r="F222" i="60"/>
  <c r="J222" i="60"/>
  <c r="J211" i="60"/>
  <c r="J226" i="60" s="1"/>
  <c r="G210" i="60"/>
  <c r="D222" i="60"/>
  <c r="D219" i="60"/>
  <c r="J218" i="60"/>
  <c r="G219" i="60"/>
  <c r="D220" i="60"/>
  <c r="E220" i="60"/>
  <c r="E222" i="60"/>
  <c r="I222" i="60"/>
  <c r="D221" i="60"/>
  <c r="F211" i="60"/>
  <c r="E211" i="60"/>
  <c r="J210" i="60"/>
  <c r="G221" i="60"/>
  <c r="E210" i="60"/>
  <c r="G218" i="60"/>
  <c r="H219" i="60"/>
  <c r="I220" i="60"/>
  <c r="X49" i="60"/>
  <c r="L49" i="60"/>
  <c r="D210" i="60"/>
  <c r="I211" i="60"/>
  <c r="K49" i="60"/>
  <c r="H210" i="60"/>
  <c r="H211" i="60"/>
  <c r="V49" i="60"/>
  <c r="AB271" i="59"/>
  <c r="Z415" i="59"/>
  <c r="S271" i="59"/>
  <c r="P271" i="59"/>
  <c r="J441" i="59"/>
  <c r="F433" i="59"/>
  <c r="F437" i="59" s="1"/>
  <c r="R313" i="59"/>
  <c r="F432" i="59"/>
  <c r="V415" i="59"/>
  <c r="P313" i="59"/>
  <c r="K313" i="59"/>
  <c r="J440" i="59"/>
  <c r="D442" i="59"/>
  <c r="G443" i="59"/>
  <c r="H444" i="59"/>
  <c r="F443" i="59"/>
  <c r="G444" i="59"/>
  <c r="H433" i="59"/>
  <c r="H437" i="59" s="1"/>
  <c r="I441" i="59"/>
  <c r="E444" i="59"/>
  <c r="H442" i="59"/>
  <c r="E440" i="59"/>
  <c r="Y271" i="59"/>
  <c r="K415" i="59"/>
  <c r="Z271" i="59"/>
  <c r="Q415" i="59"/>
  <c r="G441" i="59"/>
  <c r="J443" i="59"/>
  <c r="D444" i="59"/>
  <c r="I440" i="59"/>
  <c r="O415" i="59"/>
  <c r="D432" i="59"/>
  <c r="F444" i="59"/>
  <c r="J433" i="59"/>
  <c r="J437" i="59" s="1"/>
  <c r="D443" i="59"/>
  <c r="F440" i="59"/>
  <c r="H432" i="59"/>
  <c r="T313" i="59"/>
  <c r="L415" i="59"/>
  <c r="H440" i="59"/>
  <c r="E443" i="59"/>
  <c r="J444" i="59"/>
  <c r="E442" i="59"/>
  <c r="H443" i="59"/>
  <c r="I444" i="59"/>
  <c r="F441" i="59"/>
  <c r="G442" i="59"/>
  <c r="J432" i="59"/>
  <c r="G432" i="59"/>
  <c r="O313" i="59"/>
  <c r="W313" i="59"/>
  <c r="L313" i="59"/>
  <c r="S313" i="59"/>
  <c r="AA313" i="59"/>
  <c r="D440" i="59"/>
  <c r="E441" i="59"/>
  <c r="F442" i="59"/>
  <c r="J442" i="59"/>
  <c r="I443" i="59"/>
  <c r="D441" i="59"/>
  <c r="I432" i="59"/>
  <c r="K271" i="59"/>
  <c r="L271" i="59"/>
  <c r="O271" i="59"/>
  <c r="Y313" i="59"/>
  <c r="Q313" i="59"/>
  <c r="G440" i="59"/>
  <c r="H441" i="59"/>
  <c r="I442" i="59"/>
  <c r="W271" i="58"/>
  <c r="Y235" i="58"/>
  <c r="D440" i="58"/>
  <c r="F443" i="58"/>
  <c r="E448" i="58"/>
  <c r="S271" i="58"/>
  <c r="Y271" i="58"/>
  <c r="N421" i="58"/>
  <c r="Z421" i="58"/>
  <c r="R235" i="58"/>
  <c r="N235" i="58"/>
  <c r="X235" i="58"/>
  <c r="L421" i="58"/>
  <c r="AA235" i="58"/>
  <c r="K271" i="58"/>
  <c r="E440" i="58"/>
  <c r="F440" i="58"/>
  <c r="H440" i="58"/>
  <c r="J440" i="58"/>
  <c r="D441" i="58"/>
  <c r="E441" i="58"/>
  <c r="F441" i="58"/>
  <c r="H441" i="58"/>
  <c r="J441" i="58"/>
  <c r="E442" i="58"/>
  <c r="F442" i="58"/>
  <c r="G442" i="58"/>
  <c r="J442" i="58"/>
  <c r="D443" i="58"/>
  <c r="E443" i="58"/>
  <c r="G443" i="58"/>
  <c r="H443" i="58"/>
  <c r="J443" i="58"/>
  <c r="D444" i="58"/>
  <c r="E444" i="58"/>
  <c r="F444" i="58"/>
  <c r="H444" i="58"/>
  <c r="I444" i="58"/>
  <c r="J444" i="58"/>
  <c r="F437" i="58"/>
  <c r="G448" i="58"/>
  <c r="K448" i="58"/>
  <c r="D437" i="58"/>
  <c r="I440" i="58"/>
  <c r="G441" i="58"/>
  <c r="I441" i="58"/>
  <c r="G444" i="58"/>
  <c r="H448" i="58"/>
  <c r="G440" i="58"/>
  <c r="O235" i="58"/>
  <c r="I443" i="58"/>
  <c r="T235" i="58"/>
  <c r="K421" i="58"/>
  <c r="Q421" i="58"/>
  <c r="I442" i="58"/>
  <c r="L235" i="58"/>
  <c r="E437" i="58"/>
  <c r="K235" i="58"/>
  <c r="J448" i="58"/>
  <c r="J437" i="58"/>
  <c r="D442" i="58"/>
  <c r="H442" i="58"/>
  <c r="K437" i="58"/>
  <c r="AB271" i="58"/>
  <c r="R271" i="58"/>
  <c r="L271" i="58"/>
  <c r="X271" i="58"/>
  <c r="N271" i="58"/>
  <c r="K448" i="62" l="1"/>
  <c r="F437" i="62"/>
  <c r="G215" i="60"/>
  <c r="K435" i="61"/>
  <c r="E435" i="61"/>
  <c r="I448" i="62"/>
  <c r="E437" i="62"/>
  <c r="I446" i="61"/>
  <c r="M430" i="61"/>
  <c r="J446" i="61"/>
  <c r="M431" i="61"/>
  <c r="N431" i="61" s="1"/>
  <c r="H437" i="62"/>
  <c r="G437" i="62"/>
  <c r="D437" i="62"/>
  <c r="D446" i="61"/>
  <c r="F446" i="61"/>
  <c r="H446" i="61"/>
  <c r="G435" i="61"/>
  <c r="M432" i="62"/>
  <c r="L432" i="62"/>
  <c r="N432" i="62" s="1"/>
  <c r="J448" i="62"/>
  <c r="J437" i="62"/>
  <c r="M433" i="62"/>
  <c r="N433" i="62" s="1"/>
  <c r="J215" i="60"/>
  <c r="K211" i="60"/>
  <c r="K226" i="60" s="1"/>
  <c r="J448" i="59"/>
  <c r="L430" i="61"/>
  <c r="H226" i="60"/>
  <c r="H215" i="60"/>
  <c r="I226" i="60"/>
  <c r="I215" i="60"/>
  <c r="M210" i="60"/>
  <c r="F226" i="60"/>
  <c r="F215" i="60"/>
  <c r="D226" i="60"/>
  <c r="M211" i="60"/>
  <c r="D215" i="60"/>
  <c r="L210" i="60"/>
  <c r="E215" i="60"/>
  <c r="E226" i="60"/>
  <c r="D448" i="59"/>
  <c r="D437" i="59"/>
  <c r="I433" i="59"/>
  <c r="I437" i="59" s="1"/>
  <c r="G433" i="59"/>
  <c r="G448" i="59" s="1"/>
  <c r="F448" i="59"/>
  <c r="K433" i="59"/>
  <c r="K437" i="59" s="1"/>
  <c r="E433" i="59"/>
  <c r="E437" i="59" s="1"/>
  <c r="H448" i="59"/>
  <c r="E432" i="59"/>
  <c r="M432" i="59" s="1"/>
  <c r="L432" i="59"/>
  <c r="D448" i="58"/>
  <c r="F448" i="58"/>
  <c r="G437" i="58"/>
  <c r="H437" i="58"/>
  <c r="I437" i="58"/>
  <c r="I448" i="58"/>
  <c r="N430" i="61" l="1"/>
  <c r="N432" i="59"/>
  <c r="N210" i="60"/>
  <c r="N211" i="60"/>
  <c r="K215" i="60"/>
  <c r="G437" i="59"/>
  <c r="M433" i="59"/>
  <c r="N433" i="59" s="1"/>
  <c r="I448" i="59"/>
  <c r="K448" i="59"/>
  <c r="E448" i="59"/>
</calcChain>
</file>

<file path=xl/sharedStrings.xml><?xml version="1.0" encoding="utf-8"?>
<sst xmlns="http://schemas.openxmlformats.org/spreadsheetml/2006/main" count="3867" uniqueCount="181">
  <si>
    <t>begin</t>
  </si>
  <si>
    <t>einde</t>
  </si>
  <si>
    <t>pauze</t>
  </si>
  <si>
    <t>TOT.:</t>
  </si>
  <si>
    <t>opm.:</t>
  </si>
  <si>
    <t>totaal</t>
  </si>
  <si>
    <t>gewerkt</t>
  </si>
  <si>
    <t>maandag</t>
  </si>
  <si>
    <t>dinsdag</t>
  </si>
  <si>
    <t>woensdag</t>
  </si>
  <si>
    <t>donderdag</t>
  </si>
  <si>
    <t>vrijdag</t>
  </si>
  <si>
    <t>zaterdag</t>
  </si>
  <si>
    <t>zondag</t>
  </si>
  <si>
    <t>gepland</t>
  </si>
  <si>
    <t>Totaal gepland:</t>
  </si>
  <si>
    <t>Totaal gewerkt:</t>
  </si>
  <si>
    <t>Budget:</t>
  </si>
  <si>
    <t>Verschil:</t>
  </si>
  <si>
    <t>van</t>
  </si>
  <si>
    <t>tot</t>
  </si>
  <si>
    <t>M</t>
  </si>
  <si>
    <t>D</t>
  </si>
  <si>
    <t>W</t>
  </si>
  <si>
    <t>V</t>
  </si>
  <si>
    <t>Z</t>
  </si>
  <si>
    <t>proef:</t>
  </si>
  <si>
    <t>fout:</t>
  </si>
  <si>
    <t>functie:</t>
  </si>
  <si>
    <t>NAAM</t>
  </si>
  <si>
    <t>Voornaam</t>
  </si>
  <si>
    <t>entrées:</t>
  </si>
  <si>
    <t>Opmerkingen</t>
  </si>
  <si>
    <t>ratio:</t>
  </si>
  <si>
    <t>Afgedrukt op:</t>
  </si>
  <si>
    <t>Naam</t>
  </si>
  <si>
    <t>Leboy</t>
  </si>
  <si>
    <t>Rabhi</t>
  </si>
  <si>
    <t>Broeckhoven</t>
  </si>
  <si>
    <t>Wissel</t>
  </si>
  <si>
    <t>Synnave</t>
  </si>
  <si>
    <t>Ellen</t>
  </si>
  <si>
    <t>Liesenborghs</t>
  </si>
  <si>
    <t>Esse</t>
  </si>
  <si>
    <t>Hamza</t>
  </si>
  <si>
    <t>Bentla</t>
  </si>
  <si>
    <t>Ilias</t>
  </si>
  <si>
    <t>Taous</t>
  </si>
  <si>
    <t>Margo</t>
  </si>
  <si>
    <t>Robbe</t>
  </si>
  <si>
    <t xml:space="preserve">Yassine </t>
  </si>
  <si>
    <t>AOU</t>
  </si>
  <si>
    <t>Yassine</t>
  </si>
  <si>
    <t>Enrique</t>
  </si>
  <si>
    <t>Osorio Maza</t>
  </si>
  <si>
    <t>Cooreman</t>
  </si>
  <si>
    <t>Elin</t>
  </si>
  <si>
    <t>Verwaetermeulen</t>
  </si>
  <si>
    <t>Laetitia</t>
  </si>
  <si>
    <t>Ufiteyezu</t>
  </si>
  <si>
    <t>Zakaria</t>
  </si>
  <si>
    <t>Yordi</t>
  </si>
  <si>
    <t>Van Rompaey</t>
  </si>
  <si>
    <t>osorio Maza</t>
  </si>
  <si>
    <t>Niyonkuru</t>
  </si>
  <si>
    <t>Bénédicte</t>
  </si>
  <si>
    <t>Lobanzo</t>
  </si>
  <si>
    <t>Imane</t>
  </si>
  <si>
    <t>Michel Anysim</t>
  </si>
  <si>
    <t>Yavarouski</t>
  </si>
  <si>
    <t>Niels</t>
  </si>
  <si>
    <t>VDBroeck</t>
  </si>
  <si>
    <t>VD Broeck</t>
  </si>
  <si>
    <t xml:space="preserve">Niels </t>
  </si>
  <si>
    <t>Sien</t>
  </si>
  <si>
    <t>Van Kelst</t>
  </si>
  <si>
    <t>Jannes</t>
  </si>
  <si>
    <t>Ysenbaardt</t>
  </si>
  <si>
    <t xml:space="preserve">Ben </t>
  </si>
  <si>
    <t>Ben</t>
  </si>
  <si>
    <t>Dries</t>
  </si>
  <si>
    <t>Haesaerts</t>
  </si>
  <si>
    <t>Serafima</t>
  </si>
  <si>
    <t>Yavarouskaya</t>
  </si>
  <si>
    <t>Ella Marie</t>
  </si>
  <si>
    <t>Hendrickx</t>
  </si>
  <si>
    <t>Roos</t>
  </si>
  <si>
    <t>Luyten</t>
  </si>
  <si>
    <t>Anass</t>
  </si>
  <si>
    <t>Astrid</t>
  </si>
  <si>
    <t>Herreman</t>
  </si>
  <si>
    <t>Samuel</t>
  </si>
  <si>
    <t>Musoni</t>
  </si>
  <si>
    <t>Mountassir</t>
  </si>
  <si>
    <t>Bennasser</t>
  </si>
  <si>
    <t>Emma</t>
  </si>
  <si>
    <t>Degeeter</t>
  </si>
  <si>
    <t>Avetis</t>
  </si>
  <si>
    <t>Tarakhchyan</t>
  </si>
  <si>
    <t>Tarakchyan</t>
  </si>
  <si>
    <t>Mohammed</t>
  </si>
  <si>
    <t>El Kadi</t>
  </si>
  <si>
    <t>Benedicte</t>
  </si>
  <si>
    <t>Guus</t>
  </si>
  <si>
    <t>Van den Keybus</t>
  </si>
  <si>
    <t>Stuart</t>
  </si>
  <si>
    <t>Rombout</t>
  </si>
  <si>
    <t>Ihsane</t>
  </si>
  <si>
    <t>Mounir</t>
  </si>
  <si>
    <t>Siraje</t>
  </si>
  <si>
    <t>Redouane</t>
  </si>
  <si>
    <t>El Morabet</t>
  </si>
  <si>
    <t>Nisrine</t>
  </si>
  <si>
    <t>Harcha</t>
  </si>
  <si>
    <t>Ivo</t>
  </si>
  <si>
    <t>Dimitrov</t>
  </si>
  <si>
    <t>Yetu</t>
  </si>
  <si>
    <t>Muyabo</t>
  </si>
  <si>
    <t xml:space="preserve">Yasmina </t>
  </si>
  <si>
    <t>Yasmina</t>
  </si>
  <si>
    <t>Jean Bosco</t>
  </si>
  <si>
    <t>Afina</t>
  </si>
  <si>
    <t>Yaramis</t>
  </si>
  <si>
    <t>Tina</t>
  </si>
  <si>
    <t>Scott</t>
  </si>
  <si>
    <t>Oulad Ali</t>
  </si>
  <si>
    <t>Noah</t>
  </si>
  <si>
    <t>Rheleimi</t>
  </si>
  <si>
    <t>Abdelillah</t>
  </si>
  <si>
    <t>Gilia</t>
  </si>
  <si>
    <t>Angeletti</t>
  </si>
  <si>
    <t>Klaas</t>
  </si>
  <si>
    <t>Minten</t>
  </si>
  <si>
    <t>Raven</t>
  </si>
  <si>
    <t>Vandenhaute</t>
  </si>
  <si>
    <t>Leen</t>
  </si>
  <si>
    <t>Note</t>
  </si>
  <si>
    <t>Linda</t>
  </si>
  <si>
    <t>Azieva</t>
  </si>
  <si>
    <t>Lamyae</t>
  </si>
  <si>
    <t>Ouchbab</t>
  </si>
  <si>
    <t>Lina</t>
  </si>
  <si>
    <t>Haddaoui</t>
  </si>
  <si>
    <t>Nijholt</t>
  </si>
  <si>
    <t>Miilan</t>
  </si>
  <si>
    <t xml:space="preserve">Rayan </t>
  </si>
  <si>
    <t>Bougrine</t>
  </si>
  <si>
    <t>Rayan</t>
  </si>
  <si>
    <t>Tiernan</t>
  </si>
  <si>
    <t>O'Rourke</t>
  </si>
  <si>
    <t>35u00</t>
  </si>
  <si>
    <t>O Rourke</t>
  </si>
  <si>
    <t>30u00</t>
  </si>
  <si>
    <t xml:space="preserve">Gilia </t>
  </si>
  <si>
    <t>Silke</t>
  </si>
  <si>
    <t>Daemen</t>
  </si>
  <si>
    <t>FD</t>
  </si>
  <si>
    <t>Mathis</t>
  </si>
  <si>
    <t>Vanlommel</t>
  </si>
  <si>
    <t>Ismail</t>
  </si>
  <si>
    <t>vip</t>
  </si>
  <si>
    <t>Milan</t>
  </si>
  <si>
    <t>recup</t>
  </si>
  <si>
    <t>reccup</t>
  </si>
  <si>
    <t>41u00</t>
  </si>
  <si>
    <t>18u00</t>
  </si>
  <si>
    <t>0u00</t>
  </si>
  <si>
    <t>46u30</t>
  </si>
  <si>
    <t>41u30</t>
  </si>
  <si>
    <t>44u00</t>
  </si>
  <si>
    <t>45u00</t>
  </si>
  <si>
    <t>15u00</t>
  </si>
  <si>
    <t>46u00</t>
  </si>
  <si>
    <t xml:space="preserve">Guus </t>
  </si>
  <si>
    <t>43u00</t>
  </si>
  <si>
    <t>45u30</t>
  </si>
  <si>
    <t>27u00</t>
  </si>
  <si>
    <t>40u30</t>
  </si>
  <si>
    <t>42u00</t>
  </si>
  <si>
    <t>42u30</t>
  </si>
  <si>
    <t>43u30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</si>
</sst>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h]:mm"/>
    <numFmt numFmtId="165" formatCode="0.00_ ;[Red]\-0.00\ "/>
    <numFmt numFmtId="166" formatCode="_-* #,##0.00\ [$€]_-;\-* #,##0.00\ [$€]_-;_-* &quot;-&quot;??\ [$€]_-;_-@_-"/>
    <numFmt numFmtId="167" formatCode="d/m/yyyy\ h:mm"/>
  </numFmts>
  <fonts count="12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color theme="3" tint="-0.249977111117893"/>
      <name val="Arial"/>
      <family val="2"/>
    </font>
    <font>
      <b/>
      <sz val="10"/>
      <color indexed="10"/>
      <name val="Arial"/>
      <family val="2"/>
    </font>
    <font>
      <sz val="10"/>
      <color theme="3"/>
      <name val="Arial"/>
      <family val="2"/>
    </font>
    <font>
      <b/>
      <sz val="10"/>
      <color theme="6" tint="-0.249977111117893"/>
      <name val="Arial"/>
      <family val="2"/>
    </font>
    <font>
      <b/>
      <sz val="10"/>
      <color theme="3" tint="-0.249977111117893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102">
    <xf numFmtId="0" fontId="0" fillId="0" borderId="0" xfId="0"/>
    <xf numFmtId="0" fontId="0" fillId="0" borderId="0" xfId="0" applyAlignment="1">
      <alignment horizontal="center"/>
    </xf>
    <xf numFmtId="20" fontId="0" fillId="0" borderId="1" xfId="0" applyNumberFormat="1" applyBorder="1" applyAlignment="1" applyProtection="1">
      <alignment horizontal="center"/>
      <protection locked="0"/>
    </xf>
    <xf numFmtId="20" fontId="0" fillId="0" borderId="2" xfId="0" applyNumberFormat="1" applyBorder="1" applyAlignment="1" applyProtection="1">
      <alignment horizontal="center"/>
      <protection locked="0"/>
    </xf>
    <xf numFmtId="20" fontId="2" fillId="0" borderId="2" xfId="0" applyNumberFormat="1" applyFont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20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0" xfId="0" applyNumberFormat="1" applyFill="1"/>
    <xf numFmtId="2" fontId="0" fillId="2" borderId="0" xfId="0" applyNumberFormat="1" applyFill="1" applyAlignment="1">
      <alignment horizontal="center"/>
    </xf>
    <xf numFmtId="2" fontId="0" fillId="2" borderId="0" xfId="0" applyNumberFormat="1" applyFill="1"/>
    <xf numFmtId="164" fontId="0" fillId="2" borderId="0" xfId="0" applyNumberFormat="1" applyFill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0" fontId="0" fillId="2" borderId="0" xfId="0" applyNumberFormat="1" applyFill="1"/>
    <xf numFmtId="16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14" fontId="1" fillId="0" borderId="0" xfId="0" applyNumberFormat="1" applyFont="1"/>
    <xf numFmtId="16" fontId="1" fillId="0" borderId="0" xfId="0" applyNumberFormat="1" applyFont="1"/>
    <xf numFmtId="20" fontId="1" fillId="0" borderId="1" xfId="0" applyNumberFormat="1" applyFont="1" applyBorder="1" applyAlignment="1" applyProtection="1">
      <alignment horizontal="center"/>
      <protection locked="0"/>
    </xf>
    <xf numFmtId="20" fontId="1" fillId="0" borderId="2" xfId="0" applyNumberFormat="1" applyFont="1" applyBorder="1" applyAlignment="1" applyProtection="1">
      <alignment horizontal="center"/>
      <protection locked="0"/>
    </xf>
    <xf numFmtId="2" fontId="0" fillId="0" borderId="0" xfId="0" applyNumberFormat="1"/>
    <xf numFmtId="0" fontId="0" fillId="0" borderId="0" xfId="0" applyAlignment="1">
      <alignment horizontal="right"/>
    </xf>
    <xf numFmtId="16" fontId="0" fillId="0" borderId="0" xfId="0" applyNumberFormat="1" applyAlignment="1">
      <alignment horizontal="center"/>
    </xf>
    <xf numFmtId="16" fontId="4" fillId="4" borderId="0" xfId="0" applyNumberFormat="1" applyFont="1" applyFill="1" applyAlignment="1">
      <alignment horizontal="center"/>
    </xf>
    <xf numFmtId="0" fontId="0" fillId="2" borderId="15" xfId="0" applyFill="1" applyBorder="1"/>
    <xf numFmtId="20" fontId="3" fillId="0" borderId="16" xfId="0" applyNumberFormat="1" applyFont="1" applyBorder="1" applyAlignment="1" applyProtection="1">
      <alignment horizontal="center"/>
      <protection locked="0"/>
    </xf>
    <xf numFmtId="0" fontId="0" fillId="2" borderId="17" xfId="0" applyFill="1" applyBorder="1" applyAlignment="1">
      <alignment horizontal="center"/>
    </xf>
    <xf numFmtId="0" fontId="1" fillId="2" borderId="7" xfId="0" applyFont="1" applyFill="1" applyBorder="1"/>
    <xf numFmtId="20" fontId="6" fillId="0" borderId="4" xfId="0" applyNumberFormat="1" applyFont="1" applyBorder="1" applyAlignment="1" applyProtection="1">
      <alignment horizontal="center"/>
      <protection locked="0"/>
    </xf>
    <xf numFmtId="0" fontId="1" fillId="0" borderId="10" xfId="2" applyBorder="1" applyAlignment="1">
      <alignment vertical="top"/>
    </xf>
    <xf numFmtId="0" fontId="1" fillId="0" borderId="12" xfId="2" applyBorder="1" applyAlignment="1">
      <alignment vertical="top"/>
    </xf>
    <xf numFmtId="0" fontId="1" fillId="0" borderId="0" xfId="2" applyAlignment="1">
      <alignment vertical="top"/>
    </xf>
    <xf numFmtId="0" fontId="1" fillId="0" borderId="13" xfId="2" applyBorder="1" applyAlignment="1">
      <alignment vertical="top"/>
    </xf>
    <xf numFmtId="0" fontId="1" fillId="0" borderId="11" xfId="2" applyBorder="1" applyAlignment="1">
      <alignment vertical="top"/>
    </xf>
    <xf numFmtId="0" fontId="1" fillId="0" borderId="14" xfId="2" applyBorder="1" applyAlignment="1">
      <alignment vertical="top"/>
    </xf>
    <xf numFmtId="2" fontId="1" fillId="2" borderId="2" xfId="0" applyNumberFormat="1" applyFont="1" applyFill="1" applyBorder="1" applyAlignment="1">
      <alignment horizontal="center"/>
    </xf>
    <xf numFmtId="2" fontId="1" fillId="2" borderId="3" xfId="0" applyNumberFormat="1" applyFont="1" applyFill="1" applyBorder="1" applyAlignment="1">
      <alignment horizontal="center"/>
    </xf>
    <xf numFmtId="20" fontId="0" fillId="0" borderId="18" xfId="0" applyNumberFormat="1" applyBorder="1" applyAlignment="1" applyProtection="1">
      <alignment horizontal="center"/>
      <protection locked="0"/>
    </xf>
    <xf numFmtId="0" fontId="1" fillId="0" borderId="0" xfId="0" applyFont="1"/>
    <xf numFmtId="16" fontId="5" fillId="0" borderId="21" xfId="0" applyNumberFormat="1" applyFont="1" applyBorder="1" applyAlignment="1">
      <alignment horizontal="center"/>
    </xf>
    <xf numFmtId="0" fontId="0" fillId="0" borderId="0" xfId="0" applyAlignment="1" applyProtection="1">
      <alignment horizontal="left"/>
      <protection locked="0"/>
    </xf>
    <xf numFmtId="167" fontId="0" fillId="0" borderId="0" xfId="0" applyNumberFormat="1" applyAlignment="1">
      <alignment horizontal="left"/>
    </xf>
    <xf numFmtId="0" fontId="1" fillId="0" borderId="0" xfId="0" applyFont="1" applyAlignment="1">
      <alignment horizontal="right"/>
    </xf>
    <xf numFmtId="0" fontId="4" fillId="0" borderId="0" xfId="0" applyFont="1"/>
    <xf numFmtId="16" fontId="4" fillId="5" borderId="0" xfId="0" applyNumberFormat="1" applyFont="1" applyFill="1" applyAlignment="1">
      <alignment horizontal="left"/>
    </xf>
    <xf numFmtId="20" fontId="5" fillId="0" borderId="16" xfId="0" applyNumberFormat="1" applyFont="1" applyBorder="1" applyAlignment="1" applyProtection="1">
      <alignment horizontal="center"/>
      <protection locked="0"/>
    </xf>
    <xf numFmtId="20" fontId="5" fillId="0" borderId="4" xfId="0" applyNumberFormat="1" applyFont="1" applyBorder="1" applyAlignment="1" applyProtection="1">
      <alignment horizontal="center"/>
      <protection locked="0"/>
    </xf>
    <xf numFmtId="2" fontId="1" fillId="4" borderId="2" xfId="0" applyNumberFormat="1" applyFont="1" applyFill="1" applyBorder="1" applyAlignment="1">
      <alignment horizontal="center"/>
    </xf>
    <xf numFmtId="20" fontId="7" fillId="0" borderId="16" xfId="0" applyNumberFormat="1" applyFont="1" applyBorder="1" applyAlignment="1" applyProtection="1">
      <alignment horizontal="center"/>
      <protection locked="0"/>
    </xf>
    <xf numFmtId="2" fontId="1" fillId="6" borderId="2" xfId="0" applyNumberFormat="1" applyFont="1" applyFill="1" applyBorder="1" applyAlignment="1">
      <alignment horizontal="center"/>
    </xf>
    <xf numFmtId="20" fontId="8" fillId="0" borderId="2" xfId="0" applyNumberFormat="1" applyFont="1" applyBorder="1" applyAlignment="1" applyProtection="1">
      <alignment horizontal="center"/>
      <protection locked="0"/>
    </xf>
    <xf numFmtId="2" fontId="0" fillId="4" borderId="2" xfId="0" applyNumberFormat="1" applyFill="1" applyBorder="1" applyAlignment="1">
      <alignment horizontal="center"/>
    </xf>
    <xf numFmtId="20" fontId="1" fillId="0" borderId="20" xfId="0" applyNumberFormat="1" applyFont="1" applyBorder="1" applyAlignment="1">
      <alignment horizontal="center"/>
    </xf>
    <xf numFmtId="20" fontId="1" fillId="0" borderId="19" xfId="0" applyNumberFormat="1" applyFont="1" applyBorder="1" applyAlignment="1">
      <alignment horizontal="center"/>
    </xf>
    <xf numFmtId="0" fontId="4" fillId="4" borderId="0" xfId="0" applyFont="1" applyFill="1" applyAlignment="1">
      <alignment horizontal="center"/>
    </xf>
    <xf numFmtId="16" fontId="0" fillId="2" borderId="0" xfId="0" applyNumberFormat="1" applyFill="1" applyAlignment="1">
      <alignment horizontal="center"/>
    </xf>
    <xf numFmtId="0" fontId="4" fillId="0" borderId="0" xfId="2" applyFont="1" applyAlignment="1">
      <alignment vertical="top"/>
    </xf>
    <xf numFmtId="20" fontId="4" fillId="0" borderId="19" xfId="0" applyNumberFormat="1" applyFont="1" applyBorder="1" applyAlignment="1">
      <alignment horizontal="center"/>
    </xf>
    <xf numFmtId="20" fontId="10" fillId="0" borderId="4" xfId="0" applyNumberFormat="1" applyFont="1" applyBorder="1" applyAlignment="1" applyProtection="1">
      <alignment horizontal="center"/>
      <protection locked="0"/>
    </xf>
    <xf numFmtId="20" fontId="1" fillId="0" borderId="4" xfId="0" applyNumberFormat="1" applyFont="1" applyBorder="1" applyAlignment="1" applyProtection="1">
      <alignment horizontal="center"/>
      <protection locked="0"/>
    </xf>
    <xf numFmtId="20" fontId="1" fillId="0" borderId="16" xfId="0" applyNumberFormat="1" applyFont="1" applyBorder="1" applyAlignment="1" applyProtection="1">
      <alignment horizontal="center"/>
      <protection locked="0"/>
    </xf>
    <xf numFmtId="46" fontId="4" fillId="0" borderId="0" xfId="2" applyNumberFormat="1" applyFont="1" applyAlignment="1">
      <alignment vertical="top"/>
    </xf>
    <xf numFmtId="20" fontId="1" fillId="7" borderId="1" xfId="0" applyNumberFormat="1" applyFont="1" applyFill="1" applyBorder="1" applyAlignment="1" applyProtection="1">
      <alignment horizontal="center"/>
      <protection locked="0"/>
    </xf>
    <xf numFmtId="2" fontId="1" fillId="4" borderId="3" xfId="0" applyNumberFormat="1" applyFont="1" applyFill="1" applyBorder="1" applyAlignment="1">
      <alignment horizontal="center"/>
    </xf>
    <xf numFmtId="16" fontId="9" fillId="0" borderId="21" xfId="0" applyNumberFormat="1" applyFont="1" applyBorder="1" applyAlignment="1">
      <alignment horizontal="center"/>
    </xf>
    <xf numFmtId="20" fontId="0" fillId="0" borderId="0" xfId="0" applyNumberFormat="1" applyAlignment="1">
      <alignment horizontal="center"/>
    </xf>
    <xf numFmtId="0" fontId="1" fillId="0" borderId="10" xfId="2" applyFill="1" applyBorder="1" applyAlignment="1">
      <alignment vertical="top"/>
    </xf>
    <xf numFmtId="0" fontId="1" fillId="0" borderId="12" xfId="2" applyFill="1" applyBorder="1" applyAlignment="1">
      <alignment vertical="top"/>
    </xf>
    <xf numFmtId="0" fontId="1" fillId="0" borderId="0" xfId="2" applyFill="1" applyAlignment="1">
      <alignment vertical="top"/>
    </xf>
    <xf numFmtId="0" fontId="1" fillId="0" borderId="13" xfId="2" applyFill="1" applyBorder="1" applyAlignment="1">
      <alignment vertical="top"/>
    </xf>
    <xf numFmtId="0" fontId="4" fillId="0" borderId="0" xfId="2" applyFont="1" applyFill="1" applyAlignment="1">
      <alignment vertical="top"/>
    </xf>
    <xf numFmtId="0" fontId="1" fillId="0" borderId="11" xfId="2" applyFill="1" applyBorder="1" applyAlignment="1">
      <alignment vertical="top"/>
    </xf>
    <xf numFmtId="0" fontId="1" fillId="0" borderId="14" xfId="2" applyFill="1" applyBorder="1" applyAlignment="1">
      <alignment vertical="top"/>
    </xf>
    <xf numFmtId="0" fontId="1" fillId="8" borderId="10" xfId="2" applyFill="1" applyBorder="1" applyAlignment="1">
      <alignment vertical="top"/>
    </xf>
    <xf numFmtId="0" fontId="1" fillId="8" borderId="12" xfId="2" applyFill="1" applyBorder="1" applyAlignment="1">
      <alignment vertical="top"/>
    </xf>
    <xf numFmtId="0" fontId="1" fillId="8" borderId="0" xfId="2" applyFill="1" applyAlignment="1">
      <alignment vertical="top"/>
    </xf>
    <xf numFmtId="0" fontId="1" fillId="8" borderId="13" xfId="2" applyFill="1" applyBorder="1" applyAlignment="1">
      <alignment vertical="top"/>
    </xf>
    <xf numFmtId="0" fontId="4" fillId="8" borderId="0" xfId="2" applyFont="1" applyFill="1" applyAlignment="1">
      <alignment vertical="top"/>
    </xf>
    <xf numFmtId="0" fontId="1" fillId="8" borderId="11" xfId="2" applyFill="1" applyBorder="1" applyAlignment="1">
      <alignment vertical="top"/>
    </xf>
    <xf numFmtId="0" fontId="1" fillId="8" borderId="14" xfId="2" applyFill="1" applyBorder="1" applyAlignment="1">
      <alignment vertical="top"/>
    </xf>
    <xf numFmtId="0" fontId="4" fillId="9" borderId="0" xfId="0" applyFont="1" applyFill="1" applyAlignment="1">
      <alignment horizontal="center"/>
    </xf>
    <xf numFmtId="16" fontId="4" fillId="9" borderId="0" xfId="0" applyNumberFormat="1" applyFont="1" applyFill="1" applyAlignment="1">
      <alignment horizontal="center"/>
    </xf>
    <xf numFmtId="0" fontId="0" fillId="2" borderId="22" xfId="0" applyFill="1" applyBorder="1"/>
    <xf numFmtId="20" fontId="3" fillId="0" borderId="23" xfId="0" applyNumberFormat="1" applyFont="1" applyBorder="1" applyAlignment="1" applyProtection="1">
      <alignment horizontal="center"/>
      <protection locked="0"/>
    </xf>
    <xf numFmtId="0" fontId="4" fillId="0" borderId="11" xfId="2" applyFont="1" applyBorder="1" applyAlignment="1">
      <alignment vertical="top"/>
    </xf>
    <xf numFmtId="20" fontId="3" fillId="0" borderId="4" xfId="0" applyNumberFormat="1" applyFont="1" applyBorder="1" applyAlignment="1" applyProtection="1">
      <alignment horizontal="center"/>
      <protection locked="0"/>
    </xf>
    <xf numFmtId="0" fontId="0" fillId="2" borderId="24" xfId="0" applyFill="1" applyBorder="1" applyAlignment="1">
      <alignment horizontal="center"/>
    </xf>
    <xf numFmtId="20" fontId="1" fillId="0" borderId="18" xfId="0" applyNumberFormat="1" applyFont="1" applyBorder="1" applyAlignment="1" applyProtection="1">
      <alignment horizontal="center"/>
      <protection locked="0"/>
    </xf>
    <xf numFmtId="0" fontId="0" fillId="2" borderId="7" xfId="0" applyFill="1" applyBorder="1"/>
    <xf numFmtId="2" fontId="0" fillId="2" borderId="24" xfId="0" applyNumberFormat="1" applyFill="1" applyBorder="1" applyAlignment="1">
      <alignment horizontal="center"/>
    </xf>
    <xf numFmtId="0" fontId="1" fillId="0" borderId="0" xfId="2" applyFont="1" applyAlignment="1">
      <alignment vertical="top"/>
    </xf>
    <xf numFmtId="20" fontId="11" fillId="0" borderId="23" xfId="0" applyNumberFormat="1" applyFont="1" applyBorder="1" applyAlignment="1" applyProtection="1">
      <alignment horizontal="center"/>
      <protection locked="0"/>
    </xf>
    <xf numFmtId="20" fontId="11" fillId="0" borderId="16" xfId="0" applyNumberFormat="1" applyFont="1" applyBorder="1" applyAlignment="1" applyProtection="1">
      <alignment horizontal="center"/>
      <protection locked="0"/>
    </xf>
    <xf numFmtId="20" fontId="11" fillId="0" borderId="4" xfId="0" applyNumberFormat="1" applyFont="1" applyBorder="1" applyAlignment="1" applyProtection="1">
      <alignment horizontal="center"/>
      <protection locked="0"/>
    </xf>
  </cellXfs>
  <cellStyles count="3">
    <cellStyle name="Euro" xfId="1"/>
    <cellStyle name="Standaard" xfId="0" builtinId="0"/>
    <cellStyle name="Standaard 2" xfId="2"/>
  </cellStyles>
  <dxfs count="0"/>
  <tableStyles count="0" defaultTableStyle="TableStyleMedium9" defaultPivotStyle="PivotStyleLight16"/>
  <colors>
    <mruColors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>
    <tabColor theme="0"/>
  </sheetPr>
  <dimension ref="A1:AJ448"/>
  <sheetViews>
    <sheetView zoomScale="80" zoomScaleNormal="80" workbookViewId="0">
      <pane ySplit="2" topLeftCell="A382" activePane="bottomLeft" state="frozen"/>
      <selection activeCell="K6" sqref="K6"/>
      <selection pane="bottomLeft" activeCell="A270" sqref="A270"/>
    </sheetView>
  </sheetViews>
  <sheetFormatPr defaultRowHeight="12.75" x14ac:dyDescent="0.2"/>
  <cols>
    <col min="1" max="1" width="16.5703125" customWidth="1"/>
    <col min="2" max="2" width="20.140625" customWidth="1"/>
    <col min="3" max="3" width="7.28515625" customWidth="1"/>
    <col min="4" max="4" width="13.7109375" style="1" hidden="1" customWidth="1"/>
    <col min="5" max="5" width="10.85546875" style="1" customWidth="1"/>
    <col min="6" max="6" width="9.85546875" style="1" customWidth="1"/>
    <col min="7" max="7" width="10.85546875" style="1" customWidth="1"/>
    <col min="8" max="8" width="12.85546875" style="1" customWidth="1"/>
    <col min="9" max="9" width="11.7109375" style="1" customWidth="1"/>
    <col min="10" max="10" width="14.140625" style="1" bestFit="1" customWidth="1"/>
    <col min="11" max="11" width="9.140625" style="1"/>
    <col min="13" max="13" width="46.42578125" customWidth="1"/>
    <col min="14" max="14" width="6" customWidth="1"/>
    <col min="15" max="15" width="6.140625" bestFit="1" customWidth="1"/>
    <col min="16" max="16" width="5.7109375" customWidth="1"/>
    <col min="17" max="17" width="6.140625" bestFit="1" customWidth="1"/>
    <col min="18" max="19" width="5.7109375" customWidth="1"/>
    <col min="20" max="20" width="6.140625" bestFit="1" customWidth="1"/>
    <col min="21" max="21" width="2.42578125" customWidth="1"/>
    <col min="22" max="23" width="6.140625" bestFit="1" customWidth="1"/>
    <col min="24" max="28" width="5.7109375" customWidth="1"/>
    <col min="30" max="31" width="2.28515625" customWidth="1"/>
    <col min="32" max="32" width="2.42578125" customWidth="1"/>
    <col min="33" max="33" width="2.28515625" customWidth="1"/>
    <col min="34" max="34" width="2.42578125" customWidth="1"/>
    <col min="35" max="36" width="2" customWidth="1"/>
  </cols>
  <sheetData>
    <row r="1" spans="1:36" ht="13.5" customHeight="1" x14ac:dyDescent="0.2">
      <c r="A1" s="50" t="s">
        <v>34</v>
      </c>
      <c r="B1" s="49">
        <v>42768</v>
      </c>
      <c r="C1" s="6"/>
      <c r="D1" s="88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  <c r="AD1" s="6"/>
      <c r="AE1" s="6"/>
      <c r="AF1" s="6"/>
      <c r="AG1" s="6"/>
      <c r="AH1" s="6"/>
      <c r="AI1" s="6"/>
      <c r="AJ1" s="6"/>
    </row>
    <row r="2" spans="1:36" ht="13.5" thickBot="1" x14ac:dyDescent="0.25">
      <c r="A2" s="29"/>
      <c r="B2" s="48"/>
      <c r="C2" s="6"/>
      <c r="D2" s="89">
        <v>45413</v>
      </c>
      <c r="E2" s="31">
        <v>45505</v>
      </c>
      <c r="F2" s="31">
        <v>45506</v>
      </c>
      <c r="G2" s="31">
        <v>45507</v>
      </c>
      <c r="H2" s="31">
        <v>45508</v>
      </c>
      <c r="I2" s="31">
        <v>45509</v>
      </c>
      <c r="J2" s="31">
        <v>45510</v>
      </c>
      <c r="K2" s="5" t="s">
        <v>6</v>
      </c>
      <c r="L2" s="5" t="s">
        <v>14</v>
      </c>
      <c r="M2" s="51" t="s">
        <v>32</v>
      </c>
      <c r="O2" s="21"/>
      <c r="AD2" s="6" t="s">
        <v>21</v>
      </c>
      <c r="AE2" s="6" t="s">
        <v>22</v>
      </c>
      <c r="AF2" s="6" t="s">
        <v>23</v>
      </c>
      <c r="AG2" s="6" t="s">
        <v>22</v>
      </c>
      <c r="AH2" s="6" t="s">
        <v>24</v>
      </c>
      <c r="AI2" s="6" t="s">
        <v>25</v>
      </c>
      <c r="AJ2" s="6" t="s">
        <v>25</v>
      </c>
    </row>
    <row r="3" spans="1:36" ht="17.25" customHeight="1" thickBot="1" x14ac:dyDescent="0.25">
      <c r="A3" s="6" t="s">
        <v>30</v>
      </c>
      <c r="B3" s="6" t="s">
        <v>35</v>
      </c>
      <c r="C3" s="6"/>
      <c r="D3" s="61" t="s">
        <v>156</v>
      </c>
      <c r="E3" s="61"/>
      <c r="F3" s="61"/>
      <c r="G3" s="61"/>
      <c r="H3" s="61"/>
      <c r="I3" s="60"/>
      <c r="J3" s="60"/>
      <c r="K3" s="5"/>
      <c r="L3" s="6"/>
      <c r="M3" s="52" t="s">
        <v>39</v>
      </c>
      <c r="AD3" s="6"/>
      <c r="AE3" s="6"/>
      <c r="AF3" s="6"/>
      <c r="AG3" s="6"/>
      <c r="AH3" s="6"/>
      <c r="AI3" s="6"/>
      <c r="AJ3" s="6"/>
    </row>
    <row r="4" spans="1:36" x14ac:dyDescent="0.2">
      <c r="A4" s="74" t="s">
        <v>88</v>
      </c>
      <c r="B4" s="75" t="s">
        <v>47</v>
      </c>
      <c r="C4" s="14" t="s">
        <v>0</v>
      </c>
      <c r="D4" s="2"/>
      <c r="E4" s="45"/>
      <c r="F4" s="2">
        <v>0.54166666666666663</v>
      </c>
      <c r="G4" s="45"/>
      <c r="H4" s="2"/>
      <c r="I4" s="2"/>
      <c r="J4" s="45"/>
      <c r="K4" s="16"/>
      <c r="L4" s="6"/>
      <c r="M4" s="21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D4" s="6">
        <f>IF((D4&lt;&gt;"")*(D8=""),IF((D4&lt;=$B$440)*((D5&gt;=$C$440)+(D5&lt;2/24)),1,0),0)</f>
        <v>0</v>
      </c>
      <c r="AE4" s="6">
        <f>IF((E4&lt;&gt;"")*(E8=""),IF((E4&lt;=$B$440)*((E5&gt;=$C$440)+(E5&lt;2/24)),1,0),0)</f>
        <v>0</v>
      </c>
      <c r="AF4" s="6">
        <f>IF((F4&lt;&gt;"")*(F8=""),IF((F4&lt;=$B$440)*((F5&gt;=$C$440)+(F5&lt;2/24)),1,0),0)</f>
        <v>0</v>
      </c>
      <c r="AG4" s="6">
        <f>IF((G4&lt;&gt;"")*(G8=""),IF((G4&lt;=$B$440)*((G5&gt;=$C$440)+(G5&lt;2/24)),1,0),0)</f>
        <v>0</v>
      </c>
      <c r="AH4" s="6">
        <f>IF((H4&lt;&gt;"")*(H8=""),IF((H4&lt;=$B$440)*((H5&gt;=$C$440)+(H5&lt;2/24)),1,0),0)</f>
        <v>0</v>
      </c>
      <c r="AI4" s="6">
        <f>IF((I4&lt;&gt;"")*(I8=""),IF((I4&lt;=$B$440)*((I5&gt;=$C$440)+(I5&lt;2/24)),1,0),0)</f>
        <v>0</v>
      </c>
      <c r="AJ4" s="6">
        <f>IF((J4&lt;&gt;"")*(J8=""),IF((J4&lt;=$B$440)*((J5&gt;=$C$440)+(J5&lt;2/24)),1,0),0)</f>
        <v>0</v>
      </c>
    </row>
    <row r="5" spans="1:36" x14ac:dyDescent="0.2">
      <c r="A5" s="76"/>
      <c r="B5" s="77"/>
      <c r="C5" s="15" t="s">
        <v>1</v>
      </c>
      <c r="D5" s="3"/>
      <c r="E5" s="3"/>
      <c r="F5" s="3">
        <v>0.75</v>
      </c>
      <c r="G5" s="3"/>
      <c r="H5" s="3"/>
      <c r="I5" s="3"/>
      <c r="J5" s="3"/>
      <c r="K5" s="17"/>
      <c r="L5" s="6"/>
      <c r="M5" s="2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D5" s="6">
        <f>IF((D4&lt;&gt;"")*(D8=""),IF((D4&lt;=$B$441)*((D5&gt;=$C$441)+(D5&lt;2/24)),1,0),0)</f>
        <v>0</v>
      </c>
      <c r="AE5" s="6">
        <f>IF((E4&lt;&gt;"")*(E8=""),IF((E4&lt;=$B$441)*((E5&gt;=$C$441)+(E5&lt;2/24)),1,0),0)</f>
        <v>0</v>
      </c>
      <c r="AF5" s="6">
        <f>IF((F4&lt;&gt;"")*(F8=""),IF((F4&lt;=$B$441)*((F5&gt;=$C$441)+(F5&lt;2/24)),1,0),0)</f>
        <v>1</v>
      </c>
      <c r="AG5" s="6">
        <f>IF((G4&lt;&gt;"")*(G8=""),IF((G4&lt;=$B$441)*((G5&gt;=$C$441)+(G5&lt;2/24)),1,0),0)</f>
        <v>0</v>
      </c>
      <c r="AH5" s="6">
        <f>IF((H4&lt;&gt;"")*(H8=""),IF((H4&lt;=$B$441)*((H5&gt;=$C$441)+(H5&lt;2/24)),1,0),0)</f>
        <v>0</v>
      </c>
      <c r="AI5" s="6">
        <f>IF((I4&lt;&gt;"")*(I8=""),IF((I4&lt;=$B$441)*((I5&gt;=$C$441)+(I5&lt;2/24)),1,0),0)</f>
        <v>0</v>
      </c>
      <c r="AJ5" s="6">
        <f>IF((J4&lt;&gt;"")*(J8=""),IF((J4&lt;=$B$441)*((J5&gt;=$C$441)+(J5&lt;2/24)),1,0),0)</f>
        <v>0</v>
      </c>
    </row>
    <row r="6" spans="1:36" x14ac:dyDescent="0.2">
      <c r="A6" s="78" t="s">
        <v>164</v>
      </c>
      <c r="B6" s="77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D6" s="6">
        <f>IF((D4&lt;&gt;"")*(D8=""),IF((D4&lt;=$B$442)*((D5&gt;=$C$442)+(D5&lt;2/24)),1,0),0)</f>
        <v>0</v>
      </c>
      <c r="AE6" s="6">
        <f>IF((E4&lt;&gt;"")*(E8=""),IF((E4&lt;=$B$442)*((E5&gt;=$C$442)+(E5&lt;2/24)),1,0),0)</f>
        <v>0</v>
      </c>
      <c r="AF6" s="6">
        <f>IF((F4&lt;&gt;"")*(F8=""),IF((F4&lt;=$B$442)*((F5&gt;=$C$442)+(F5&lt;2/24)),1,0),0)</f>
        <v>0</v>
      </c>
      <c r="AG6" s="6">
        <f>IF((G4&lt;&gt;"")*(G8=""),IF((G4&lt;=$B$442)*((G5&gt;=$C$442)+(G5&lt;2/24)),1,0),0)</f>
        <v>0</v>
      </c>
      <c r="AH6" s="6">
        <f>IF((H4&lt;&gt;"")*(H8=""),IF((H4&lt;=$B$442)*((H5&gt;=$C$442)+(H5&lt;2/24)),1,0),0)</f>
        <v>0</v>
      </c>
      <c r="AI6" s="6">
        <f>IF((I4&lt;&gt;"")*(I8=""),IF((I4&lt;=$B$442)*((I5&gt;=$C$442)+(I5&lt;2/24)),1,0),0)</f>
        <v>0</v>
      </c>
      <c r="AJ6" s="6">
        <f>IF((J4&lt;&gt;"")*(J8=""),IF((J4&lt;=$B$442)*((J5&gt;=$C$442)+(J5&lt;2/24)),1,0),0)</f>
        <v>0</v>
      </c>
    </row>
    <row r="7" spans="1:36" x14ac:dyDescent="0.2">
      <c r="A7" s="78" t="s">
        <v>150</v>
      </c>
      <c r="B7" s="77"/>
      <c r="C7" s="15" t="s">
        <v>3</v>
      </c>
      <c r="D7" s="19"/>
      <c r="E7" s="19"/>
      <c r="F7" s="43">
        <v>5</v>
      </c>
      <c r="G7" s="19"/>
      <c r="H7" s="19"/>
      <c r="I7" s="19"/>
      <c r="J7" s="19"/>
      <c r="K7" s="18">
        <f>SUMIF(D8:J8,"",D7:J7)</f>
        <v>5</v>
      </c>
      <c r="L7" s="12">
        <f>SUM(D7:J7)</f>
        <v>5</v>
      </c>
      <c r="M7" s="24"/>
      <c r="N7" s="10">
        <f t="shared" ref="N7:T7" si="0">IF(D8="",D7,0)</f>
        <v>0</v>
      </c>
      <c r="O7" s="10">
        <f t="shared" si="0"/>
        <v>0</v>
      </c>
      <c r="P7" s="10">
        <f t="shared" si="0"/>
        <v>5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0</v>
      </c>
      <c r="U7" s="10"/>
      <c r="V7" s="10">
        <f t="shared" ref="V7:AB7" si="1">D7</f>
        <v>0</v>
      </c>
      <c r="W7" s="10">
        <f t="shared" si="1"/>
        <v>0</v>
      </c>
      <c r="X7" s="10">
        <f t="shared" si="1"/>
        <v>5</v>
      </c>
      <c r="Y7" s="10">
        <f t="shared" si="1"/>
        <v>0</v>
      </c>
      <c r="Z7" s="10">
        <f t="shared" si="1"/>
        <v>0</v>
      </c>
      <c r="AA7" s="10">
        <f t="shared" si="1"/>
        <v>0</v>
      </c>
      <c r="AB7" s="10">
        <f t="shared" si="1"/>
        <v>0</v>
      </c>
      <c r="AD7" s="6">
        <f>IF((D4&lt;&gt;"")*(D8=""),IF((D4&lt;=$B$443)*((D5&gt;=$C$443)+(D5&lt;2/24)),1,0),0)</f>
        <v>0</v>
      </c>
      <c r="AE7" s="6">
        <f>IF((E4&lt;&gt;"")*(E8=""),IF((E4&lt;=$B$443)*((E5&gt;=$C$443)+(E5&lt;2/24)),1,0),0)</f>
        <v>0</v>
      </c>
      <c r="AF7" s="6">
        <f>IF((F4&lt;&gt;"")*(F8=""),IF((F4&lt;=$B$443)*((F5&gt;=$C$443)+(F5&lt;2/24)),1,0),0)</f>
        <v>1</v>
      </c>
      <c r="AG7" s="6">
        <f>IF((G4&lt;&gt;"")*(G8=""),IF((G4&lt;=$B$443)*((G5&gt;=$C$443)+(G5&lt;2/24)),1,0),0)</f>
        <v>0</v>
      </c>
      <c r="AH7" s="6">
        <f>IF((H4&lt;&gt;"")*(H8=""),IF((H4&lt;=$B$443)*((H5&gt;=$C$443)+(H5&lt;2/24)),1,0),0)</f>
        <v>0</v>
      </c>
      <c r="AI7" s="6">
        <f>IF((I4&lt;&gt;"")*(I8=""),IF((I4&lt;=$B$443)*((I5&gt;=$C$443)+(I5&lt;2/24)),1,0),0)</f>
        <v>0</v>
      </c>
      <c r="AJ7" s="6">
        <f>IF((J4&lt;&gt;"")*(J8=""),IF((J4&lt;=$B$443)*((J5&gt;=$C$443)+(J5&lt;2/24)),1,0),0)</f>
        <v>0</v>
      </c>
    </row>
    <row r="8" spans="1:36" x14ac:dyDescent="0.2">
      <c r="A8" s="76"/>
      <c r="B8" s="77"/>
      <c r="C8" s="32" t="s">
        <v>4</v>
      </c>
      <c r="D8" s="53"/>
      <c r="E8" s="33"/>
      <c r="F8" s="33"/>
      <c r="G8" s="33"/>
      <c r="H8" s="33"/>
      <c r="I8" s="33"/>
      <c r="J8" s="33"/>
      <c r="K8" s="17"/>
      <c r="L8" s="6"/>
      <c r="M8" s="25"/>
      <c r="N8" s="6"/>
      <c r="O8" s="6"/>
      <c r="P8" s="6"/>
      <c r="Q8" s="6"/>
      <c r="R8" s="6"/>
      <c r="S8" s="6"/>
      <c r="T8" s="6"/>
      <c r="U8" s="6"/>
      <c r="V8" s="20"/>
      <c r="W8" s="20"/>
      <c r="X8" s="20"/>
      <c r="Y8" s="20"/>
      <c r="Z8" s="20"/>
      <c r="AA8" s="20"/>
      <c r="AB8" s="20"/>
      <c r="AD8" s="6">
        <f>IF((D4&lt;&gt;"")*(D8=""),IF((D4&lt;=$B$444)*((D5&gt;=$C$444)+(D5&lt;2/24)),1,0),0)</f>
        <v>0</v>
      </c>
      <c r="AE8" s="6">
        <f>IF((E4&lt;&gt;"")*(E8=""),IF((E4&lt;=$B$444)*((E5&gt;=$C$444)+(E5&lt;2/24)),1,0),0)</f>
        <v>0</v>
      </c>
      <c r="AF8" s="6">
        <f>IF((F4&lt;&gt;"")*(F8=""),IF((F4&lt;=$B$444)*((F5&gt;=$C$444)+(F5&lt;2/24)),1,0),0)</f>
        <v>1</v>
      </c>
      <c r="AG8" s="6">
        <f>IF((G4&lt;&gt;"")*(G8=""),IF((G4&lt;=$B$444)*((G5&gt;=$C$444)+(G5&lt;2/24)),1,0),0)</f>
        <v>0</v>
      </c>
      <c r="AH8" s="6">
        <f>IF((H4&lt;&gt;"")*(H8=""),IF((H4&lt;=$B$444)*((H5&gt;=$C$444)+(H5&lt;2/24)),1,0),0)</f>
        <v>0</v>
      </c>
      <c r="AI8" s="6">
        <f>IF((I4&lt;&gt;"")*(I8=""),IF((I4&lt;=$B$444)*((I5&gt;=$C$444)+(I5&lt;2/24)),1,0),0)</f>
        <v>0</v>
      </c>
      <c r="AJ8" s="6">
        <f>IF((J4&lt;&gt;"")*(J8=""),IF((J4&lt;=$B$444)*((J5&gt;=$C$444)+(J5&lt;2/24)),1,0),0)</f>
        <v>0</v>
      </c>
    </row>
    <row r="9" spans="1:36" ht="13.5" thickBot="1" x14ac:dyDescent="0.25">
      <c r="A9" s="79"/>
      <c r="B9" s="80"/>
      <c r="C9" s="35" t="s">
        <v>28</v>
      </c>
      <c r="D9" s="54"/>
      <c r="E9" s="36"/>
      <c r="F9" s="36"/>
      <c r="G9" s="36"/>
      <c r="H9" s="36"/>
      <c r="I9" s="36"/>
      <c r="J9" s="54"/>
      <c r="K9" s="34"/>
      <c r="L9" s="6"/>
      <c r="M9" s="25"/>
      <c r="N9" s="6"/>
      <c r="O9" s="6"/>
      <c r="P9" s="6"/>
      <c r="Q9" s="6"/>
      <c r="R9" s="6"/>
      <c r="S9" s="6"/>
      <c r="T9" s="6"/>
      <c r="U9" s="6"/>
      <c r="V9" s="20"/>
      <c r="W9" s="20"/>
      <c r="X9" s="20"/>
      <c r="Y9" s="20"/>
      <c r="Z9" s="20"/>
      <c r="AA9" s="20"/>
      <c r="AB9" s="20"/>
      <c r="AD9" s="6"/>
      <c r="AE9" s="6"/>
      <c r="AF9" s="6"/>
      <c r="AG9" s="6"/>
      <c r="AH9" s="6"/>
      <c r="AI9" s="6"/>
      <c r="AJ9" s="6"/>
    </row>
    <row r="10" spans="1:36" hidden="1" x14ac:dyDescent="0.2">
      <c r="A10" s="37" t="s">
        <v>29</v>
      </c>
      <c r="B10" s="38" t="s">
        <v>30</v>
      </c>
      <c r="C10" s="14" t="s">
        <v>0</v>
      </c>
      <c r="D10" s="26"/>
      <c r="E10" s="26"/>
      <c r="F10" s="26"/>
      <c r="G10" s="26"/>
      <c r="H10" s="26"/>
      <c r="I10" s="26"/>
      <c r="J10" s="26"/>
      <c r="K10" s="16"/>
      <c r="L10" s="6"/>
      <c r="M10" s="21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D10" s="6">
        <f>IF((D10&lt;&gt;"")*(D14=""),IF((D10&lt;=$B$440)*((D11&gt;=$C$440)+(D11&lt;2/24)),1,0),0)</f>
        <v>0</v>
      </c>
      <c r="AE10" s="6">
        <f>IF((E10&lt;&gt;"")*(E14=""),IF((E10&lt;=$B$440)*((E11&gt;=$C$440)+(E11&lt;2/24)),1,0),0)</f>
        <v>0</v>
      </c>
      <c r="AF10" s="6">
        <f>IF((F10&lt;&gt;"")*(F14=""),IF((F10&lt;=$B$440)*((F11&gt;=$C$440)+(F11&lt;2/24)),1,0),0)</f>
        <v>0</v>
      </c>
      <c r="AG10" s="6">
        <f>IF((G10&lt;&gt;"")*(G14=""),IF((G10&lt;=$B$440)*((G11&gt;=$C$440)+(G11&lt;2/24)),1,0),0)</f>
        <v>0</v>
      </c>
      <c r="AH10" s="6">
        <f>IF((H10&lt;&gt;"")*(H14=""),IF((H10&lt;=$B$440)*((H11&gt;=$C$440)+(H11&lt;2/24)),1,0),0)</f>
        <v>0</v>
      </c>
      <c r="AI10" s="6">
        <f>IF((I10&lt;&gt;"")*(I14=""),IF((I10&lt;=$B$440)*((I11&gt;=$C$440)+(I11&lt;2/24)),1,0),0)</f>
        <v>0</v>
      </c>
      <c r="AJ10" s="6">
        <f>IF((J10&lt;&gt;"")*(J14=""),IF((J10&lt;=$B$440)*((J11&gt;=$C$440)+(J11&lt;2/24)),1,0),0)</f>
        <v>0</v>
      </c>
    </row>
    <row r="11" spans="1:36" hidden="1" x14ac:dyDescent="0.2">
      <c r="A11" s="39"/>
      <c r="B11" s="40"/>
      <c r="C11" s="15" t="s">
        <v>1</v>
      </c>
      <c r="D11" s="27"/>
      <c r="E11" s="27"/>
      <c r="F11" s="27"/>
      <c r="G11" s="27"/>
      <c r="H11" s="27"/>
      <c r="I11" s="27"/>
      <c r="J11" s="27"/>
      <c r="K11" s="17"/>
      <c r="L11" s="6"/>
      <c r="M11" s="21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D11" s="6">
        <f>IF((D10&lt;&gt;"")*(D14=""),IF((D10&lt;=$B$441)*((D11&gt;=$C$441)+(D11&lt;2/24)),1,0),0)</f>
        <v>0</v>
      </c>
      <c r="AE11" s="6">
        <f>IF((E10&lt;&gt;"")*(E14=""),IF((E10&lt;=$B$441)*((E11&gt;=$C$441)+(E11&lt;2/24)),1,0),0)</f>
        <v>0</v>
      </c>
      <c r="AF11" s="6">
        <f>IF((F10&lt;&gt;"")*(F14=""),IF((F10&lt;=$B$441)*((F11&gt;=$C$441)+(F11&lt;2/24)),1,0),0)</f>
        <v>0</v>
      </c>
      <c r="AG11" s="6">
        <f>IF((G10&lt;&gt;"")*(G14=""),IF((G10&lt;=$B$441)*((G11&gt;=$C$441)+(G11&lt;2/24)),1,0),0)</f>
        <v>0</v>
      </c>
      <c r="AH11" s="6">
        <f>IF((H10&lt;&gt;"")*(H14=""),IF((H10&lt;=$B$441)*((H11&gt;=$C$441)+(H11&lt;2/24)),1,0),0)</f>
        <v>0</v>
      </c>
      <c r="AI11" s="6">
        <f>IF((I10&lt;&gt;"")*(I14=""),IF((I10&lt;=$B$441)*((I11&gt;=$C$441)+(I11&lt;2/24)),1,0),0)</f>
        <v>0</v>
      </c>
      <c r="AJ11" s="6">
        <f>IF((J10&lt;&gt;"")*(J14=""),IF((J10&lt;=$B$441)*((J11&gt;=$C$441)+(J11&lt;2/24)),1,0),0)</f>
        <v>0</v>
      </c>
    </row>
    <row r="12" spans="1:36" hidden="1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D12" s="6">
        <f>IF((D10&lt;&gt;"")*(D14=""),IF((D10&lt;=$B$442)*((D11&gt;=$C$442)+(D11&lt;2/24)),1,0),0)</f>
        <v>0</v>
      </c>
      <c r="AE12" s="6">
        <f>IF((E10&lt;&gt;"")*(E14=""),IF((E10&lt;=$B$442)*((E11&gt;=$C$442)+(E11&lt;2/24)),1,0),0)</f>
        <v>0</v>
      </c>
      <c r="AF12" s="6">
        <f>IF((F10&lt;&gt;"")*(F14=""),IF((F10&lt;=$B$442)*((F11&gt;=$C$442)+(F11&lt;2/24)),1,0),0)</f>
        <v>0</v>
      </c>
      <c r="AG12" s="6">
        <f>IF((G10&lt;&gt;"")*(G14=""),IF((G10&lt;=$B$442)*((G11&gt;=$C$442)+(G11&lt;2/24)),1,0),0)</f>
        <v>0</v>
      </c>
      <c r="AH12" s="6">
        <f>IF((H10&lt;&gt;"")*(H14=""),IF((H10&lt;=$B$442)*((H11&gt;=$C$442)+(H11&lt;2/24)),1,0),0)</f>
        <v>0</v>
      </c>
      <c r="AI12" s="6">
        <f>IF((I10&lt;&gt;"")*(I14=""),IF((I10&lt;=$B$442)*((I11&gt;=$C$442)+(I11&lt;2/24)),1,0),0)</f>
        <v>0</v>
      </c>
      <c r="AJ12" s="6">
        <f>IF((J10&lt;&gt;"")*(J14=""),IF((J10&lt;=$B$442)*((J11&gt;=$C$442)+(J11&lt;2/24)),1,0),0)</f>
        <v>0</v>
      </c>
    </row>
    <row r="13" spans="1:36" hidden="1" x14ac:dyDescent="0.2">
      <c r="A13" s="39"/>
      <c r="B13" s="40"/>
      <c r="C13" s="15" t="s">
        <v>3</v>
      </c>
      <c r="D13" s="43"/>
      <c r="E13" s="43"/>
      <c r="F13" s="43"/>
      <c r="G13" s="43"/>
      <c r="H13" s="43"/>
      <c r="I13" s="43"/>
      <c r="J13" s="44"/>
      <c r="K13" s="18">
        <f>SUMIF(D14:J14,"",D13:J13)</f>
        <v>0</v>
      </c>
      <c r="L13" s="12">
        <f>SUM(D13:J13)</f>
        <v>0</v>
      </c>
      <c r="M13" s="24"/>
      <c r="N13" s="10">
        <f t="shared" ref="N13:T13" si="2">IF(D14="",D13,0)</f>
        <v>0</v>
      </c>
      <c r="O13" s="10">
        <f t="shared" si="2"/>
        <v>0</v>
      </c>
      <c r="P13" s="10">
        <f t="shared" si="2"/>
        <v>0</v>
      </c>
      <c r="Q13" s="10">
        <f t="shared" si="2"/>
        <v>0</v>
      </c>
      <c r="R13" s="10">
        <f t="shared" si="2"/>
        <v>0</v>
      </c>
      <c r="S13" s="10">
        <f t="shared" si="2"/>
        <v>0</v>
      </c>
      <c r="T13" s="10">
        <f t="shared" si="2"/>
        <v>0</v>
      </c>
      <c r="U13" s="10"/>
      <c r="V13" s="10">
        <f t="shared" ref="V13:AB13" si="3">D13</f>
        <v>0</v>
      </c>
      <c r="W13" s="10">
        <f t="shared" si="3"/>
        <v>0</v>
      </c>
      <c r="X13" s="10">
        <f t="shared" si="3"/>
        <v>0</v>
      </c>
      <c r="Y13" s="10">
        <f t="shared" si="3"/>
        <v>0</v>
      </c>
      <c r="Z13" s="10">
        <f t="shared" si="3"/>
        <v>0</v>
      </c>
      <c r="AA13" s="10">
        <f t="shared" si="3"/>
        <v>0</v>
      </c>
      <c r="AB13" s="10">
        <f t="shared" si="3"/>
        <v>0</v>
      </c>
      <c r="AD13" s="6">
        <f>IF((D10&lt;&gt;"")*(D14=""),IF((D10&lt;=$B$443)*((D11&gt;=$C$443)+(D11&lt;2/24)),1,0),0)</f>
        <v>0</v>
      </c>
      <c r="AE13" s="6">
        <f>IF((E10&lt;&gt;"")*(E14=""),IF((E10&lt;=$B$443)*((E11&gt;=$C$443)+(E11&lt;2/24)),1,0),0)</f>
        <v>0</v>
      </c>
      <c r="AF13" s="6">
        <f>IF((F10&lt;&gt;"")*(F14=""),IF((F10&lt;=$B$443)*((F11&gt;=$C$443)+(F11&lt;2/24)),1,0),0)</f>
        <v>0</v>
      </c>
      <c r="AG13" s="6">
        <f>IF((G10&lt;&gt;"")*(G14=""),IF((G10&lt;=$B$443)*((G11&gt;=$C$443)+(G11&lt;2/24)),1,0),0)</f>
        <v>0</v>
      </c>
      <c r="AH13" s="6">
        <f>IF((H10&lt;&gt;"")*(H14=""),IF((H10&lt;=$B$443)*((H11&gt;=$C$443)+(H11&lt;2/24)),1,0),0)</f>
        <v>0</v>
      </c>
      <c r="AI13" s="6">
        <f>IF((I10&lt;&gt;"")*(I14=""),IF((I10&lt;=$B$443)*((I11&gt;=$C$443)+(I11&lt;2/24)),1,0),0)</f>
        <v>0</v>
      </c>
      <c r="AJ13" s="6">
        <f>IF((J10&lt;&gt;"")*(J14=""),IF((J10&lt;=$B$443)*((J11&gt;=$C$443)+(J11&lt;2/24)),1,0),0)</f>
        <v>0</v>
      </c>
    </row>
    <row r="14" spans="1:36" hidden="1" x14ac:dyDescent="0.2">
      <c r="A14" s="39"/>
      <c r="B14" s="40"/>
      <c r="C14" s="32" t="s">
        <v>4</v>
      </c>
      <c r="D14" s="33"/>
      <c r="E14" s="33"/>
      <c r="F14" s="33"/>
      <c r="G14" s="33"/>
      <c r="H14" s="33"/>
      <c r="I14" s="33"/>
      <c r="J14" s="33"/>
      <c r="K14" s="17"/>
      <c r="L14" s="6"/>
      <c r="M14" s="25"/>
      <c r="N14" s="6"/>
      <c r="O14" s="6"/>
      <c r="P14" s="6"/>
      <c r="Q14" s="6"/>
      <c r="R14" s="6"/>
      <c r="S14" s="6"/>
      <c r="T14" s="6"/>
      <c r="U14" s="6"/>
      <c r="V14" s="20"/>
      <c r="W14" s="20"/>
      <c r="X14" s="20"/>
      <c r="Y14" s="20"/>
      <c r="Z14" s="20"/>
      <c r="AA14" s="20"/>
      <c r="AB14" s="20"/>
      <c r="AD14" s="6">
        <f>IF((D10&lt;&gt;"")*(D14=""),IF((D10&lt;=$B$444)*((D11&gt;=$C$444)+(D11&lt;2/24)),1,0),0)</f>
        <v>0</v>
      </c>
      <c r="AE14" s="6">
        <f>IF((E10&lt;&gt;"")*(E14=""),IF((E10&lt;=$B$444)*((E11&gt;=$C$444)+(E11&lt;2/24)),1,0),0)</f>
        <v>0</v>
      </c>
      <c r="AF14" s="6">
        <f>IF((F10&lt;&gt;"")*(F14=""),IF((F10&lt;=$B$444)*((F11&gt;=$C$444)+(F11&lt;2/24)),1,0),0)</f>
        <v>0</v>
      </c>
      <c r="AG14" s="6">
        <f>IF((G10&lt;&gt;"")*(G14=""),IF((G10&lt;=$B$444)*((G11&gt;=$C$444)+(G11&lt;2/24)),1,0),0)</f>
        <v>0</v>
      </c>
      <c r="AH14" s="6">
        <f>IF((H10&lt;&gt;"")*(H14=""),IF((H10&lt;=$B$444)*((H11&gt;=$C$444)+(H11&lt;2/24)),1,0),0)</f>
        <v>0</v>
      </c>
      <c r="AI14" s="6">
        <f>IF((I10&lt;&gt;"")*(I14=""),IF((I10&lt;=$B$444)*((I11&gt;=$C$444)+(I11&lt;2/24)),1,0),0)</f>
        <v>0</v>
      </c>
      <c r="AJ14" s="6">
        <f>IF((J10&lt;&gt;"")*(J14=""),IF((J10&lt;=$B$444)*((J11&gt;=$C$444)+(J11&lt;2/24)),1,0),0)</f>
        <v>0</v>
      </c>
    </row>
    <row r="15" spans="1:36" ht="13.5" hidden="1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  <c r="L15" s="6"/>
      <c r="M15" s="25"/>
      <c r="N15" s="6"/>
      <c r="O15" s="6"/>
      <c r="P15" s="6"/>
      <c r="Q15" s="6"/>
      <c r="R15" s="6"/>
      <c r="S15" s="6"/>
      <c r="T15" s="6"/>
      <c r="U15" s="6"/>
      <c r="V15" s="20"/>
      <c r="W15" s="20"/>
      <c r="X15" s="20"/>
      <c r="Y15" s="20"/>
      <c r="Z15" s="20"/>
      <c r="AA15" s="20"/>
      <c r="AB15" s="20"/>
      <c r="AD15" s="6"/>
      <c r="AE15" s="6"/>
      <c r="AF15" s="6"/>
      <c r="AG15" s="6"/>
      <c r="AH15" s="6"/>
      <c r="AI15" s="6"/>
      <c r="AJ15" s="6"/>
    </row>
    <row r="16" spans="1:36" hidden="1" x14ac:dyDescent="0.2">
      <c r="A16" s="37" t="s">
        <v>29</v>
      </c>
      <c r="B16" s="38" t="s">
        <v>30</v>
      </c>
      <c r="C16" s="14" t="s">
        <v>0</v>
      </c>
      <c r="D16" s="26"/>
      <c r="E16" s="26"/>
      <c r="F16" s="26"/>
      <c r="G16" s="26"/>
      <c r="H16" s="26"/>
      <c r="I16" s="26"/>
      <c r="J16" s="26"/>
      <c r="K16" s="16"/>
      <c r="L16" s="6"/>
      <c r="M16" s="21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D16" s="6">
        <f>IF((D16&lt;&gt;"")*(D20=""),IF((D16&lt;=$B$440)*((D17&gt;=$C$440)+(D17&lt;2/24)),1,0),0)</f>
        <v>0</v>
      </c>
      <c r="AE16" s="6">
        <f>IF((E16&lt;&gt;"")*(E20=""),IF((E16&lt;=$B$440)*((E17&gt;=$C$440)+(E17&lt;2/24)),1,0),0)</f>
        <v>0</v>
      </c>
      <c r="AF16" s="6">
        <f>IF((F16&lt;&gt;"")*(F20=""),IF((F16&lt;=$B$440)*((F17&gt;=$C$440)+(F17&lt;2/24)),1,0),0)</f>
        <v>0</v>
      </c>
      <c r="AG16" s="6">
        <f>IF((G16&lt;&gt;"")*(G20=""),IF((G16&lt;=$B$440)*((G17&gt;=$C$440)+(G17&lt;2/24)),1,0),0)</f>
        <v>0</v>
      </c>
      <c r="AH16" s="6">
        <f>IF((H16&lt;&gt;"")*(H20=""),IF((H16&lt;=$B$440)*((H17&gt;=$C$440)+(H17&lt;2/24)),1,0),0)</f>
        <v>0</v>
      </c>
      <c r="AI16" s="6">
        <f>IF((I16&lt;&gt;"")*(I20=""),IF((I16&lt;=$B$440)*((I17&gt;=$C$440)+(I17&lt;2/24)),1,0),0)</f>
        <v>0</v>
      </c>
      <c r="AJ16" s="6">
        <f>IF((J16&lt;&gt;"")*(J20=""),IF((J16&lt;=$B$440)*((J17&gt;=$C$440)+(J17&lt;2/24)),1,0),0)</f>
        <v>0</v>
      </c>
    </row>
    <row r="17" spans="1:36" hidden="1" x14ac:dyDescent="0.2">
      <c r="A17" s="39"/>
      <c r="B17" s="40"/>
      <c r="C17" s="15" t="s">
        <v>1</v>
      </c>
      <c r="D17" s="27"/>
      <c r="E17" s="27"/>
      <c r="F17" s="27"/>
      <c r="G17" s="27"/>
      <c r="H17" s="27"/>
      <c r="I17" s="27"/>
      <c r="J17" s="27"/>
      <c r="K17" s="17"/>
      <c r="L17" s="6"/>
      <c r="M17" s="21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D17" s="6">
        <f>IF((D16&lt;&gt;"")*(D20=""),IF((D16&lt;=$B$441)*((D17&gt;=$C$441)+(D17&lt;2/24)),1,0),0)</f>
        <v>0</v>
      </c>
      <c r="AE17" s="6">
        <f>IF((E16&lt;&gt;"")*(E20=""),IF((E16&lt;=$B$441)*((E17&gt;=$C$441)+(E17&lt;2/24)),1,0),0)</f>
        <v>0</v>
      </c>
      <c r="AF17" s="6">
        <f>IF((F16&lt;&gt;"")*(F20=""),IF((F16&lt;=$B$441)*((F17&gt;=$C$441)+(F17&lt;2/24)),1,0),0)</f>
        <v>0</v>
      </c>
      <c r="AG17" s="6">
        <f>IF((G16&lt;&gt;"")*(G20=""),IF((G16&lt;=$B$441)*((G17&gt;=$C$441)+(G17&lt;2/24)),1,0),0)</f>
        <v>0</v>
      </c>
      <c r="AH17" s="6">
        <f>IF((H16&lt;&gt;"")*(H20=""),IF((H16&lt;=$B$441)*((H17&gt;=$C$441)+(H17&lt;2/24)),1,0),0)</f>
        <v>0</v>
      </c>
      <c r="AI17" s="6">
        <f>IF((I16&lt;&gt;"")*(I20=""),IF((I16&lt;=$B$441)*((I17&gt;=$C$441)+(I17&lt;2/24)),1,0),0)</f>
        <v>0</v>
      </c>
      <c r="AJ17" s="6">
        <f>IF((J16&lt;&gt;"")*(J20=""),IF((J16&lt;=$B$441)*((J17&gt;=$C$441)+(J17&lt;2/24)),1,0),0)</f>
        <v>0</v>
      </c>
    </row>
    <row r="18" spans="1:36" hidden="1" x14ac:dyDescent="0.2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D18" s="6">
        <f>IF((D16&lt;&gt;"")*(D20=""),IF((D16&lt;=$B$442)*((D17&gt;=$C$442)+(D17&lt;2/24)),1,0),0)</f>
        <v>0</v>
      </c>
      <c r="AE18" s="6">
        <f>IF((E16&lt;&gt;"")*(E20=""),IF((E16&lt;=$B$442)*((E17&gt;=$C$442)+(E17&lt;2/24)),1,0),0)</f>
        <v>0</v>
      </c>
      <c r="AF18" s="6">
        <f>IF((F16&lt;&gt;"")*(F20=""),IF((F16&lt;=$B$442)*((F17&gt;=$C$442)+(F17&lt;2/24)),1,0),0)</f>
        <v>0</v>
      </c>
      <c r="AG18" s="6">
        <f>IF((G16&lt;&gt;"")*(G20=""),IF((G16&lt;=$B$442)*((G17&gt;=$C$442)+(G17&lt;2/24)),1,0),0)</f>
        <v>0</v>
      </c>
      <c r="AH18" s="6">
        <f>IF((H16&lt;&gt;"")*(H20=""),IF((H16&lt;=$B$442)*((H17&gt;=$C$442)+(H17&lt;2/24)),1,0),0)</f>
        <v>0</v>
      </c>
      <c r="AI18" s="6">
        <f>IF((I16&lt;&gt;"")*(I20=""),IF((I16&lt;=$B$442)*((I17&gt;=$C$442)+(I17&lt;2/24)),1,0),0)</f>
        <v>0</v>
      </c>
      <c r="AJ18" s="6">
        <f>IF((J16&lt;&gt;"")*(J20=""),IF((J16&lt;=$B$442)*((J17&gt;=$C$442)+(J17&lt;2/24)),1,0),0)</f>
        <v>0</v>
      </c>
    </row>
    <row r="19" spans="1:36" hidden="1" x14ac:dyDescent="0.2">
      <c r="A19" s="39"/>
      <c r="B19" s="40"/>
      <c r="C19" s="15" t="s">
        <v>3</v>
      </c>
      <c r="D19" s="43"/>
      <c r="E19" s="43"/>
      <c r="F19" s="43"/>
      <c r="G19" s="43"/>
      <c r="H19" s="43"/>
      <c r="I19" s="43"/>
      <c r="J19" s="44"/>
      <c r="K19" s="18">
        <f>SUMIF(D20:J20,"",D19:J19)</f>
        <v>0</v>
      </c>
      <c r="L19" s="12">
        <f>SUM(D19:J19)</f>
        <v>0</v>
      </c>
      <c r="M19" s="24"/>
      <c r="N19" s="10">
        <f t="shared" ref="N19:T19" si="4">IF(D20="",D19,0)</f>
        <v>0</v>
      </c>
      <c r="O19" s="10">
        <f t="shared" si="4"/>
        <v>0</v>
      </c>
      <c r="P19" s="10">
        <f t="shared" si="4"/>
        <v>0</v>
      </c>
      <c r="Q19" s="10">
        <f t="shared" si="4"/>
        <v>0</v>
      </c>
      <c r="R19" s="10">
        <f t="shared" si="4"/>
        <v>0</v>
      </c>
      <c r="S19" s="10">
        <f t="shared" si="4"/>
        <v>0</v>
      </c>
      <c r="T19" s="10">
        <f t="shared" si="4"/>
        <v>0</v>
      </c>
      <c r="U19" s="10"/>
      <c r="V19" s="10">
        <f t="shared" ref="V19:AB19" si="5">D19</f>
        <v>0</v>
      </c>
      <c r="W19" s="10">
        <f t="shared" si="5"/>
        <v>0</v>
      </c>
      <c r="X19" s="10">
        <f t="shared" si="5"/>
        <v>0</v>
      </c>
      <c r="Y19" s="10">
        <f t="shared" si="5"/>
        <v>0</v>
      </c>
      <c r="Z19" s="10">
        <f t="shared" si="5"/>
        <v>0</v>
      </c>
      <c r="AA19" s="10">
        <f t="shared" si="5"/>
        <v>0</v>
      </c>
      <c r="AB19" s="10">
        <f t="shared" si="5"/>
        <v>0</v>
      </c>
      <c r="AD19" s="6">
        <f>IF((D16&lt;&gt;"")*(D20=""),IF((D16&lt;=$B$443)*((D17&gt;=$C$443)+(D17&lt;2/24)),1,0),0)</f>
        <v>0</v>
      </c>
      <c r="AE19" s="6">
        <f>IF((E16&lt;&gt;"")*(E20=""),IF((E16&lt;=$B$443)*((E17&gt;=$C$443)+(E17&lt;2/24)),1,0),0)</f>
        <v>0</v>
      </c>
      <c r="AF19" s="6">
        <f>IF((F16&lt;&gt;"")*(F20=""),IF((F16&lt;=$B$443)*((F17&gt;=$C$443)+(F17&lt;2/24)),1,0),0)</f>
        <v>0</v>
      </c>
      <c r="AG19" s="6">
        <f>IF((G16&lt;&gt;"")*(G20=""),IF((G16&lt;=$B$443)*((G17&gt;=$C$443)+(G17&lt;2/24)),1,0),0)</f>
        <v>0</v>
      </c>
      <c r="AH19" s="6">
        <f>IF((H16&lt;&gt;"")*(H20=""),IF((H16&lt;=$B$443)*((H17&gt;=$C$443)+(H17&lt;2/24)),1,0),0)</f>
        <v>0</v>
      </c>
      <c r="AI19" s="6">
        <f>IF((I16&lt;&gt;"")*(I20=""),IF((I16&lt;=$B$443)*((I17&gt;=$C$443)+(I17&lt;2/24)),1,0),0)</f>
        <v>0</v>
      </c>
      <c r="AJ19" s="6">
        <f>IF((J16&lt;&gt;"")*(J20=""),IF((J16&lt;=$B$443)*((J17&gt;=$C$443)+(J17&lt;2/24)),1,0),0)</f>
        <v>0</v>
      </c>
    </row>
    <row r="20" spans="1:36" hidden="1" x14ac:dyDescent="0.2">
      <c r="A20" s="39"/>
      <c r="B20" s="40"/>
      <c r="C20" s="32" t="s">
        <v>4</v>
      </c>
      <c r="D20" s="33"/>
      <c r="E20" s="33"/>
      <c r="F20" s="33"/>
      <c r="G20" s="33"/>
      <c r="H20" s="33"/>
      <c r="I20" s="33"/>
      <c r="J20" s="33"/>
      <c r="K20" s="17"/>
      <c r="L20" s="6"/>
      <c r="M20" s="25"/>
      <c r="N20" s="6"/>
      <c r="O20" s="6"/>
      <c r="P20" s="6"/>
      <c r="Q20" s="6"/>
      <c r="R20" s="6"/>
      <c r="S20" s="6"/>
      <c r="T20" s="6"/>
      <c r="U20" s="6"/>
      <c r="V20" s="20"/>
      <c r="W20" s="20"/>
      <c r="X20" s="20"/>
      <c r="Y20" s="20"/>
      <c r="Z20" s="20"/>
      <c r="AA20" s="20"/>
      <c r="AB20" s="20"/>
      <c r="AD20" s="6">
        <f>IF((D16&lt;&gt;"")*(D20=""),IF((D16&lt;=$B$444)*((D17&gt;=$C$444)+(D17&lt;2/24)),1,0),0)</f>
        <v>0</v>
      </c>
      <c r="AE20" s="6">
        <f>IF((E16&lt;&gt;"")*(E20=""),IF((E16&lt;=$B$444)*((E17&gt;=$C$444)+(E17&lt;2/24)),1,0),0)</f>
        <v>0</v>
      </c>
      <c r="AF20" s="6">
        <f>IF((F16&lt;&gt;"")*(F20=""),IF((F16&lt;=$B$444)*((F17&gt;=$C$444)+(F17&lt;2/24)),1,0),0)</f>
        <v>0</v>
      </c>
      <c r="AG20" s="6">
        <f>IF((G16&lt;&gt;"")*(G20=""),IF((G16&lt;=$B$444)*((G17&gt;=$C$444)+(G17&lt;2/24)),1,0),0)</f>
        <v>0</v>
      </c>
      <c r="AH20" s="6">
        <f>IF((H16&lt;&gt;"")*(H20=""),IF((H16&lt;=$B$444)*((H17&gt;=$C$444)+(H17&lt;2/24)),1,0),0)</f>
        <v>0</v>
      </c>
      <c r="AI20" s="6">
        <f>IF((I16&lt;&gt;"")*(I20=""),IF((I16&lt;=$B$444)*((I17&gt;=$C$444)+(I17&lt;2/24)),1,0),0)</f>
        <v>0</v>
      </c>
      <c r="AJ20" s="6">
        <f>IF((J16&lt;&gt;"")*(J20=""),IF((J16&lt;=$B$444)*((J17&gt;=$C$444)+(J17&lt;2/24)),1,0),0)</f>
        <v>0</v>
      </c>
    </row>
    <row r="21" spans="1:36" ht="13.5" hidden="1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  <c r="N21" s="6"/>
      <c r="O21" s="6"/>
      <c r="P21" s="6"/>
      <c r="Q21" s="6"/>
      <c r="R21" s="6"/>
      <c r="S21" s="6"/>
      <c r="T21" s="6"/>
      <c r="U21" s="6"/>
      <c r="V21" s="20"/>
      <c r="W21" s="20"/>
      <c r="X21" s="20"/>
      <c r="Y21" s="20"/>
      <c r="Z21" s="20"/>
      <c r="AA21" s="20"/>
      <c r="AB21" s="20"/>
      <c r="AD21" s="6"/>
      <c r="AE21" s="6"/>
      <c r="AF21" s="6"/>
      <c r="AG21" s="6"/>
      <c r="AH21" s="6"/>
      <c r="AI21" s="6"/>
      <c r="AJ21" s="6"/>
    </row>
    <row r="22" spans="1:36" hidden="1" x14ac:dyDescent="0.2">
      <c r="A22" s="37" t="s">
        <v>29</v>
      </c>
      <c r="B22" s="38" t="s">
        <v>30</v>
      </c>
      <c r="C22" s="14" t="s">
        <v>0</v>
      </c>
      <c r="D22" s="26"/>
      <c r="E22" s="26"/>
      <c r="F22" s="26"/>
      <c r="G22" s="26"/>
      <c r="H22" s="26"/>
      <c r="I22" s="26"/>
      <c r="J22" s="26"/>
      <c r="K22" s="16"/>
      <c r="L22" s="6"/>
      <c r="M22" s="21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D22" s="6">
        <f>IF((D22&lt;&gt;"")*(D26=""),IF((D22&lt;=$B$440)*((D23&gt;=$C$440)+(D23&lt;2/24)),1,0),0)</f>
        <v>0</v>
      </c>
      <c r="AE22" s="6">
        <f>IF((E22&lt;&gt;"")*(E26=""),IF((E22&lt;=$B$440)*((E23&gt;=$C$440)+(E23&lt;2/24)),1,0),0)</f>
        <v>0</v>
      </c>
      <c r="AF22" s="6">
        <f>IF((F22&lt;&gt;"")*(F26=""),IF((F22&lt;=$B$440)*((F23&gt;=$C$440)+(F23&lt;2/24)),1,0),0)</f>
        <v>0</v>
      </c>
      <c r="AG22" s="6">
        <f>IF((G22&lt;&gt;"")*(G26=""),IF((G22&lt;=$B$440)*((G23&gt;=$C$440)+(G23&lt;2/24)),1,0),0)</f>
        <v>0</v>
      </c>
      <c r="AH22" s="6">
        <f>IF((H22&lt;&gt;"")*(H26=""),IF((H22&lt;=$B$440)*((H23&gt;=$C$440)+(H23&lt;2/24)),1,0),0)</f>
        <v>0</v>
      </c>
      <c r="AI22" s="6">
        <f>IF((I22&lt;&gt;"")*(I26=""),IF((I22&lt;=$B$440)*((I23&gt;=$C$440)+(I23&lt;2/24)),1,0),0)</f>
        <v>0</v>
      </c>
      <c r="AJ22" s="6">
        <f>IF((J22&lt;&gt;"")*(J26=""),IF((J22&lt;=$B$440)*((J23&gt;=$C$440)+(J23&lt;2/24)),1,0),0)</f>
        <v>0</v>
      </c>
    </row>
    <row r="23" spans="1:36" hidden="1" x14ac:dyDescent="0.2">
      <c r="A23" s="39"/>
      <c r="B23" s="40"/>
      <c r="C23" s="15" t="s">
        <v>1</v>
      </c>
      <c r="D23" s="27"/>
      <c r="E23" s="27"/>
      <c r="F23" s="27"/>
      <c r="G23" s="27"/>
      <c r="H23" s="27"/>
      <c r="I23" s="27"/>
      <c r="J23" s="27"/>
      <c r="K23" s="17"/>
      <c r="L23" s="6"/>
      <c r="M23" s="21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D23" s="6">
        <f>IF((D22&lt;&gt;"")*(D26=""),IF((D22&lt;=$B$441)*((D23&gt;=$C$441)+(D23&lt;2/24)),1,0),0)</f>
        <v>0</v>
      </c>
      <c r="AE23" s="6">
        <f>IF((E22&lt;&gt;"")*(E26=""),IF((E22&lt;=$B$441)*((E23&gt;=$C$441)+(E23&lt;2/24)),1,0),0)</f>
        <v>0</v>
      </c>
      <c r="AF23" s="6">
        <f>IF((F22&lt;&gt;"")*(F26=""),IF((F22&lt;=$B$441)*((F23&gt;=$C$441)+(F23&lt;2/24)),1,0),0)</f>
        <v>0</v>
      </c>
      <c r="AG23" s="6">
        <f>IF((G22&lt;&gt;"")*(G26=""),IF((G22&lt;=$B$441)*((G23&gt;=$C$441)+(G23&lt;2/24)),1,0),0)</f>
        <v>0</v>
      </c>
      <c r="AH23" s="6">
        <f>IF((H22&lt;&gt;"")*(H26=""),IF((H22&lt;=$B$441)*((H23&gt;=$C$441)+(H23&lt;2/24)),1,0),0)</f>
        <v>0</v>
      </c>
      <c r="AI23" s="6">
        <f>IF((I22&lt;&gt;"")*(I26=""),IF((I22&lt;=$B$441)*((I23&gt;=$C$441)+(I23&lt;2/24)),1,0),0)</f>
        <v>0</v>
      </c>
      <c r="AJ23" s="6">
        <f>IF((J22&lt;&gt;"")*(J26=""),IF((J22&lt;=$B$441)*((J23&gt;=$C$441)+(J23&lt;2/24)),1,0),0)</f>
        <v>0</v>
      </c>
    </row>
    <row r="24" spans="1:36" hidden="1" x14ac:dyDescent="0.2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D24" s="6">
        <f>IF((D22&lt;&gt;"")*(D26=""),IF((D22&lt;=$B$442)*((D23&gt;=$C$442)+(D23&lt;2/24)),1,0),0)</f>
        <v>0</v>
      </c>
      <c r="AE24" s="6">
        <f>IF((E22&lt;&gt;"")*(E26=""),IF((E22&lt;=$B$442)*((E23&gt;=$C$442)+(E23&lt;2/24)),1,0),0)</f>
        <v>0</v>
      </c>
      <c r="AF24" s="6">
        <f>IF((F22&lt;&gt;"")*(F26=""),IF((F22&lt;=$B$442)*((F23&gt;=$C$442)+(F23&lt;2/24)),1,0),0)</f>
        <v>0</v>
      </c>
      <c r="AG24" s="6">
        <f>IF((G22&lt;&gt;"")*(G26=""),IF((G22&lt;=$B$442)*((G23&gt;=$C$442)+(G23&lt;2/24)),1,0),0)</f>
        <v>0</v>
      </c>
      <c r="AH24" s="6">
        <f>IF((H22&lt;&gt;"")*(H26=""),IF((H22&lt;=$B$442)*((H23&gt;=$C$442)+(H23&lt;2/24)),1,0),0)</f>
        <v>0</v>
      </c>
      <c r="AI24" s="6">
        <f>IF((I22&lt;&gt;"")*(I26=""),IF((I22&lt;=$B$442)*((I23&gt;=$C$442)+(I23&lt;2/24)),1,0),0)</f>
        <v>0</v>
      </c>
      <c r="AJ24" s="6">
        <f>IF((J22&lt;&gt;"")*(J26=""),IF((J22&lt;=$B$442)*((J23&gt;=$C$442)+(J23&lt;2/24)),1,0),0)</f>
        <v>0</v>
      </c>
    </row>
    <row r="25" spans="1:36" hidden="1" x14ac:dyDescent="0.2">
      <c r="A25" s="39"/>
      <c r="B25" s="40"/>
      <c r="C25" s="15" t="s">
        <v>3</v>
      </c>
      <c r="D25" s="43"/>
      <c r="E25" s="43"/>
      <c r="F25" s="43"/>
      <c r="G25" s="43"/>
      <c r="H25" s="43"/>
      <c r="I25" s="43"/>
      <c r="J25" s="44"/>
      <c r="K25" s="18">
        <f>SUMIF(D26:J26,"",D25:J25)</f>
        <v>0</v>
      </c>
      <c r="L25" s="12">
        <f>SUM(D25:J25)</f>
        <v>0</v>
      </c>
      <c r="M25" s="24"/>
      <c r="N25" s="10">
        <f t="shared" ref="N25:T25" si="6">IF(D26="",D25,0)</f>
        <v>0</v>
      </c>
      <c r="O25" s="10">
        <f t="shared" si="6"/>
        <v>0</v>
      </c>
      <c r="P25" s="10">
        <f t="shared" si="6"/>
        <v>0</v>
      </c>
      <c r="Q25" s="10">
        <f t="shared" si="6"/>
        <v>0</v>
      </c>
      <c r="R25" s="10">
        <f t="shared" si="6"/>
        <v>0</v>
      </c>
      <c r="S25" s="10">
        <f t="shared" si="6"/>
        <v>0</v>
      </c>
      <c r="T25" s="10">
        <f t="shared" si="6"/>
        <v>0</v>
      </c>
      <c r="U25" s="10"/>
      <c r="V25" s="10">
        <f t="shared" ref="V25:AB25" si="7">D25</f>
        <v>0</v>
      </c>
      <c r="W25" s="10">
        <f t="shared" si="7"/>
        <v>0</v>
      </c>
      <c r="X25" s="10">
        <f t="shared" si="7"/>
        <v>0</v>
      </c>
      <c r="Y25" s="10">
        <f t="shared" si="7"/>
        <v>0</v>
      </c>
      <c r="Z25" s="10">
        <f t="shared" si="7"/>
        <v>0</v>
      </c>
      <c r="AA25" s="10">
        <f t="shared" si="7"/>
        <v>0</v>
      </c>
      <c r="AB25" s="10">
        <f t="shared" si="7"/>
        <v>0</v>
      </c>
      <c r="AD25" s="6">
        <f>IF((D22&lt;&gt;"")*(D26=""),IF((D22&lt;=$B$443)*((D23&gt;=$C$443)+(D23&lt;2/24)),1,0),0)</f>
        <v>0</v>
      </c>
      <c r="AE25" s="6">
        <f>IF((E22&lt;&gt;"")*(E26=""),IF((E22&lt;=$B$443)*((E23&gt;=$C$443)+(E23&lt;2/24)),1,0),0)</f>
        <v>0</v>
      </c>
      <c r="AF25" s="6">
        <f>IF((F22&lt;&gt;"")*(F26=""),IF((F22&lt;=$B$443)*((F23&gt;=$C$443)+(F23&lt;2/24)),1,0),0)</f>
        <v>0</v>
      </c>
      <c r="AG25" s="6">
        <f>IF((G22&lt;&gt;"")*(G26=""),IF((G22&lt;=$B$443)*((G23&gt;=$C$443)+(G23&lt;2/24)),1,0),0)</f>
        <v>0</v>
      </c>
      <c r="AH25" s="6">
        <f>IF((H22&lt;&gt;"")*(H26=""),IF((H22&lt;=$B$443)*((H23&gt;=$C$443)+(H23&lt;2/24)),1,0),0)</f>
        <v>0</v>
      </c>
      <c r="AI25" s="6">
        <f>IF((I22&lt;&gt;"")*(I26=""),IF((I22&lt;=$B$443)*((I23&gt;=$C$443)+(I23&lt;2/24)),1,0),0)</f>
        <v>0</v>
      </c>
      <c r="AJ25" s="6">
        <f>IF((J22&lt;&gt;"")*(J26=""),IF((J22&lt;=$B$443)*((J23&gt;=$C$443)+(J23&lt;2/24)),1,0),0)</f>
        <v>0</v>
      </c>
    </row>
    <row r="26" spans="1:36" hidden="1" x14ac:dyDescent="0.2">
      <c r="A26" s="39"/>
      <c r="B26" s="40"/>
      <c r="C26" s="32" t="s">
        <v>4</v>
      </c>
      <c r="D26" s="33"/>
      <c r="E26" s="33"/>
      <c r="F26" s="33"/>
      <c r="G26" s="33"/>
      <c r="H26" s="33"/>
      <c r="I26" s="33"/>
      <c r="J26" s="33"/>
      <c r="K26" s="17"/>
      <c r="L26" s="6"/>
      <c r="M26" s="25"/>
      <c r="N26" s="6"/>
      <c r="O26" s="6"/>
      <c r="P26" s="6"/>
      <c r="Q26" s="6"/>
      <c r="R26" s="6"/>
      <c r="S26" s="6"/>
      <c r="T26" s="6"/>
      <c r="U26" s="6"/>
      <c r="V26" s="20"/>
      <c r="W26" s="20"/>
      <c r="X26" s="20"/>
      <c r="Y26" s="20"/>
      <c r="Z26" s="20"/>
      <c r="AA26" s="20"/>
      <c r="AB26" s="20"/>
      <c r="AD26" s="6">
        <f>IF((D22&lt;&gt;"")*(D26=""),IF((D22&lt;=$B$444)*((D23&gt;=$C$444)+(D23&lt;2/24)),1,0),0)</f>
        <v>0</v>
      </c>
      <c r="AE26" s="6">
        <f>IF((E22&lt;&gt;"")*(E26=""),IF((E22&lt;=$B$444)*((E23&gt;=$C$444)+(E23&lt;2/24)),1,0),0)</f>
        <v>0</v>
      </c>
      <c r="AF26" s="6">
        <f>IF((F22&lt;&gt;"")*(F26=""),IF((F22&lt;=$B$444)*((F23&gt;=$C$444)+(F23&lt;2/24)),1,0),0)</f>
        <v>0</v>
      </c>
      <c r="AG26" s="6">
        <f>IF((G22&lt;&gt;"")*(G26=""),IF((G22&lt;=$B$444)*((G23&gt;=$C$444)+(G23&lt;2/24)),1,0),0)</f>
        <v>0</v>
      </c>
      <c r="AH26" s="6">
        <f>IF((H22&lt;&gt;"")*(H26=""),IF((H22&lt;=$B$444)*((H23&gt;=$C$444)+(H23&lt;2/24)),1,0),0)</f>
        <v>0</v>
      </c>
      <c r="AI26" s="6">
        <f>IF((I22&lt;&gt;"")*(I26=""),IF((I22&lt;=$B$444)*((I23&gt;=$C$444)+(I23&lt;2/24)),1,0),0)</f>
        <v>0</v>
      </c>
      <c r="AJ26" s="6">
        <f>IF((J22&lt;&gt;"")*(J26=""),IF((J22&lt;=$B$444)*((J23&gt;=$C$444)+(J23&lt;2/24)),1,0),0)</f>
        <v>0</v>
      </c>
    </row>
    <row r="27" spans="1:36" ht="13.5" hidden="1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  <c r="N27" s="6"/>
      <c r="O27" s="6"/>
      <c r="P27" s="6"/>
      <c r="Q27" s="6"/>
      <c r="R27" s="6"/>
      <c r="S27" s="6"/>
      <c r="T27" s="6"/>
      <c r="U27" s="6"/>
      <c r="V27" s="20"/>
      <c r="W27" s="20"/>
      <c r="X27" s="20"/>
      <c r="Y27" s="20"/>
      <c r="Z27" s="20"/>
      <c r="AA27" s="20"/>
      <c r="AB27" s="20"/>
      <c r="AD27" s="6"/>
      <c r="AE27" s="6"/>
      <c r="AF27" s="6"/>
      <c r="AG27" s="6"/>
      <c r="AH27" s="6"/>
      <c r="AI27" s="6"/>
      <c r="AJ27" s="6"/>
    </row>
    <row r="28" spans="1:36" hidden="1" x14ac:dyDescent="0.2">
      <c r="A28" s="37" t="s">
        <v>29</v>
      </c>
      <c r="B28" s="38" t="s">
        <v>30</v>
      </c>
      <c r="C28" s="14" t="s">
        <v>0</v>
      </c>
      <c r="D28" s="26"/>
      <c r="E28" s="26"/>
      <c r="F28" s="26"/>
      <c r="G28" s="26"/>
      <c r="H28" s="26"/>
      <c r="I28" s="26"/>
      <c r="J28" s="26"/>
      <c r="K28" s="16"/>
      <c r="L28" s="6"/>
      <c r="M28" s="21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D28" s="6">
        <f>IF((D28&lt;&gt;"")*(D32=""),IF((D28&lt;=$B$440)*((D29&gt;=$C$440)+(D29&lt;2/24)),1,0),0)</f>
        <v>0</v>
      </c>
      <c r="AE28" s="6">
        <f>IF((E28&lt;&gt;"")*(E32=""),IF((E28&lt;=$B$440)*((E29&gt;=$C$440)+(E29&lt;2/24)),1,0),0)</f>
        <v>0</v>
      </c>
      <c r="AF28" s="6">
        <f>IF((F28&lt;&gt;"")*(F32=""),IF((F28&lt;=$B$440)*((F29&gt;=$C$440)+(F29&lt;2/24)),1,0),0)</f>
        <v>0</v>
      </c>
      <c r="AG28" s="6">
        <f>IF((G28&lt;&gt;"")*(G32=""),IF((G28&lt;=$B$440)*((G29&gt;=$C$440)+(G29&lt;2/24)),1,0),0)</f>
        <v>0</v>
      </c>
      <c r="AH28" s="6">
        <f>IF((H28&lt;&gt;"")*(H32=""),IF((H28&lt;=$B$440)*((H29&gt;=$C$440)+(H29&lt;2/24)),1,0),0)</f>
        <v>0</v>
      </c>
      <c r="AI28" s="6">
        <f>IF((I28&lt;&gt;"")*(I32=""),IF((I28&lt;=$B$440)*((I29&gt;=$C$440)+(I29&lt;2/24)),1,0),0)</f>
        <v>0</v>
      </c>
      <c r="AJ28" s="6">
        <f>IF((J28&lt;&gt;"")*(J32=""),IF((J28&lt;=$B$440)*((J29&gt;=$C$440)+(J29&lt;2/24)),1,0),0)</f>
        <v>0</v>
      </c>
    </row>
    <row r="29" spans="1:36" hidden="1" x14ac:dyDescent="0.2">
      <c r="A29" s="39"/>
      <c r="B29" s="40"/>
      <c r="C29" s="15" t="s">
        <v>1</v>
      </c>
      <c r="D29" s="27"/>
      <c r="E29" s="27"/>
      <c r="F29" s="27"/>
      <c r="G29" s="27"/>
      <c r="H29" s="27"/>
      <c r="I29" s="27"/>
      <c r="J29" s="27"/>
      <c r="K29" s="17"/>
      <c r="L29" s="6"/>
      <c r="M29" s="21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D29" s="6">
        <f>IF((D28&lt;&gt;"")*(D32=""),IF((D28&lt;=$B$441)*((D29&gt;=$C$441)+(D29&lt;2/24)),1,0),0)</f>
        <v>0</v>
      </c>
      <c r="AE29" s="6">
        <f>IF((E28&lt;&gt;"")*(E32=""),IF((E28&lt;=$B$441)*((E29&gt;=$C$441)+(E29&lt;2/24)),1,0),0)</f>
        <v>0</v>
      </c>
      <c r="AF29" s="6">
        <f>IF((F28&lt;&gt;"")*(F32=""),IF((F28&lt;=$B$441)*((F29&gt;=$C$441)+(F29&lt;2/24)),1,0),0)</f>
        <v>0</v>
      </c>
      <c r="AG29" s="6">
        <f>IF((G28&lt;&gt;"")*(G32=""),IF((G28&lt;=$B$441)*((G29&gt;=$C$441)+(G29&lt;2/24)),1,0),0)</f>
        <v>0</v>
      </c>
      <c r="AH29" s="6">
        <f>IF((H28&lt;&gt;"")*(H32=""),IF((H28&lt;=$B$441)*((H29&gt;=$C$441)+(H29&lt;2/24)),1,0),0)</f>
        <v>0</v>
      </c>
      <c r="AI29" s="6">
        <f>IF((I28&lt;&gt;"")*(I32=""),IF((I28&lt;=$B$441)*((I29&gt;=$C$441)+(I29&lt;2/24)),1,0),0)</f>
        <v>0</v>
      </c>
      <c r="AJ29" s="6">
        <f>IF((J28&lt;&gt;"")*(J32=""),IF((J28&lt;=$B$441)*((J29&gt;=$C$441)+(J29&lt;2/24)),1,0),0)</f>
        <v>0</v>
      </c>
    </row>
    <row r="30" spans="1:36" hidden="1" x14ac:dyDescent="0.2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D30" s="6">
        <f>IF((D28&lt;&gt;"")*(D32=""),IF((D28&lt;=$B$442)*((D29&gt;=$C$442)+(D29&lt;2/24)),1,0),0)</f>
        <v>0</v>
      </c>
      <c r="AE30" s="6">
        <f>IF((E28&lt;&gt;"")*(E32=""),IF((E28&lt;=$B$442)*((E29&gt;=$C$442)+(E29&lt;2/24)),1,0),0)</f>
        <v>0</v>
      </c>
      <c r="AF30" s="6">
        <f>IF((F28&lt;&gt;"")*(F32=""),IF((F28&lt;=$B$442)*((F29&gt;=$C$442)+(F29&lt;2/24)),1,0),0)</f>
        <v>0</v>
      </c>
      <c r="AG30" s="6">
        <f>IF((G28&lt;&gt;"")*(G32=""),IF((G28&lt;=$B$442)*((G29&gt;=$C$442)+(G29&lt;2/24)),1,0),0)</f>
        <v>0</v>
      </c>
      <c r="AH30" s="6">
        <f>IF((H28&lt;&gt;"")*(H32=""),IF((H28&lt;=$B$442)*((H29&gt;=$C$442)+(H29&lt;2/24)),1,0),0)</f>
        <v>0</v>
      </c>
      <c r="AI30" s="6">
        <f>IF((I28&lt;&gt;"")*(I32=""),IF((I28&lt;=$B$442)*((I29&gt;=$C$442)+(I29&lt;2/24)),1,0),0)</f>
        <v>0</v>
      </c>
      <c r="AJ30" s="6">
        <f>IF((J28&lt;&gt;"")*(J32=""),IF((J28&lt;=$B$442)*((J29&gt;=$C$442)+(J29&lt;2/24)),1,0),0)</f>
        <v>0</v>
      </c>
    </row>
    <row r="31" spans="1:36" hidden="1" x14ac:dyDescent="0.2">
      <c r="A31" s="39"/>
      <c r="B31" s="40"/>
      <c r="C31" s="15" t="s">
        <v>3</v>
      </c>
      <c r="D31" s="43"/>
      <c r="E31" s="43"/>
      <c r="F31" s="43"/>
      <c r="G31" s="43"/>
      <c r="H31" s="43"/>
      <c r="I31" s="43"/>
      <c r="J31" s="44"/>
      <c r="K31" s="18">
        <f>SUMIF(D32:J32,"",D31:J31)</f>
        <v>0</v>
      </c>
      <c r="L31" s="12">
        <f>SUM(D31:J31)</f>
        <v>0</v>
      </c>
      <c r="M31" s="24"/>
      <c r="N31" s="10">
        <f t="shared" ref="N31:T31" si="8">IF(D32="",D31,0)</f>
        <v>0</v>
      </c>
      <c r="O31" s="10">
        <f t="shared" si="8"/>
        <v>0</v>
      </c>
      <c r="P31" s="10">
        <f t="shared" si="8"/>
        <v>0</v>
      </c>
      <c r="Q31" s="10">
        <f t="shared" si="8"/>
        <v>0</v>
      </c>
      <c r="R31" s="10">
        <f t="shared" si="8"/>
        <v>0</v>
      </c>
      <c r="S31" s="10">
        <f t="shared" si="8"/>
        <v>0</v>
      </c>
      <c r="T31" s="10">
        <f t="shared" si="8"/>
        <v>0</v>
      </c>
      <c r="U31" s="10"/>
      <c r="V31" s="10">
        <f t="shared" ref="V31:AB31" si="9">D31</f>
        <v>0</v>
      </c>
      <c r="W31" s="10">
        <f t="shared" si="9"/>
        <v>0</v>
      </c>
      <c r="X31" s="10">
        <f t="shared" si="9"/>
        <v>0</v>
      </c>
      <c r="Y31" s="10">
        <f t="shared" si="9"/>
        <v>0</v>
      </c>
      <c r="Z31" s="10">
        <f t="shared" si="9"/>
        <v>0</v>
      </c>
      <c r="AA31" s="10">
        <f t="shared" si="9"/>
        <v>0</v>
      </c>
      <c r="AB31" s="10">
        <f t="shared" si="9"/>
        <v>0</v>
      </c>
      <c r="AD31" s="6">
        <f>IF((D28&lt;&gt;"")*(D32=""),IF((D28&lt;=$B$443)*((D29&gt;=$C$443)+(D29&lt;2/24)),1,0),0)</f>
        <v>0</v>
      </c>
      <c r="AE31" s="6">
        <f>IF((E28&lt;&gt;"")*(E32=""),IF((E28&lt;=$B$443)*((E29&gt;=$C$443)+(E29&lt;2/24)),1,0),0)</f>
        <v>0</v>
      </c>
      <c r="AF31" s="6">
        <f>IF((F28&lt;&gt;"")*(F32=""),IF((F28&lt;=$B$443)*((F29&gt;=$C$443)+(F29&lt;2/24)),1,0),0)</f>
        <v>0</v>
      </c>
      <c r="AG31" s="6">
        <f>IF((G28&lt;&gt;"")*(G32=""),IF((G28&lt;=$B$443)*((G29&gt;=$C$443)+(G29&lt;2/24)),1,0),0)</f>
        <v>0</v>
      </c>
      <c r="AH31" s="6">
        <f>IF((H28&lt;&gt;"")*(H32=""),IF((H28&lt;=$B$443)*((H29&gt;=$C$443)+(H29&lt;2/24)),1,0),0)</f>
        <v>0</v>
      </c>
      <c r="AI31" s="6">
        <f>IF((I28&lt;&gt;"")*(I32=""),IF((I28&lt;=$B$443)*((I29&gt;=$C$443)+(I29&lt;2/24)),1,0),0)</f>
        <v>0</v>
      </c>
      <c r="AJ31" s="6">
        <f>IF((J28&lt;&gt;"")*(J32=""),IF((J28&lt;=$B$443)*((J29&gt;=$C$443)+(J29&lt;2/24)),1,0),0)</f>
        <v>0</v>
      </c>
    </row>
    <row r="32" spans="1:36" hidden="1" x14ac:dyDescent="0.2">
      <c r="A32" s="39"/>
      <c r="B32" s="40"/>
      <c r="C32" s="32" t="s">
        <v>4</v>
      </c>
      <c r="D32" s="33"/>
      <c r="E32" s="33"/>
      <c r="F32" s="33"/>
      <c r="G32" s="33"/>
      <c r="H32" s="33"/>
      <c r="I32" s="33"/>
      <c r="J32" s="33"/>
      <c r="K32" s="17"/>
      <c r="L32" s="6"/>
      <c r="M32" s="25"/>
      <c r="N32" s="6"/>
      <c r="O32" s="6"/>
      <c r="P32" s="6"/>
      <c r="Q32" s="6"/>
      <c r="R32" s="6"/>
      <c r="S32" s="6"/>
      <c r="T32" s="6"/>
      <c r="U32" s="6"/>
      <c r="V32" s="20"/>
      <c r="W32" s="20"/>
      <c r="X32" s="20"/>
      <c r="Y32" s="20"/>
      <c r="Z32" s="20"/>
      <c r="AA32" s="20"/>
      <c r="AB32" s="20"/>
      <c r="AD32" s="6">
        <f>IF((D28&lt;&gt;"")*(D32=""),IF((D28&lt;=$B$444)*((D29&gt;=$C$444)+(D29&lt;2/24)),1,0),0)</f>
        <v>0</v>
      </c>
      <c r="AE32" s="6">
        <f>IF((E28&lt;&gt;"")*(E32=""),IF((E28&lt;=$B$444)*((E29&gt;=$C$444)+(E29&lt;2/24)),1,0),0)</f>
        <v>0</v>
      </c>
      <c r="AF32" s="6">
        <f>IF((F28&lt;&gt;"")*(F32=""),IF((F28&lt;=$B$444)*((F29&gt;=$C$444)+(F29&lt;2/24)),1,0),0)</f>
        <v>0</v>
      </c>
      <c r="AG32" s="6">
        <f>IF((G28&lt;&gt;"")*(G32=""),IF((G28&lt;=$B$444)*((G29&gt;=$C$444)+(G29&lt;2/24)),1,0),0)</f>
        <v>0</v>
      </c>
      <c r="AH32" s="6">
        <f>IF((H28&lt;&gt;"")*(H32=""),IF((H28&lt;=$B$444)*((H29&gt;=$C$444)+(H29&lt;2/24)),1,0),0)</f>
        <v>0</v>
      </c>
      <c r="AI32" s="6">
        <f>IF((I28&lt;&gt;"")*(I32=""),IF((I28&lt;=$B$444)*((I29&gt;=$C$444)+(I29&lt;2/24)),1,0),0)</f>
        <v>0</v>
      </c>
      <c r="AJ32" s="6">
        <f>IF((J28&lt;&gt;"")*(J32=""),IF((J28&lt;=$B$444)*((J29&gt;=$C$444)+(J29&lt;2/24)),1,0),0)</f>
        <v>0</v>
      </c>
    </row>
    <row r="33" spans="1:36" ht="13.5" hidden="1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  <c r="N33" s="6"/>
      <c r="O33" s="6"/>
      <c r="P33" s="6"/>
      <c r="Q33" s="6"/>
      <c r="R33" s="6"/>
      <c r="S33" s="6"/>
      <c r="T33" s="6"/>
      <c r="U33" s="6"/>
      <c r="V33" s="20"/>
      <c r="W33" s="20"/>
      <c r="X33" s="20"/>
      <c r="Y33" s="20"/>
      <c r="Z33" s="20"/>
      <c r="AA33" s="20"/>
      <c r="AB33" s="20"/>
      <c r="AD33" s="6"/>
      <c r="AE33" s="6"/>
      <c r="AF33" s="6"/>
      <c r="AG33" s="6"/>
      <c r="AH33" s="6"/>
      <c r="AI33" s="6"/>
      <c r="AJ33" s="6"/>
    </row>
    <row r="34" spans="1:36" hidden="1" x14ac:dyDescent="0.2">
      <c r="A34" s="37" t="s">
        <v>29</v>
      </c>
      <c r="B34" s="38" t="s">
        <v>30</v>
      </c>
      <c r="C34" s="14" t="s">
        <v>0</v>
      </c>
      <c r="D34" s="26"/>
      <c r="E34" s="26"/>
      <c r="F34" s="26"/>
      <c r="G34" s="26"/>
      <c r="H34" s="26"/>
      <c r="I34" s="26"/>
      <c r="J34" s="26"/>
      <c r="K34" s="16"/>
      <c r="L34" s="6"/>
      <c r="M34" s="21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D34" s="6">
        <f>IF((D34&lt;&gt;"")*(D38=""),IF((D34&lt;=$B$440)*((D35&gt;=$C$440)+(D35&lt;2/24)),1,0),0)</f>
        <v>0</v>
      </c>
      <c r="AE34" s="6">
        <f>IF((E34&lt;&gt;"")*(E38=""),IF((E34&lt;=$B$440)*((E35&gt;=$C$440)+(E35&lt;2/24)),1,0),0)</f>
        <v>0</v>
      </c>
      <c r="AF34" s="6">
        <f>IF((F34&lt;&gt;"")*(F38=""),IF((F34&lt;=$B$440)*((F35&gt;=$C$440)+(F35&lt;2/24)),1,0),0)</f>
        <v>0</v>
      </c>
      <c r="AG34" s="6">
        <f>IF((G34&lt;&gt;"")*(G38=""),IF((G34&lt;=$B$440)*((G35&gt;=$C$440)+(G35&lt;2/24)),1,0),0)</f>
        <v>0</v>
      </c>
      <c r="AH34" s="6">
        <f>IF((H34&lt;&gt;"")*(H38=""),IF((H34&lt;=$B$440)*((H35&gt;=$C$440)+(H35&lt;2/24)),1,0),0)</f>
        <v>0</v>
      </c>
      <c r="AI34" s="6">
        <f>IF((I34&lt;&gt;"")*(I38=""),IF((I34&lt;=$B$440)*((I35&gt;=$C$440)+(I35&lt;2/24)),1,0),0)</f>
        <v>0</v>
      </c>
      <c r="AJ34" s="6">
        <f>IF((J34&lt;&gt;"")*(J38=""),IF((J34&lt;=$B$440)*((J35&gt;=$C$440)+(J35&lt;2/24)),1,0),0)</f>
        <v>0</v>
      </c>
    </row>
    <row r="35" spans="1:36" hidden="1" x14ac:dyDescent="0.2">
      <c r="A35" s="39"/>
      <c r="B35" s="40"/>
      <c r="C35" s="15" t="s">
        <v>1</v>
      </c>
      <c r="D35" s="27"/>
      <c r="E35" s="27"/>
      <c r="F35" s="27"/>
      <c r="G35" s="27"/>
      <c r="H35" s="27"/>
      <c r="I35" s="27"/>
      <c r="J35" s="27"/>
      <c r="K35" s="17"/>
      <c r="L35" s="6"/>
      <c r="M35" s="21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D35" s="6">
        <f>IF((D34&lt;&gt;"")*(D38=""),IF((D34&lt;=$B$441)*((D35&gt;=$C$441)+(D35&lt;2/24)),1,0),0)</f>
        <v>0</v>
      </c>
      <c r="AE35" s="6">
        <f>IF((E34&lt;&gt;"")*(E38=""),IF((E34&lt;=$B$441)*((E35&gt;=$C$441)+(E35&lt;2/24)),1,0),0)</f>
        <v>0</v>
      </c>
      <c r="AF35" s="6">
        <f>IF((F34&lt;&gt;"")*(F38=""),IF((F34&lt;=$B$441)*((F35&gt;=$C$441)+(F35&lt;2/24)),1,0),0)</f>
        <v>0</v>
      </c>
      <c r="AG35" s="6">
        <f>IF((G34&lt;&gt;"")*(G38=""),IF((G34&lt;=$B$441)*((G35&gt;=$C$441)+(G35&lt;2/24)),1,0),0)</f>
        <v>0</v>
      </c>
      <c r="AH35" s="6">
        <f>IF((H34&lt;&gt;"")*(H38=""),IF((H34&lt;=$B$441)*((H35&gt;=$C$441)+(H35&lt;2/24)),1,0),0)</f>
        <v>0</v>
      </c>
      <c r="AI35" s="6">
        <f>IF((I34&lt;&gt;"")*(I38=""),IF((I34&lt;=$B$441)*((I35&gt;=$C$441)+(I35&lt;2/24)),1,0),0)</f>
        <v>0</v>
      </c>
      <c r="AJ35" s="6">
        <f>IF((J34&lt;&gt;"")*(J38=""),IF((J34&lt;=$B$441)*((J35&gt;=$C$441)+(J35&lt;2/24)),1,0),0)</f>
        <v>0</v>
      </c>
    </row>
    <row r="36" spans="1:36" hidden="1" x14ac:dyDescent="0.2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D36" s="6">
        <f>IF((D34&lt;&gt;"")*(D38=""),IF((D34&lt;=$B$442)*((D35&gt;=$C$442)+(D35&lt;2/24)),1,0),0)</f>
        <v>0</v>
      </c>
      <c r="AE36" s="6">
        <f>IF((E34&lt;&gt;"")*(E38=""),IF((E34&lt;=$B$442)*((E35&gt;=$C$442)+(E35&lt;2/24)),1,0),0)</f>
        <v>0</v>
      </c>
      <c r="AF36" s="6">
        <f>IF((F34&lt;&gt;"")*(F38=""),IF((F34&lt;=$B$442)*((F35&gt;=$C$442)+(F35&lt;2/24)),1,0),0)</f>
        <v>0</v>
      </c>
      <c r="AG36" s="6">
        <f>IF((G34&lt;&gt;"")*(G38=""),IF((G34&lt;=$B$442)*((G35&gt;=$C$442)+(G35&lt;2/24)),1,0),0)</f>
        <v>0</v>
      </c>
      <c r="AH36" s="6">
        <f>IF((H34&lt;&gt;"")*(H38=""),IF((H34&lt;=$B$442)*((H35&gt;=$C$442)+(H35&lt;2/24)),1,0),0)</f>
        <v>0</v>
      </c>
      <c r="AI36" s="6">
        <f>IF((I34&lt;&gt;"")*(I38=""),IF((I34&lt;=$B$442)*((I35&gt;=$C$442)+(I35&lt;2/24)),1,0),0)</f>
        <v>0</v>
      </c>
      <c r="AJ36" s="6">
        <f>IF((J34&lt;&gt;"")*(J38=""),IF((J34&lt;=$B$442)*((J35&gt;=$C$442)+(J35&lt;2/24)),1,0),0)</f>
        <v>0</v>
      </c>
    </row>
    <row r="37" spans="1:36" hidden="1" x14ac:dyDescent="0.2">
      <c r="A37" s="39"/>
      <c r="B37" s="40"/>
      <c r="C37" s="15" t="s">
        <v>3</v>
      </c>
      <c r="D37" s="43"/>
      <c r="E37" s="43"/>
      <c r="F37" s="43"/>
      <c r="G37" s="43"/>
      <c r="H37" s="43"/>
      <c r="I37" s="43"/>
      <c r="J37" s="44"/>
      <c r="K37" s="18">
        <f>SUMIF(D38:J38,"",D37:J37)</f>
        <v>0</v>
      </c>
      <c r="L37" s="12">
        <f>SUM(D37:J37)</f>
        <v>0</v>
      </c>
      <c r="M37" s="24"/>
      <c r="N37" s="10">
        <f t="shared" ref="N37:T37" si="10">IF(D38="",D37,0)</f>
        <v>0</v>
      </c>
      <c r="O37" s="10">
        <f t="shared" si="10"/>
        <v>0</v>
      </c>
      <c r="P37" s="10">
        <f t="shared" si="10"/>
        <v>0</v>
      </c>
      <c r="Q37" s="10">
        <f t="shared" si="10"/>
        <v>0</v>
      </c>
      <c r="R37" s="10">
        <f t="shared" si="10"/>
        <v>0</v>
      </c>
      <c r="S37" s="10">
        <f t="shared" si="10"/>
        <v>0</v>
      </c>
      <c r="T37" s="10">
        <f t="shared" si="10"/>
        <v>0</v>
      </c>
      <c r="U37" s="10"/>
      <c r="V37" s="10">
        <f t="shared" ref="V37:AB37" si="11">D37</f>
        <v>0</v>
      </c>
      <c r="W37" s="10">
        <f t="shared" si="11"/>
        <v>0</v>
      </c>
      <c r="X37" s="10">
        <f t="shared" si="11"/>
        <v>0</v>
      </c>
      <c r="Y37" s="10">
        <f t="shared" si="11"/>
        <v>0</v>
      </c>
      <c r="Z37" s="10">
        <f t="shared" si="11"/>
        <v>0</v>
      </c>
      <c r="AA37" s="10">
        <f t="shared" si="11"/>
        <v>0</v>
      </c>
      <c r="AB37" s="10">
        <f t="shared" si="11"/>
        <v>0</v>
      </c>
      <c r="AD37" s="6">
        <f>IF((D34&lt;&gt;"")*(D38=""),IF((D34&lt;=$B$443)*((D35&gt;=$C$443)+(D35&lt;2/24)),1,0),0)</f>
        <v>0</v>
      </c>
      <c r="AE37" s="6">
        <f>IF((E34&lt;&gt;"")*(E38=""),IF((E34&lt;=$B$443)*((E35&gt;=$C$443)+(E35&lt;2/24)),1,0),0)</f>
        <v>0</v>
      </c>
      <c r="AF37" s="6">
        <f>IF((F34&lt;&gt;"")*(F38=""),IF((F34&lt;=$B$443)*((F35&gt;=$C$443)+(F35&lt;2/24)),1,0),0)</f>
        <v>0</v>
      </c>
      <c r="AG37" s="6">
        <f>IF((G34&lt;&gt;"")*(G38=""),IF((G34&lt;=$B$443)*((G35&gt;=$C$443)+(G35&lt;2/24)),1,0),0)</f>
        <v>0</v>
      </c>
      <c r="AH37" s="6">
        <f>IF((H34&lt;&gt;"")*(H38=""),IF((H34&lt;=$B$443)*((H35&gt;=$C$443)+(H35&lt;2/24)),1,0),0)</f>
        <v>0</v>
      </c>
      <c r="AI37" s="6">
        <f>IF((I34&lt;&gt;"")*(I38=""),IF((I34&lt;=$B$443)*((I35&gt;=$C$443)+(I35&lt;2/24)),1,0),0)</f>
        <v>0</v>
      </c>
      <c r="AJ37" s="6">
        <f>IF((J34&lt;&gt;"")*(J38=""),IF((J34&lt;=$B$443)*((J35&gt;=$C$443)+(J35&lt;2/24)),1,0),0)</f>
        <v>0</v>
      </c>
    </row>
    <row r="38" spans="1:36" hidden="1" x14ac:dyDescent="0.2">
      <c r="A38" s="39"/>
      <c r="B38" s="40"/>
      <c r="C38" s="32" t="s">
        <v>4</v>
      </c>
      <c r="D38" s="33"/>
      <c r="E38" s="33"/>
      <c r="F38" s="33"/>
      <c r="G38" s="33"/>
      <c r="H38" s="33"/>
      <c r="I38" s="33"/>
      <c r="J38" s="33"/>
      <c r="K38" s="17"/>
      <c r="L38" s="6"/>
      <c r="M38" s="25"/>
      <c r="N38" s="6"/>
      <c r="O38" s="6"/>
      <c r="P38" s="6"/>
      <c r="Q38" s="6"/>
      <c r="R38" s="6"/>
      <c r="S38" s="6"/>
      <c r="T38" s="6"/>
      <c r="U38" s="6"/>
      <c r="V38" s="20"/>
      <c r="W38" s="20"/>
      <c r="X38" s="20"/>
      <c r="Y38" s="20"/>
      <c r="Z38" s="20"/>
      <c r="AA38" s="20"/>
      <c r="AB38" s="20"/>
      <c r="AD38" s="6">
        <f>IF((D34&lt;&gt;"")*(D38=""),IF((D34&lt;=$B$444)*((D35&gt;=$C$444)+(D35&lt;2/24)),1,0),0)</f>
        <v>0</v>
      </c>
      <c r="AE38" s="6">
        <f>IF((E34&lt;&gt;"")*(E38=""),IF((E34&lt;=$B$444)*((E35&gt;=$C$444)+(E35&lt;2/24)),1,0),0)</f>
        <v>0</v>
      </c>
      <c r="AF38" s="6">
        <f>IF((F34&lt;&gt;"")*(F38=""),IF((F34&lt;=$B$444)*((F35&gt;=$C$444)+(F35&lt;2/24)),1,0),0)</f>
        <v>0</v>
      </c>
      <c r="AG38" s="6">
        <f>IF((G34&lt;&gt;"")*(G38=""),IF((G34&lt;=$B$444)*((G35&gt;=$C$444)+(G35&lt;2/24)),1,0),0)</f>
        <v>0</v>
      </c>
      <c r="AH38" s="6">
        <f>IF((H34&lt;&gt;"")*(H38=""),IF((H34&lt;=$B$444)*((H35&gt;=$C$444)+(H35&lt;2/24)),1,0),0)</f>
        <v>0</v>
      </c>
      <c r="AI38" s="6">
        <f>IF((I34&lt;&gt;"")*(I38=""),IF((I34&lt;=$B$444)*((I35&gt;=$C$444)+(I35&lt;2/24)),1,0),0)</f>
        <v>0</v>
      </c>
      <c r="AJ38" s="6">
        <f>IF((J34&lt;&gt;"")*(J38=""),IF((J34&lt;=$B$444)*((J35&gt;=$C$444)+(J35&lt;2/24)),1,0),0)</f>
        <v>0</v>
      </c>
    </row>
    <row r="39" spans="1:36" ht="13.5" hidden="1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  <c r="N39" s="6"/>
      <c r="O39" s="6"/>
      <c r="P39" s="6"/>
      <c r="Q39" s="6"/>
      <c r="R39" s="6"/>
      <c r="S39" s="6"/>
      <c r="T39" s="6"/>
      <c r="U39" s="6"/>
      <c r="V39" s="20"/>
      <c r="W39" s="20"/>
      <c r="X39" s="20"/>
      <c r="Y39" s="20"/>
      <c r="Z39" s="20"/>
      <c r="AA39" s="20"/>
      <c r="AB39" s="20"/>
      <c r="AD39" s="6"/>
      <c r="AE39" s="6"/>
      <c r="AF39" s="6"/>
      <c r="AG39" s="6"/>
      <c r="AH39" s="6"/>
      <c r="AI39" s="6"/>
      <c r="AJ39" s="6"/>
    </row>
    <row r="40" spans="1:36" hidden="1" x14ac:dyDescent="0.2">
      <c r="A40" s="37" t="s">
        <v>29</v>
      </c>
      <c r="B40" s="38" t="s">
        <v>30</v>
      </c>
      <c r="C40" s="14" t="s">
        <v>0</v>
      </c>
      <c r="D40" s="26"/>
      <c r="E40" s="26"/>
      <c r="F40" s="26"/>
      <c r="G40" s="26"/>
      <c r="H40" s="26"/>
      <c r="I40" s="26"/>
      <c r="J40" s="26"/>
      <c r="K40" s="16"/>
      <c r="L40" s="6"/>
      <c r="M40" s="21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D40" s="6">
        <f>IF((D40&lt;&gt;"")*(D44=""),IF((D40&lt;=$B$440)*((D41&gt;=$C$440)+(D41&lt;2/24)),1,0),0)</f>
        <v>0</v>
      </c>
      <c r="AE40" s="6">
        <f>IF((E40&lt;&gt;"")*(E44=""),IF((E40&lt;=$B$440)*((E41&gt;=$C$440)+(E41&lt;2/24)),1,0),0)</f>
        <v>0</v>
      </c>
      <c r="AF40" s="6">
        <f>IF((F40&lt;&gt;"")*(F44=""),IF((F40&lt;=$B$440)*((F41&gt;=$C$440)+(F41&lt;2/24)),1,0),0)</f>
        <v>0</v>
      </c>
      <c r="AG40" s="6">
        <f>IF((G40&lt;&gt;"")*(G44=""),IF((G40&lt;=$B$440)*((G41&gt;=$C$440)+(G41&lt;2/24)),1,0),0)</f>
        <v>0</v>
      </c>
      <c r="AH40" s="6">
        <f>IF((H40&lt;&gt;"")*(H44=""),IF((H40&lt;=$B$440)*((H41&gt;=$C$440)+(H41&lt;2/24)),1,0),0)</f>
        <v>0</v>
      </c>
      <c r="AI40" s="6">
        <f>IF((I40&lt;&gt;"")*(I44=""),IF((I40&lt;=$B$440)*((I41&gt;=$C$440)+(I41&lt;2/24)),1,0),0)</f>
        <v>0</v>
      </c>
      <c r="AJ40" s="6">
        <f>IF((J40&lt;&gt;"")*(J44=""),IF((J40&lt;=$B$440)*((J41&gt;=$C$440)+(J41&lt;2/24)),1,0),0)</f>
        <v>0</v>
      </c>
    </row>
    <row r="41" spans="1:36" hidden="1" x14ac:dyDescent="0.2">
      <c r="A41" s="39"/>
      <c r="B41" s="40"/>
      <c r="C41" s="15" t="s">
        <v>1</v>
      </c>
      <c r="D41" s="27"/>
      <c r="E41" s="27"/>
      <c r="F41" s="27"/>
      <c r="G41" s="27"/>
      <c r="H41" s="27"/>
      <c r="I41" s="27"/>
      <c r="J41" s="27"/>
      <c r="K41" s="17"/>
      <c r="L41" s="6"/>
      <c r="M41" s="21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D41" s="6">
        <f>IF((D40&lt;&gt;"")*(D44=""),IF((D40&lt;=$B$441)*((D41&gt;=$C$441)+(D41&lt;2/24)),1,0),0)</f>
        <v>0</v>
      </c>
      <c r="AE41" s="6">
        <f>IF((E40&lt;&gt;"")*(E44=""),IF((E40&lt;=$B$441)*((E41&gt;=$C$441)+(E41&lt;2/24)),1,0),0)</f>
        <v>0</v>
      </c>
      <c r="AF41" s="6">
        <f>IF((F40&lt;&gt;"")*(F44=""),IF((F40&lt;=$B$441)*((F41&gt;=$C$441)+(F41&lt;2/24)),1,0),0)</f>
        <v>0</v>
      </c>
      <c r="AG41" s="6">
        <f>IF((G40&lt;&gt;"")*(G44=""),IF((G40&lt;=$B$441)*((G41&gt;=$C$441)+(G41&lt;2/24)),1,0),0)</f>
        <v>0</v>
      </c>
      <c r="AH41" s="6">
        <f>IF((H40&lt;&gt;"")*(H44=""),IF((H40&lt;=$B$441)*((H41&gt;=$C$441)+(H41&lt;2/24)),1,0),0)</f>
        <v>0</v>
      </c>
      <c r="AI41" s="6">
        <f>IF((I40&lt;&gt;"")*(I44=""),IF((I40&lt;=$B$441)*((I41&gt;=$C$441)+(I41&lt;2/24)),1,0),0)</f>
        <v>0</v>
      </c>
      <c r="AJ41" s="6">
        <f>IF((J40&lt;&gt;"")*(J44=""),IF((J40&lt;=$B$441)*((J41&gt;=$C$441)+(J41&lt;2/24)),1,0),0)</f>
        <v>0</v>
      </c>
    </row>
    <row r="42" spans="1:36" hidden="1" x14ac:dyDescent="0.2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D42" s="6">
        <f>IF((D40&lt;&gt;"")*(D44=""),IF((D40&lt;=$B$442)*((D41&gt;=$C$442)+(D41&lt;2/24)),1,0),0)</f>
        <v>0</v>
      </c>
      <c r="AE42" s="6">
        <f>IF((E40&lt;&gt;"")*(E44=""),IF((E40&lt;=$B$442)*((E41&gt;=$C$442)+(E41&lt;2/24)),1,0),0)</f>
        <v>0</v>
      </c>
      <c r="AF42" s="6">
        <f>IF((F40&lt;&gt;"")*(F44=""),IF((F40&lt;=$B$442)*((F41&gt;=$C$442)+(F41&lt;2/24)),1,0),0)</f>
        <v>0</v>
      </c>
      <c r="AG42" s="6">
        <f>IF((G40&lt;&gt;"")*(G44=""),IF((G40&lt;=$B$442)*((G41&gt;=$C$442)+(G41&lt;2/24)),1,0),0)</f>
        <v>0</v>
      </c>
      <c r="AH42" s="6">
        <f>IF((H40&lt;&gt;"")*(H44=""),IF((H40&lt;=$B$442)*((H41&gt;=$C$442)+(H41&lt;2/24)),1,0),0)</f>
        <v>0</v>
      </c>
      <c r="AI42" s="6">
        <f>IF((I40&lt;&gt;"")*(I44=""),IF((I40&lt;=$B$442)*((I41&gt;=$C$442)+(I41&lt;2/24)),1,0),0)</f>
        <v>0</v>
      </c>
      <c r="AJ42" s="6">
        <f>IF((J40&lt;&gt;"")*(J44=""),IF((J40&lt;=$B$442)*((J41&gt;=$C$442)+(J41&lt;2/24)),1,0),0)</f>
        <v>0</v>
      </c>
    </row>
    <row r="43" spans="1:36" hidden="1" x14ac:dyDescent="0.2">
      <c r="A43" s="39"/>
      <c r="B43" s="40"/>
      <c r="C43" s="15" t="s">
        <v>3</v>
      </c>
      <c r="D43" s="43"/>
      <c r="E43" s="43"/>
      <c r="F43" s="43"/>
      <c r="G43" s="43"/>
      <c r="H43" s="43"/>
      <c r="I43" s="43"/>
      <c r="J43" s="44"/>
      <c r="K43" s="18">
        <f>SUMIF(D44:J44,"",D43:J43)</f>
        <v>0</v>
      </c>
      <c r="L43" s="12">
        <f>SUM(D43:J43)</f>
        <v>0</v>
      </c>
      <c r="M43" s="24"/>
      <c r="N43" s="10">
        <f t="shared" ref="N43:T43" si="12">IF(D44="",D43,0)</f>
        <v>0</v>
      </c>
      <c r="O43" s="10">
        <f t="shared" si="12"/>
        <v>0</v>
      </c>
      <c r="P43" s="10">
        <f t="shared" si="12"/>
        <v>0</v>
      </c>
      <c r="Q43" s="10">
        <f t="shared" si="12"/>
        <v>0</v>
      </c>
      <c r="R43" s="10">
        <f t="shared" si="12"/>
        <v>0</v>
      </c>
      <c r="S43" s="10">
        <f t="shared" si="12"/>
        <v>0</v>
      </c>
      <c r="T43" s="10">
        <f t="shared" si="12"/>
        <v>0</v>
      </c>
      <c r="U43" s="10"/>
      <c r="V43" s="10">
        <f t="shared" ref="V43:AB43" si="13">D43</f>
        <v>0</v>
      </c>
      <c r="W43" s="10">
        <f t="shared" si="13"/>
        <v>0</v>
      </c>
      <c r="X43" s="10">
        <f t="shared" si="13"/>
        <v>0</v>
      </c>
      <c r="Y43" s="10">
        <f t="shared" si="13"/>
        <v>0</v>
      </c>
      <c r="Z43" s="10">
        <f t="shared" si="13"/>
        <v>0</v>
      </c>
      <c r="AA43" s="10">
        <f t="shared" si="13"/>
        <v>0</v>
      </c>
      <c r="AB43" s="10">
        <f t="shared" si="13"/>
        <v>0</v>
      </c>
      <c r="AD43" s="6">
        <f>IF((D40&lt;&gt;"")*(D44=""),IF((D40&lt;=$B$443)*((D41&gt;=$C$443)+(D41&lt;2/24)),1,0),0)</f>
        <v>0</v>
      </c>
      <c r="AE43" s="6">
        <f>IF((E40&lt;&gt;"")*(E44=""),IF((E40&lt;=$B$443)*((E41&gt;=$C$443)+(E41&lt;2/24)),1,0),0)</f>
        <v>0</v>
      </c>
      <c r="AF43" s="6">
        <f>IF((F40&lt;&gt;"")*(F44=""),IF((F40&lt;=$B$443)*((F41&gt;=$C$443)+(F41&lt;2/24)),1,0),0)</f>
        <v>0</v>
      </c>
      <c r="AG43" s="6">
        <f>IF((G40&lt;&gt;"")*(G44=""),IF((G40&lt;=$B$443)*((G41&gt;=$C$443)+(G41&lt;2/24)),1,0),0)</f>
        <v>0</v>
      </c>
      <c r="AH43" s="6">
        <f>IF((H40&lt;&gt;"")*(H44=""),IF((H40&lt;=$B$443)*((H41&gt;=$C$443)+(H41&lt;2/24)),1,0),0)</f>
        <v>0</v>
      </c>
      <c r="AI43" s="6">
        <f>IF((I40&lt;&gt;"")*(I44=""),IF((I40&lt;=$B$443)*((I41&gt;=$C$443)+(I41&lt;2/24)),1,0),0)</f>
        <v>0</v>
      </c>
      <c r="AJ43" s="6">
        <f>IF((J40&lt;&gt;"")*(J44=""),IF((J40&lt;=$B$443)*((J41&gt;=$C$443)+(J41&lt;2/24)),1,0),0)</f>
        <v>0</v>
      </c>
    </row>
    <row r="44" spans="1:36" hidden="1" x14ac:dyDescent="0.2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  <c r="N44" s="6"/>
      <c r="O44" s="6"/>
      <c r="P44" s="6"/>
      <c r="Q44" s="6"/>
      <c r="R44" s="6"/>
      <c r="S44" s="6"/>
      <c r="T44" s="6"/>
      <c r="U44" s="6"/>
      <c r="V44" s="20"/>
      <c r="W44" s="20"/>
      <c r="X44" s="20"/>
      <c r="Y44" s="20"/>
      <c r="Z44" s="20"/>
      <c r="AA44" s="20"/>
      <c r="AB44" s="20"/>
      <c r="AD44" s="6">
        <f>IF((D40&lt;&gt;"")*(D44=""),IF((D40&lt;=$B$444)*((D41&gt;=$C$444)+(D41&lt;2/24)),1,0),0)</f>
        <v>0</v>
      </c>
      <c r="AE44" s="6">
        <f>IF((E40&lt;&gt;"")*(E44=""),IF((E40&lt;=$B$444)*((E41&gt;=$C$444)+(E41&lt;2/24)),1,0),0)</f>
        <v>0</v>
      </c>
      <c r="AF44" s="6">
        <f>IF((F40&lt;&gt;"")*(F44=""),IF((F40&lt;=$B$444)*((F41&gt;=$C$444)+(F41&lt;2/24)),1,0),0)</f>
        <v>0</v>
      </c>
      <c r="AG44" s="6">
        <f>IF((G40&lt;&gt;"")*(G44=""),IF((G40&lt;=$B$444)*((G41&gt;=$C$444)+(G41&lt;2/24)),1,0),0)</f>
        <v>0</v>
      </c>
      <c r="AH44" s="6">
        <f>IF((H40&lt;&gt;"")*(H44=""),IF((H40&lt;=$B$444)*((H41&gt;=$C$444)+(H41&lt;2/24)),1,0),0)</f>
        <v>0</v>
      </c>
      <c r="AI44" s="6">
        <f>IF((I40&lt;&gt;"")*(I44=""),IF((I40&lt;=$B$444)*((I41&gt;=$C$444)+(I41&lt;2/24)),1,0),0)</f>
        <v>0</v>
      </c>
      <c r="AJ44" s="6">
        <f>IF((J40&lt;&gt;"")*(J44=""),IF((J40&lt;=$B$444)*((J41&gt;=$C$444)+(J41&lt;2/24)),1,0),0)</f>
        <v>0</v>
      </c>
    </row>
    <row r="45" spans="1:36" ht="13.5" hidden="1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  <c r="N45" s="6"/>
      <c r="O45" s="6"/>
      <c r="P45" s="6"/>
      <c r="Q45" s="6"/>
      <c r="R45" s="6"/>
      <c r="S45" s="6"/>
      <c r="T45" s="6"/>
      <c r="U45" s="6"/>
      <c r="V45" s="20"/>
      <c r="W45" s="20"/>
      <c r="X45" s="20"/>
      <c r="Y45" s="20"/>
      <c r="Z45" s="20"/>
      <c r="AA45" s="20"/>
      <c r="AB45" s="20"/>
      <c r="AD45" s="6"/>
      <c r="AE45" s="6"/>
      <c r="AF45" s="6"/>
      <c r="AG45" s="6"/>
      <c r="AH45" s="6"/>
      <c r="AI45" s="6"/>
      <c r="AJ45" s="6"/>
    </row>
    <row r="46" spans="1:36" hidden="1" x14ac:dyDescent="0.2">
      <c r="A46" s="37" t="s">
        <v>29</v>
      </c>
      <c r="B46" s="38" t="s">
        <v>30</v>
      </c>
      <c r="C46" s="14" t="s">
        <v>0</v>
      </c>
      <c r="D46" s="26"/>
      <c r="E46" s="26"/>
      <c r="F46" s="26"/>
      <c r="G46" s="26"/>
      <c r="H46" s="26"/>
      <c r="I46" s="26"/>
      <c r="J46" s="26"/>
      <c r="K46" s="16"/>
      <c r="L46" s="6"/>
      <c r="M46" s="21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D46" s="6">
        <f>IF((D46&lt;&gt;"")*(D50=""),IF((D46&lt;=$B$440)*((D47&gt;=$C$440)+(D47&lt;2/24)),1,0),0)</f>
        <v>0</v>
      </c>
      <c r="AE46" s="6">
        <f>IF((E46&lt;&gt;"")*(E50=""),IF((E46&lt;=$B$440)*((E47&gt;=$C$440)+(E47&lt;2/24)),1,0),0)</f>
        <v>0</v>
      </c>
      <c r="AF46" s="6">
        <f>IF((F46&lt;&gt;"")*(F50=""),IF((F46&lt;=$B$440)*((F47&gt;=$C$440)+(F47&lt;2/24)),1,0),0)</f>
        <v>0</v>
      </c>
      <c r="AG46" s="6">
        <f>IF((G46&lt;&gt;"")*(G50=""),IF((G46&lt;=$B$440)*((G47&gt;=$C$440)+(G47&lt;2/24)),1,0),0)</f>
        <v>0</v>
      </c>
      <c r="AH46" s="6">
        <f>IF((H46&lt;&gt;"")*(H50=""),IF((H46&lt;=$B$440)*((H47&gt;=$C$440)+(H47&lt;2/24)),1,0),0)</f>
        <v>0</v>
      </c>
      <c r="AI46" s="6">
        <f>IF((I46&lt;&gt;"")*(I50=""),IF((I46&lt;=$B$440)*((I47&gt;=$C$440)+(I47&lt;2/24)),1,0),0)</f>
        <v>0</v>
      </c>
      <c r="AJ46" s="6">
        <f>IF((J46&lt;&gt;"")*(J50=""),IF((J46&lt;=$B$440)*((J47&gt;=$C$440)+(J47&lt;2/24)),1,0),0)</f>
        <v>0</v>
      </c>
    </row>
    <row r="47" spans="1:36" hidden="1" x14ac:dyDescent="0.2">
      <c r="A47" s="39"/>
      <c r="B47" s="40"/>
      <c r="C47" s="15" t="s">
        <v>1</v>
      </c>
      <c r="D47" s="27"/>
      <c r="E47" s="27"/>
      <c r="F47" s="27"/>
      <c r="G47" s="27"/>
      <c r="H47" s="27"/>
      <c r="I47" s="27"/>
      <c r="J47" s="27"/>
      <c r="K47" s="17"/>
      <c r="L47" s="6"/>
      <c r="M47" s="21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D47" s="6">
        <f>IF((D46&lt;&gt;"")*(D50=""),IF((D46&lt;=$B$441)*((D47&gt;=$C$441)+(D47&lt;2/24)),1,0),0)</f>
        <v>0</v>
      </c>
      <c r="AE47" s="6">
        <f>IF((E46&lt;&gt;"")*(E50=""),IF((E46&lt;=$B$441)*((E47&gt;=$C$441)+(E47&lt;2/24)),1,0),0)</f>
        <v>0</v>
      </c>
      <c r="AF47" s="6">
        <f>IF((F46&lt;&gt;"")*(F50=""),IF((F46&lt;=$B$441)*((F47&gt;=$C$441)+(F47&lt;2/24)),1,0),0)</f>
        <v>0</v>
      </c>
      <c r="AG47" s="6">
        <f>IF((G46&lt;&gt;"")*(G50=""),IF((G46&lt;=$B$441)*((G47&gt;=$C$441)+(G47&lt;2/24)),1,0),0)</f>
        <v>0</v>
      </c>
      <c r="AH47" s="6">
        <f>IF((H46&lt;&gt;"")*(H50=""),IF((H46&lt;=$B$441)*((H47&gt;=$C$441)+(H47&lt;2/24)),1,0),0)</f>
        <v>0</v>
      </c>
      <c r="AI47" s="6">
        <f>IF((I46&lt;&gt;"")*(I50=""),IF((I46&lt;=$B$441)*((I47&gt;=$C$441)+(I47&lt;2/24)),1,0),0)</f>
        <v>0</v>
      </c>
      <c r="AJ47" s="6">
        <f>IF((J46&lt;&gt;"")*(J50=""),IF((J46&lt;=$B$441)*((J47&gt;=$C$441)+(J47&lt;2/24)),1,0),0)</f>
        <v>0</v>
      </c>
    </row>
    <row r="48" spans="1:36" hidden="1" x14ac:dyDescent="0.2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  <c r="L48" s="6"/>
      <c r="M48" s="21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D48" s="6">
        <f>IF((D46&lt;&gt;"")*(D50=""),IF((D46&lt;=$B$442)*((D47&gt;=$C$442)+(D47&lt;2/24)),1,0),0)</f>
        <v>0</v>
      </c>
      <c r="AE48" s="6">
        <f>IF((E46&lt;&gt;"")*(E50=""),IF((E46&lt;=$B$442)*((E47&gt;=$C$442)+(E47&lt;2/24)),1,0),0)</f>
        <v>0</v>
      </c>
      <c r="AF48" s="6">
        <f>IF((F46&lt;&gt;"")*(F50=""),IF((F46&lt;=$B$442)*((F47&gt;=$C$442)+(F47&lt;2/24)),1,0),0)</f>
        <v>0</v>
      </c>
      <c r="AG48" s="6">
        <f>IF((G46&lt;&gt;"")*(G50=""),IF((G46&lt;=$B$442)*((G47&gt;=$C$442)+(G47&lt;2/24)),1,0),0)</f>
        <v>0</v>
      </c>
      <c r="AH48" s="6">
        <f>IF((H46&lt;&gt;"")*(H50=""),IF((H46&lt;=$B$442)*((H47&gt;=$C$442)+(H47&lt;2/24)),1,0),0)</f>
        <v>0</v>
      </c>
      <c r="AI48" s="6">
        <f>IF((I46&lt;&gt;"")*(I50=""),IF((I46&lt;=$B$442)*((I47&gt;=$C$442)+(I47&lt;2/24)),1,0),0)</f>
        <v>0</v>
      </c>
      <c r="AJ48" s="6">
        <f>IF((J46&lt;&gt;"")*(J50=""),IF((J46&lt;=$B$442)*((J47&gt;=$C$442)+(J47&lt;2/24)),1,0),0)</f>
        <v>0</v>
      </c>
    </row>
    <row r="49" spans="1:36" hidden="1" x14ac:dyDescent="0.2">
      <c r="A49" s="39"/>
      <c r="B49" s="40"/>
      <c r="C49" s="15" t="s">
        <v>3</v>
      </c>
      <c r="D49" s="43"/>
      <c r="E49" s="43"/>
      <c r="F49" s="43"/>
      <c r="G49" s="43"/>
      <c r="H49" s="43"/>
      <c r="I49" s="43"/>
      <c r="J49" s="44"/>
      <c r="K49" s="18">
        <f>SUMIF(D50:J50,"",D49:J49)</f>
        <v>0</v>
      </c>
      <c r="L49" s="12">
        <f>SUM(D49:J49)</f>
        <v>0</v>
      </c>
      <c r="M49" s="24"/>
      <c r="N49" s="10">
        <f t="shared" ref="N49:T49" si="14">IF(D50="",D49,0)</f>
        <v>0</v>
      </c>
      <c r="O49" s="10">
        <f t="shared" si="14"/>
        <v>0</v>
      </c>
      <c r="P49" s="10">
        <f t="shared" si="14"/>
        <v>0</v>
      </c>
      <c r="Q49" s="10">
        <f t="shared" si="14"/>
        <v>0</v>
      </c>
      <c r="R49" s="10">
        <f t="shared" si="14"/>
        <v>0</v>
      </c>
      <c r="S49" s="10">
        <f t="shared" si="14"/>
        <v>0</v>
      </c>
      <c r="T49" s="10">
        <f t="shared" si="14"/>
        <v>0</v>
      </c>
      <c r="U49" s="10"/>
      <c r="V49" s="10">
        <f t="shared" ref="V49:AB49" si="15">D49</f>
        <v>0</v>
      </c>
      <c r="W49" s="10">
        <f t="shared" si="15"/>
        <v>0</v>
      </c>
      <c r="X49" s="10">
        <f t="shared" si="15"/>
        <v>0</v>
      </c>
      <c r="Y49" s="10">
        <f t="shared" si="15"/>
        <v>0</v>
      </c>
      <c r="Z49" s="10">
        <f t="shared" si="15"/>
        <v>0</v>
      </c>
      <c r="AA49" s="10">
        <f t="shared" si="15"/>
        <v>0</v>
      </c>
      <c r="AB49" s="10">
        <f t="shared" si="15"/>
        <v>0</v>
      </c>
      <c r="AD49" s="6">
        <f>IF((D46&lt;&gt;"")*(D50=""),IF((D46&lt;=$B$443)*((D47&gt;=$C$443)+(D47&lt;2/24)),1,0),0)</f>
        <v>0</v>
      </c>
      <c r="AE49" s="6">
        <f>IF((E46&lt;&gt;"")*(E50=""),IF((E46&lt;=$B$443)*((E47&gt;=$C$443)+(E47&lt;2/24)),1,0),0)</f>
        <v>0</v>
      </c>
      <c r="AF49" s="6">
        <f>IF((F46&lt;&gt;"")*(F50=""),IF((F46&lt;=$B$443)*((F47&gt;=$C$443)+(F47&lt;2/24)),1,0),0)</f>
        <v>0</v>
      </c>
      <c r="AG49" s="6">
        <f>IF((G46&lt;&gt;"")*(G50=""),IF((G46&lt;=$B$443)*((G47&gt;=$C$443)+(G47&lt;2/24)),1,0),0)</f>
        <v>0</v>
      </c>
      <c r="AH49" s="6">
        <f>IF((H46&lt;&gt;"")*(H50=""),IF((H46&lt;=$B$443)*((H47&gt;=$C$443)+(H47&lt;2/24)),1,0),0)</f>
        <v>0</v>
      </c>
      <c r="AI49" s="6">
        <f>IF((I46&lt;&gt;"")*(I50=""),IF((I46&lt;=$B$443)*((I47&gt;=$C$443)+(I47&lt;2/24)),1,0),0)</f>
        <v>0</v>
      </c>
      <c r="AJ49" s="6">
        <f>IF((J46&lt;&gt;"")*(J50=""),IF((J46&lt;=$B$443)*((J47&gt;=$C$443)+(J47&lt;2/24)),1,0),0)</f>
        <v>0</v>
      </c>
    </row>
    <row r="50" spans="1:36" hidden="1" x14ac:dyDescent="0.2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  <c r="N50" s="6"/>
      <c r="O50" s="6"/>
      <c r="P50" s="6"/>
      <c r="Q50" s="6"/>
      <c r="R50" s="6"/>
      <c r="S50" s="6"/>
      <c r="T50" s="6"/>
      <c r="U50" s="6"/>
      <c r="V50" s="20"/>
      <c r="W50" s="20"/>
      <c r="X50" s="20"/>
      <c r="Y50" s="20"/>
      <c r="Z50" s="20"/>
      <c r="AA50" s="20"/>
      <c r="AB50" s="20"/>
      <c r="AD50" s="6">
        <f>IF((D46&lt;&gt;"")*(D50=""),IF((D46&lt;=$B$444)*((D47&gt;=$C$444)+(D47&lt;2/24)),1,0),0)</f>
        <v>0</v>
      </c>
      <c r="AE50" s="6">
        <f>IF((E46&lt;&gt;"")*(E50=""),IF((E46&lt;=$B$444)*((E47&gt;=$C$444)+(E47&lt;2/24)),1,0),0)</f>
        <v>0</v>
      </c>
      <c r="AF50" s="6">
        <f>IF((F46&lt;&gt;"")*(F50=""),IF((F46&lt;=$B$444)*((F47&gt;=$C$444)+(F47&lt;2/24)),1,0),0)</f>
        <v>0</v>
      </c>
      <c r="AG50" s="6">
        <f>IF((G46&lt;&gt;"")*(G50=""),IF((G46&lt;=$B$444)*((G47&gt;=$C$444)+(G47&lt;2/24)),1,0),0)</f>
        <v>0</v>
      </c>
      <c r="AH50" s="6">
        <f>IF((H46&lt;&gt;"")*(H50=""),IF((H46&lt;=$B$444)*((H47&gt;=$C$444)+(H47&lt;2/24)),1,0),0)</f>
        <v>0</v>
      </c>
      <c r="AI50" s="6">
        <f>IF((I46&lt;&gt;"")*(I50=""),IF((I46&lt;=$B$444)*((I47&gt;=$C$444)+(I47&lt;2/24)),1,0),0)</f>
        <v>0</v>
      </c>
      <c r="AJ50" s="6">
        <f>IF((J46&lt;&gt;"")*(J50=""),IF((J46&lt;=$B$444)*((J47&gt;=$C$444)+(J47&lt;2/24)),1,0),0)</f>
        <v>0</v>
      </c>
    </row>
    <row r="51" spans="1:36" ht="13.5" hidden="1" thickBot="1" x14ac:dyDescent="0.25">
      <c r="A51" s="41"/>
      <c r="B51" s="42"/>
      <c r="C51" s="35" t="s">
        <v>28</v>
      </c>
      <c r="D51" s="36"/>
      <c r="E51" s="36"/>
      <c r="F51" s="36"/>
      <c r="G51" s="36"/>
      <c r="H51" s="36"/>
      <c r="I51" s="36"/>
      <c r="J51" s="36"/>
      <c r="K51" s="34"/>
      <c r="L51" s="6"/>
      <c r="M51" s="25"/>
      <c r="N51" s="6"/>
      <c r="O51" s="6"/>
      <c r="P51" s="6"/>
      <c r="Q51" s="6"/>
      <c r="R51" s="6"/>
      <c r="S51" s="6"/>
      <c r="T51" s="6"/>
      <c r="U51" s="6"/>
      <c r="V51" s="20"/>
      <c r="W51" s="20"/>
      <c r="X51" s="20"/>
      <c r="Y51" s="20"/>
      <c r="Z51" s="20"/>
      <c r="AA51" s="20"/>
      <c r="AB51" s="20"/>
      <c r="AD51" s="6"/>
      <c r="AE51" s="6"/>
      <c r="AF51" s="6"/>
      <c r="AG51" s="6"/>
      <c r="AH51" s="6"/>
      <c r="AI51" s="6"/>
      <c r="AJ51" s="6"/>
    </row>
    <row r="52" spans="1:36" hidden="1" x14ac:dyDescent="0.2">
      <c r="A52" s="37" t="s">
        <v>29</v>
      </c>
      <c r="B52" s="38" t="s">
        <v>30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D52" s="6">
        <f>IF((D52&lt;&gt;"")*(D56=""),IF((D52&lt;=$B$440)*((D53&gt;=$C$440)+(D53&lt;2/24)),1,0),0)</f>
        <v>0</v>
      </c>
      <c r="AE52" s="6">
        <f>IF((E52&lt;&gt;"")*(E56=""),IF((E52&lt;=$B$440)*((E53&gt;=$C$440)+(E53&lt;2/24)),1,0),0)</f>
        <v>0</v>
      </c>
      <c r="AF52" s="6">
        <f>IF((F52&lt;&gt;"")*(F56=""),IF((F52&lt;=$B$440)*((F53&gt;=$C$440)+(F53&lt;2/24)),1,0),0)</f>
        <v>0</v>
      </c>
      <c r="AG52" s="6">
        <f>IF((G52&lt;&gt;"")*(G56=""),IF((G52&lt;=$B$440)*((G53&gt;=$C$440)+(G53&lt;2/24)),1,0),0)</f>
        <v>0</v>
      </c>
      <c r="AH52" s="6">
        <f>IF((H52&lt;&gt;"")*(H56=""),IF((H52&lt;=$B$440)*((H53&gt;=$C$440)+(H53&lt;2/24)),1,0),0)</f>
        <v>0</v>
      </c>
      <c r="AI52" s="6">
        <f>IF((I52&lt;&gt;"")*(I56=""),IF((I52&lt;=$B$440)*((I53&gt;=$C$440)+(I53&lt;2/24)),1,0),0)</f>
        <v>0</v>
      </c>
      <c r="AJ52" s="6">
        <f>IF((J52&lt;&gt;"")*(J56=""),IF((J52&lt;=$B$440)*((J53&gt;=$C$440)+(J53&lt;2/24)),1,0),0)</f>
        <v>0</v>
      </c>
    </row>
    <row r="53" spans="1:36" hidden="1" x14ac:dyDescent="0.2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D53" s="6">
        <f>IF((D52&lt;&gt;"")*(D56=""),IF((D52&lt;=$B$441)*((D53&gt;=$C$441)+(D53&lt;2/24)),1,0),0)</f>
        <v>0</v>
      </c>
      <c r="AE53" s="6">
        <f>IF((E52&lt;&gt;"")*(E56=""),IF((E52&lt;=$B$441)*((E53&gt;=$C$441)+(E53&lt;2/24)),1,0),0)</f>
        <v>0</v>
      </c>
      <c r="AF53" s="6">
        <f>IF((F52&lt;&gt;"")*(F56=""),IF((F52&lt;=$B$441)*((F53&gt;=$C$441)+(F53&lt;2/24)),1,0),0)</f>
        <v>0</v>
      </c>
      <c r="AG53" s="6">
        <f>IF((G52&lt;&gt;"")*(G56=""),IF((G52&lt;=$B$441)*((G53&gt;=$C$441)+(G53&lt;2/24)),1,0),0)</f>
        <v>0</v>
      </c>
      <c r="AH53" s="6">
        <f>IF((H52&lt;&gt;"")*(H56=""),IF((H52&lt;=$B$441)*((H53&gt;=$C$441)+(H53&lt;2/24)),1,0),0)</f>
        <v>0</v>
      </c>
      <c r="AI53" s="6">
        <f>IF((I52&lt;&gt;"")*(I56=""),IF((I52&lt;=$B$441)*((I53&gt;=$C$441)+(I53&lt;2/24)),1,0),0)</f>
        <v>0</v>
      </c>
      <c r="AJ53" s="6">
        <f>IF((J52&lt;&gt;"")*(J56=""),IF((J52&lt;=$B$441)*((J53&gt;=$C$441)+(J53&lt;2/24)),1,0),0)</f>
        <v>0</v>
      </c>
    </row>
    <row r="54" spans="1:36" hidden="1" x14ac:dyDescent="0.2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  <c r="L54" s="6"/>
      <c r="M54" s="21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D54" s="6">
        <f>IF((D52&lt;&gt;"")*(D56=""),IF((D52&lt;=$B$442)*((D53&gt;=$C$442)+(D53&lt;2/24)),1,0),0)</f>
        <v>0</v>
      </c>
      <c r="AE54" s="6">
        <f>IF((E52&lt;&gt;"")*(E56=""),IF((E52&lt;=$B$442)*((E53&gt;=$C$442)+(E53&lt;2/24)),1,0),0)</f>
        <v>0</v>
      </c>
      <c r="AF54" s="6">
        <f>IF((F52&lt;&gt;"")*(F56=""),IF((F52&lt;=$B$442)*((F53&gt;=$C$442)+(F53&lt;2/24)),1,0),0)</f>
        <v>0</v>
      </c>
      <c r="AG54" s="6">
        <f>IF((G52&lt;&gt;"")*(G56=""),IF((G52&lt;=$B$442)*((G53&gt;=$C$442)+(G53&lt;2/24)),1,0),0)</f>
        <v>0</v>
      </c>
      <c r="AH54" s="6">
        <f>IF((H52&lt;&gt;"")*(H56=""),IF((H52&lt;=$B$442)*((H53&gt;=$C$442)+(H53&lt;2/24)),1,0),0)</f>
        <v>0</v>
      </c>
      <c r="AI54" s="6">
        <f>IF((I52&lt;&gt;"")*(I56=""),IF((I52&lt;=$B$442)*((I53&gt;=$C$442)+(I53&lt;2/24)),1,0),0)</f>
        <v>0</v>
      </c>
      <c r="AJ54" s="6">
        <f>IF((J52&lt;&gt;"")*(J56=""),IF((J52&lt;=$B$442)*((J53&gt;=$C$442)+(J53&lt;2/24)),1,0),0)</f>
        <v>0</v>
      </c>
    </row>
    <row r="55" spans="1:36" hidden="1" x14ac:dyDescent="0.2">
      <c r="A55" s="39"/>
      <c r="B55" s="40"/>
      <c r="C55" s="15" t="s">
        <v>3</v>
      </c>
      <c r="D55" s="43"/>
      <c r="E55" s="43"/>
      <c r="F55" s="43"/>
      <c r="G55" s="43"/>
      <c r="H55" s="43"/>
      <c r="I55" s="43"/>
      <c r="J55" s="44"/>
      <c r="K55" s="18">
        <f>SUMIF(D56:J56,"",D55:J55)</f>
        <v>0</v>
      </c>
      <c r="L55" s="12">
        <f>SUM(D55:J55)</f>
        <v>0</v>
      </c>
      <c r="M55" s="24"/>
      <c r="N55" s="10">
        <f t="shared" ref="N55:T55" si="16">IF(D56="",D55,0)</f>
        <v>0</v>
      </c>
      <c r="O55" s="10">
        <f t="shared" si="16"/>
        <v>0</v>
      </c>
      <c r="P55" s="10">
        <f t="shared" si="16"/>
        <v>0</v>
      </c>
      <c r="Q55" s="10">
        <f t="shared" si="16"/>
        <v>0</v>
      </c>
      <c r="R55" s="10">
        <f t="shared" si="16"/>
        <v>0</v>
      </c>
      <c r="S55" s="10">
        <f t="shared" si="16"/>
        <v>0</v>
      </c>
      <c r="T55" s="10">
        <f t="shared" si="16"/>
        <v>0</v>
      </c>
      <c r="U55" s="10"/>
      <c r="V55" s="10">
        <f t="shared" ref="V55:AB55" si="17">D55</f>
        <v>0</v>
      </c>
      <c r="W55" s="10">
        <f t="shared" si="17"/>
        <v>0</v>
      </c>
      <c r="X55" s="10">
        <f t="shared" si="17"/>
        <v>0</v>
      </c>
      <c r="Y55" s="10">
        <f t="shared" si="17"/>
        <v>0</v>
      </c>
      <c r="Z55" s="10">
        <f t="shared" si="17"/>
        <v>0</v>
      </c>
      <c r="AA55" s="10">
        <f t="shared" si="17"/>
        <v>0</v>
      </c>
      <c r="AB55" s="10">
        <f t="shared" si="17"/>
        <v>0</v>
      </c>
      <c r="AD55" s="6">
        <f>IF((D52&lt;&gt;"")*(D56=""),IF((D52&lt;=$B$443)*((D53&gt;=$C$443)+(D53&lt;2/24)),1,0),0)</f>
        <v>0</v>
      </c>
      <c r="AE55" s="6">
        <f>IF((E52&lt;&gt;"")*(E56=""),IF((E52&lt;=$B$443)*((E53&gt;=$C$443)+(E53&lt;2/24)),1,0),0)</f>
        <v>0</v>
      </c>
      <c r="AF55" s="6">
        <f>IF((F52&lt;&gt;"")*(F56=""),IF((F52&lt;=$B$443)*((F53&gt;=$C$443)+(F53&lt;2/24)),1,0),0)</f>
        <v>0</v>
      </c>
      <c r="AG55" s="6">
        <f>IF((G52&lt;&gt;"")*(G56=""),IF((G52&lt;=$B$443)*((G53&gt;=$C$443)+(G53&lt;2/24)),1,0),0)</f>
        <v>0</v>
      </c>
      <c r="AH55" s="6">
        <f>IF((H52&lt;&gt;"")*(H56=""),IF((H52&lt;=$B$443)*((H53&gt;=$C$443)+(H53&lt;2/24)),1,0),0)</f>
        <v>0</v>
      </c>
      <c r="AI55" s="6">
        <f>IF((I52&lt;&gt;"")*(I56=""),IF((I52&lt;=$B$443)*((I53&gt;=$C$443)+(I53&lt;2/24)),1,0),0)</f>
        <v>0</v>
      </c>
      <c r="AJ55" s="6">
        <f>IF((J52&lt;&gt;"")*(J56=""),IF((J52&lt;=$B$443)*((J53&gt;=$C$443)+(J53&lt;2/24)),1,0),0)</f>
        <v>0</v>
      </c>
    </row>
    <row r="56" spans="1:36" hidden="1" x14ac:dyDescent="0.2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  <c r="N56" s="6"/>
      <c r="O56" s="6"/>
      <c r="P56" s="6"/>
      <c r="Q56" s="6"/>
      <c r="R56" s="6"/>
      <c r="S56" s="6"/>
      <c r="T56" s="6"/>
      <c r="U56" s="6"/>
      <c r="V56" s="20"/>
      <c r="W56" s="20"/>
      <c r="X56" s="20"/>
      <c r="Y56" s="20"/>
      <c r="Z56" s="20"/>
      <c r="AA56" s="20"/>
      <c r="AB56" s="20"/>
      <c r="AD56" s="6">
        <f>IF((D52&lt;&gt;"")*(D56=""),IF((D52&lt;=$B$444)*((D53&gt;=$C$444)+(D53&lt;2/24)),1,0),0)</f>
        <v>0</v>
      </c>
      <c r="AE56" s="6">
        <f>IF((E52&lt;&gt;"")*(E56=""),IF((E52&lt;=$B$444)*((E53&gt;=$C$444)+(E53&lt;2/24)),1,0),0)</f>
        <v>0</v>
      </c>
      <c r="AF56" s="6">
        <f>IF((F52&lt;&gt;"")*(F56=""),IF((F52&lt;=$B$444)*((F53&gt;=$C$444)+(F53&lt;2/24)),1,0),0)</f>
        <v>0</v>
      </c>
      <c r="AG56" s="6">
        <f>IF((G52&lt;&gt;"")*(G56=""),IF((G52&lt;=$B$444)*((G53&gt;=$C$444)+(G53&lt;2/24)),1,0),0)</f>
        <v>0</v>
      </c>
      <c r="AH56" s="6">
        <f>IF((H52&lt;&gt;"")*(H56=""),IF((H52&lt;=$B$444)*((H53&gt;=$C$444)+(H53&lt;2/24)),1,0),0)</f>
        <v>0</v>
      </c>
      <c r="AI56" s="6">
        <f>IF((I52&lt;&gt;"")*(I56=""),IF((I52&lt;=$B$444)*((I53&gt;=$C$444)+(I53&lt;2/24)),1,0),0)</f>
        <v>0</v>
      </c>
      <c r="AJ56" s="6">
        <f>IF((J52&lt;&gt;"")*(J56=""),IF((J52&lt;=$B$444)*((J53&gt;=$C$444)+(J53&lt;2/24)),1,0),0)</f>
        <v>0</v>
      </c>
    </row>
    <row r="57" spans="1:36" ht="13.5" hidden="1" thickBot="1" x14ac:dyDescent="0.25">
      <c r="A57" s="41"/>
      <c r="B57" s="42"/>
      <c r="C57" s="35" t="s">
        <v>28</v>
      </c>
      <c r="D57" s="36"/>
      <c r="E57" s="36"/>
      <c r="F57" s="36"/>
      <c r="G57" s="36"/>
      <c r="H57" s="36"/>
      <c r="I57" s="36"/>
      <c r="J57" s="36"/>
      <c r="K57" s="34"/>
      <c r="L57" s="6"/>
      <c r="M57" s="25"/>
      <c r="N57" s="6"/>
      <c r="O57" s="6"/>
      <c r="P57" s="6"/>
      <c r="Q57" s="6"/>
      <c r="R57" s="6"/>
      <c r="S57" s="6"/>
      <c r="T57" s="6"/>
      <c r="U57" s="6"/>
      <c r="V57" s="20"/>
      <c r="W57" s="20"/>
      <c r="X57" s="20"/>
      <c r="Y57" s="20"/>
      <c r="Z57" s="20"/>
      <c r="AA57" s="20"/>
      <c r="AB57" s="20"/>
      <c r="AD57" s="6"/>
      <c r="AE57" s="6"/>
      <c r="AF57" s="6"/>
      <c r="AG57" s="6"/>
      <c r="AH57" s="6"/>
      <c r="AI57" s="6"/>
      <c r="AJ57" s="6"/>
    </row>
    <row r="58" spans="1:36" hidden="1" x14ac:dyDescent="0.2">
      <c r="A58" s="37" t="s">
        <v>29</v>
      </c>
      <c r="B58" s="38" t="s">
        <v>30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  <c r="L58" s="6"/>
      <c r="M58" s="21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D58" s="6">
        <f>IF((D58&lt;&gt;"")*(D62=""),IF((D58&lt;=$B$440)*((D59&gt;=$C$440)+(D59&lt;2/24)),1,0),0)</f>
        <v>0</v>
      </c>
      <c r="AE58" s="6">
        <f>IF((E58&lt;&gt;"")*(E62=""),IF((E58&lt;=$B$440)*((E59&gt;=$C$440)+(E59&lt;2/24)),1,0),0)</f>
        <v>0</v>
      </c>
      <c r="AF58" s="6">
        <f>IF((F58&lt;&gt;"")*(F62=""),IF((F58&lt;=$B$440)*((F59&gt;=$C$440)+(F59&lt;2/24)),1,0),0)</f>
        <v>0</v>
      </c>
      <c r="AG58" s="6">
        <f>IF((G58&lt;&gt;"")*(G62=""),IF((G58&lt;=$B$440)*((G59&gt;=$C$440)+(G59&lt;2/24)),1,0),0)</f>
        <v>0</v>
      </c>
      <c r="AH58" s="6">
        <f>IF((H58&lt;&gt;"")*(H62=""),IF((H58&lt;=$B$440)*((H59&gt;=$C$440)+(H59&lt;2/24)),1,0),0)</f>
        <v>0</v>
      </c>
      <c r="AI58" s="6">
        <f>IF((I58&lt;&gt;"")*(I62=""),IF((I58&lt;=$B$440)*((I59&gt;=$C$440)+(I59&lt;2/24)),1,0),0)</f>
        <v>0</v>
      </c>
      <c r="AJ58" s="6">
        <f>IF((J58&lt;&gt;"")*(J62=""),IF((J58&lt;=$B$440)*((J59&gt;=$C$440)+(J59&lt;2/24)),1,0),0)</f>
        <v>0</v>
      </c>
    </row>
    <row r="59" spans="1:36" hidden="1" x14ac:dyDescent="0.2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  <c r="L59" s="6"/>
      <c r="M59" s="21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D59" s="6">
        <f>IF((D58&lt;&gt;"")*(D62=""),IF((D58&lt;=$B$441)*((D59&gt;=$C$441)+(D59&lt;2/24)),1,0),0)</f>
        <v>0</v>
      </c>
      <c r="AE59" s="6">
        <f>IF((E58&lt;&gt;"")*(E62=""),IF((E58&lt;=$B$441)*((E59&gt;=$C$441)+(E59&lt;2/24)),1,0),0)</f>
        <v>0</v>
      </c>
      <c r="AF59" s="6">
        <f>IF((F58&lt;&gt;"")*(F62=""),IF((F58&lt;=$B$441)*((F59&gt;=$C$441)+(F59&lt;2/24)),1,0),0)</f>
        <v>0</v>
      </c>
      <c r="AG59" s="6">
        <f>IF((G58&lt;&gt;"")*(G62=""),IF((G58&lt;=$B$441)*((G59&gt;=$C$441)+(G59&lt;2/24)),1,0),0)</f>
        <v>0</v>
      </c>
      <c r="AH59" s="6">
        <f>IF((H58&lt;&gt;"")*(H62=""),IF((H58&lt;=$B$441)*((H59&gt;=$C$441)+(H59&lt;2/24)),1,0),0)</f>
        <v>0</v>
      </c>
      <c r="AI59" s="6">
        <f>IF((I58&lt;&gt;"")*(I62=""),IF((I58&lt;=$B$441)*((I59&gt;=$C$441)+(I59&lt;2/24)),1,0),0)</f>
        <v>0</v>
      </c>
      <c r="AJ59" s="6">
        <f>IF((J58&lt;&gt;"")*(J62=""),IF((J58&lt;=$B$441)*((J59&gt;=$C$441)+(J59&lt;2/24)),1,0),0)</f>
        <v>0</v>
      </c>
    </row>
    <row r="60" spans="1:36" hidden="1" x14ac:dyDescent="0.2">
      <c r="A60" s="39"/>
      <c r="B60" s="40"/>
      <c r="C60" s="15" t="s">
        <v>2</v>
      </c>
      <c r="D60" s="4"/>
      <c r="E60" s="4"/>
      <c r="F60" s="4"/>
      <c r="G60" s="4"/>
      <c r="H60" s="4"/>
      <c r="I60" s="4"/>
      <c r="J60" s="4"/>
      <c r="K60" s="17"/>
      <c r="L60" s="6"/>
      <c r="M60" s="21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D60" s="6">
        <f>IF((D58&lt;&gt;"")*(D62=""),IF((D58&lt;=$B$442)*((D59&gt;=$C$442)+(D59&lt;2/24)),1,0),0)</f>
        <v>0</v>
      </c>
      <c r="AE60" s="6">
        <f>IF((E58&lt;&gt;"")*(E62=""),IF((E58&lt;=$B$442)*((E59&gt;=$C$442)+(E59&lt;2/24)),1,0),0)</f>
        <v>0</v>
      </c>
      <c r="AF60" s="6">
        <f>IF((F58&lt;&gt;"")*(F62=""),IF((F58&lt;=$B$442)*((F59&gt;=$C$442)+(F59&lt;2/24)),1,0),0)</f>
        <v>0</v>
      </c>
      <c r="AG60" s="6">
        <f>IF((G58&lt;&gt;"")*(G62=""),IF((G58&lt;=$B$442)*((G59&gt;=$C$442)+(G59&lt;2/24)),1,0),0)</f>
        <v>0</v>
      </c>
      <c r="AH60" s="6">
        <f>IF((H58&lt;&gt;"")*(H62=""),IF((H58&lt;=$B$442)*((H59&gt;=$C$442)+(H59&lt;2/24)),1,0),0)</f>
        <v>0</v>
      </c>
      <c r="AI60" s="6">
        <f>IF((I58&lt;&gt;"")*(I62=""),IF((I58&lt;=$B$442)*((I59&gt;=$C$442)+(I59&lt;2/24)),1,0),0)</f>
        <v>0</v>
      </c>
      <c r="AJ60" s="6">
        <f>IF((J58&lt;&gt;"")*(J62=""),IF((J58&lt;=$B$442)*((J59&gt;=$C$442)+(J59&lt;2/24)),1,0),0)</f>
        <v>0</v>
      </c>
    </row>
    <row r="61" spans="1:36" hidden="1" x14ac:dyDescent="0.2">
      <c r="A61" s="39"/>
      <c r="B61" s="40"/>
      <c r="C61" s="15" t="s">
        <v>3</v>
      </c>
      <c r="D61" s="43"/>
      <c r="E61" s="43"/>
      <c r="F61" s="43"/>
      <c r="G61" s="43"/>
      <c r="H61" s="43"/>
      <c r="I61" s="43"/>
      <c r="J61" s="44"/>
      <c r="K61" s="18">
        <f>SUMIF(D62:J62,"",D61:J61)</f>
        <v>0</v>
      </c>
      <c r="L61" s="12">
        <f>SUM(D61:J61)</f>
        <v>0</v>
      </c>
      <c r="M61" s="24"/>
      <c r="N61" s="10">
        <f t="shared" ref="N61:T61" si="18">IF(D62="",D61,0)</f>
        <v>0</v>
      </c>
      <c r="O61" s="10">
        <f t="shared" si="18"/>
        <v>0</v>
      </c>
      <c r="P61" s="10">
        <f t="shared" si="18"/>
        <v>0</v>
      </c>
      <c r="Q61" s="10">
        <f t="shared" si="18"/>
        <v>0</v>
      </c>
      <c r="R61" s="10">
        <f t="shared" si="18"/>
        <v>0</v>
      </c>
      <c r="S61" s="10">
        <f t="shared" si="18"/>
        <v>0</v>
      </c>
      <c r="T61" s="10">
        <f t="shared" si="18"/>
        <v>0</v>
      </c>
      <c r="U61" s="10"/>
      <c r="V61" s="10">
        <f t="shared" ref="V61:AB61" si="19">D61</f>
        <v>0</v>
      </c>
      <c r="W61" s="10">
        <f t="shared" si="19"/>
        <v>0</v>
      </c>
      <c r="X61" s="10">
        <f t="shared" si="19"/>
        <v>0</v>
      </c>
      <c r="Y61" s="10">
        <f t="shared" si="19"/>
        <v>0</v>
      </c>
      <c r="Z61" s="10">
        <f t="shared" si="19"/>
        <v>0</v>
      </c>
      <c r="AA61" s="10">
        <f t="shared" si="19"/>
        <v>0</v>
      </c>
      <c r="AB61" s="10">
        <f t="shared" si="19"/>
        <v>0</v>
      </c>
      <c r="AD61" s="6">
        <f>IF((D58&lt;&gt;"")*(D62=""),IF((D58&lt;=$B$443)*((D59&gt;=$C$443)+(D59&lt;2/24)),1,0),0)</f>
        <v>0</v>
      </c>
      <c r="AE61" s="6">
        <f>IF((E58&lt;&gt;"")*(E62=""),IF((E58&lt;=$B$443)*((E59&gt;=$C$443)+(E59&lt;2/24)),1,0),0)</f>
        <v>0</v>
      </c>
      <c r="AF61" s="6">
        <f>IF((F58&lt;&gt;"")*(F62=""),IF((F58&lt;=$B$443)*((F59&gt;=$C$443)+(F59&lt;2/24)),1,0),0)</f>
        <v>0</v>
      </c>
      <c r="AG61" s="6">
        <f>IF((G58&lt;&gt;"")*(G62=""),IF((G58&lt;=$B$443)*((G59&gt;=$C$443)+(G59&lt;2/24)),1,0),0)</f>
        <v>0</v>
      </c>
      <c r="AH61" s="6">
        <f>IF((H58&lt;&gt;"")*(H62=""),IF((H58&lt;=$B$443)*((H59&gt;=$C$443)+(H59&lt;2/24)),1,0),0)</f>
        <v>0</v>
      </c>
      <c r="AI61" s="6">
        <f>IF((I58&lt;&gt;"")*(I62=""),IF((I58&lt;=$B$443)*((I59&gt;=$C$443)+(I59&lt;2/24)),1,0),0)</f>
        <v>0</v>
      </c>
      <c r="AJ61" s="6">
        <f>IF((J58&lt;&gt;"")*(J62=""),IF((J58&lt;=$B$443)*((J59&gt;=$C$443)+(J59&lt;2/24)),1,0),0)</f>
        <v>0</v>
      </c>
    </row>
    <row r="62" spans="1:36" hidden="1" x14ac:dyDescent="0.2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  <c r="N62" s="6"/>
      <c r="O62" s="6"/>
      <c r="P62" s="6"/>
      <c r="Q62" s="6"/>
      <c r="R62" s="6"/>
      <c r="S62" s="6"/>
      <c r="T62" s="6"/>
      <c r="U62" s="6"/>
      <c r="V62" s="20"/>
      <c r="W62" s="20"/>
      <c r="X62" s="20"/>
      <c r="Y62" s="20"/>
      <c r="Z62" s="20"/>
      <c r="AA62" s="20"/>
      <c r="AB62" s="20"/>
      <c r="AD62" s="6">
        <f>IF((D58&lt;&gt;"")*(D62=""),IF((D58&lt;=$B$444)*((D59&gt;=$C$444)+(D59&lt;2/24)),1,0),0)</f>
        <v>0</v>
      </c>
      <c r="AE62" s="6">
        <f>IF((E58&lt;&gt;"")*(E62=""),IF((E58&lt;=$B$444)*((E59&gt;=$C$444)+(E59&lt;2/24)),1,0),0)</f>
        <v>0</v>
      </c>
      <c r="AF62" s="6">
        <f>IF((F58&lt;&gt;"")*(F62=""),IF((F58&lt;=$B$444)*((F59&gt;=$C$444)+(F59&lt;2/24)),1,0),0)</f>
        <v>0</v>
      </c>
      <c r="AG62" s="6">
        <f>IF((G58&lt;&gt;"")*(G62=""),IF((G58&lt;=$B$444)*((G59&gt;=$C$444)+(G59&lt;2/24)),1,0),0)</f>
        <v>0</v>
      </c>
      <c r="AH62" s="6">
        <f>IF((H58&lt;&gt;"")*(H62=""),IF((H58&lt;=$B$444)*((H59&gt;=$C$444)+(H59&lt;2/24)),1,0),0)</f>
        <v>0</v>
      </c>
      <c r="AI62" s="6">
        <f>IF((I58&lt;&gt;"")*(I62=""),IF((I58&lt;=$B$444)*((I59&gt;=$C$444)+(I59&lt;2/24)),1,0),0)</f>
        <v>0</v>
      </c>
      <c r="AJ62" s="6">
        <f>IF((J58&lt;&gt;"")*(J62=""),IF((J58&lt;=$B$444)*((J59&gt;=$C$444)+(J59&lt;2/24)),1,0),0)</f>
        <v>0</v>
      </c>
    </row>
    <row r="63" spans="1:36" ht="13.5" hidden="1" thickBot="1" x14ac:dyDescent="0.25">
      <c r="A63" s="41"/>
      <c r="B63" s="42"/>
      <c r="C63" s="35" t="s">
        <v>28</v>
      </c>
      <c r="D63" s="36"/>
      <c r="E63" s="36"/>
      <c r="F63" s="36"/>
      <c r="G63" s="36"/>
      <c r="H63" s="36"/>
      <c r="I63" s="36"/>
      <c r="J63" s="36"/>
      <c r="K63" s="34"/>
      <c r="L63" s="6"/>
      <c r="M63" s="25"/>
      <c r="N63" s="6"/>
      <c r="O63" s="6"/>
      <c r="P63" s="6"/>
      <c r="Q63" s="6"/>
      <c r="R63" s="6"/>
      <c r="S63" s="6"/>
      <c r="T63" s="6"/>
      <c r="U63" s="6"/>
      <c r="V63" s="20"/>
      <c r="W63" s="20"/>
      <c r="X63" s="20"/>
      <c r="Y63" s="20"/>
      <c r="Z63" s="20"/>
      <c r="AA63" s="20"/>
      <c r="AB63" s="20"/>
      <c r="AD63" s="6"/>
      <c r="AE63" s="6"/>
      <c r="AF63" s="6"/>
      <c r="AG63" s="6"/>
      <c r="AH63" s="6"/>
      <c r="AI63" s="6"/>
      <c r="AJ63" s="6"/>
    </row>
    <row r="64" spans="1:36" hidden="1" x14ac:dyDescent="0.2">
      <c r="A64" s="37" t="s">
        <v>29</v>
      </c>
      <c r="B64" s="38" t="s">
        <v>30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  <c r="L64" s="6"/>
      <c r="M64" s="21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D64" s="6">
        <f>IF((D64&lt;&gt;"")*(D68=""),IF((D64&lt;=$B$440)*((D65&gt;=$C$440)+(D65&lt;2/24)),1,0),0)</f>
        <v>0</v>
      </c>
      <c r="AE64" s="6">
        <f>IF((E64&lt;&gt;"")*(E68=""),IF((E64&lt;=$B$440)*((E65&gt;=$C$440)+(E65&lt;2/24)),1,0),0)</f>
        <v>0</v>
      </c>
      <c r="AF64" s="6">
        <f>IF((F64&lt;&gt;"")*(F68=""),IF((F64&lt;=$B$440)*((F65&gt;=$C$440)+(F65&lt;2/24)),1,0),0)</f>
        <v>0</v>
      </c>
      <c r="AG64" s="6">
        <f>IF((G64&lt;&gt;"")*(G68=""),IF((G64&lt;=$B$440)*((G65&gt;=$C$440)+(G65&lt;2/24)),1,0),0)</f>
        <v>0</v>
      </c>
      <c r="AH64" s="6">
        <f>IF((H64&lt;&gt;"")*(H68=""),IF((H64&lt;=$B$440)*((H65&gt;=$C$440)+(H65&lt;2/24)),1,0),0)</f>
        <v>0</v>
      </c>
      <c r="AI64" s="6">
        <f>IF((I64&lt;&gt;"")*(I68=""),IF((I64&lt;=$B$440)*((I65&gt;=$C$440)+(I65&lt;2/24)),1,0),0)</f>
        <v>0</v>
      </c>
      <c r="AJ64" s="6">
        <f>IF((J64&lt;&gt;"")*(J68=""),IF((J64&lt;=$B$440)*((J65&gt;=$C$440)+(J65&lt;2/24)),1,0),0)</f>
        <v>0</v>
      </c>
    </row>
    <row r="65" spans="1:36" hidden="1" x14ac:dyDescent="0.2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1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D65" s="6">
        <f>IF((D64&lt;&gt;"")*(D68=""),IF((D64&lt;=$B$441)*((D65&gt;=$C$441)+(D65&lt;2/24)),1,0),0)</f>
        <v>0</v>
      </c>
      <c r="AE65" s="6">
        <f>IF((E64&lt;&gt;"")*(E68=""),IF((E64&lt;=$B$441)*((E65&gt;=$C$441)+(E65&lt;2/24)),1,0),0)</f>
        <v>0</v>
      </c>
      <c r="AF65" s="6">
        <f>IF((F64&lt;&gt;"")*(F68=""),IF((F64&lt;=$B$441)*((F65&gt;=$C$441)+(F65&lt;2/24)),1,0),0)</f>
        <v>0</v>
      </c>
      <c r="AG65" s="6">
        <f>IF((G64&lt;&gt;"")*(G68=""),IF((G64&lt;=$B$441)*((G65&gt;=$C$441)+(G65&lt;2/24)),1,0),0)</f>
        <v>0</v>
      </c>
      <c r="AH65" s="6">
        <f>IF((H64&lt;&gt;"")*(H68=""),IF((H64&lt;=$B$441)*((H65&gt;=$C$441)+(H65&lt;2/24)),1,0),0)</f>
        <v>0</v>
      </c>
      <c r="AI65" s="6">
        <f>IF((I64&lt;&gt;"")*(I68=""),IF((I64&lt;=$B$441)*((I65&gt;=$C$441)+(I65&lt;2/24)),1,0),0)</f>
        <v>0</v>
      </c>
      <c r="AJ65" s="6">
        <f>IF((J64&lt;&gt;"")*(J68=""),IF((J64&lt;=$B$441)*((J65&gt;=$C$441)+(J65&lt;2/24)),1,0),0)</f>
        <v>0</v>
      </c>
    </row>
    <row r="66" spans="1:36" hidden="1" x14ac:dyDescent="0.2">
      <c r="A66" s="39"/>
      <c r="B66" s="40"/>
      <c r="C66" s="15" t="s">
        <v>2</v>
      </c>
      <c r="D66" s="4"/>
      <c r="E66" s="4"/>
      <c r="F66" s="4"/>
      <c r="G66" s="4"/>
      <c r="H66" s="4"/>
      <c r="I66" s="4"/>
      <c r="J66" s="4"/>
      <c r="K66" s="17"/>
      <c r="L66" s="6"/>
      <c r="M66" s="21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D66" s="6">
        <f>IF((D64&lt;&gt;"")*(D68=""),IF((D64&lt;=$B$442)*((D65&gt;=$C$442)+(D65&lt;2/24)),1,0),0)</f>
        <v>0</v>
      </c>
      <c r="AE66" s="6">
        <f>IF((E64&lt;&gt;"")*(E68=""),IF((E64&lt;=$B$442)*((E65&gt;=$C$442)+(E65&lt;2/24)),1,0),0)</f>
        <v>0</v>
      </c>
      <c r="AF66" s="6">
        <f>IF((F64&lt;&gt;"")*(F68=""),IF((F64&lt;=$B$442)*((F65&gt;=$C$442)+(F65&lt;2/24)),1,0),0)</f>
        <v>0</v>
      </c>
      <c r="AG66" s="6">
        <f>IF((G64&lt;&gt;"")*(G68=""),IF((G64&lt;=$B$442)*((G65&gt;=$C$442)+(G65&lt;2/24)),1,0),0)</f>
        <v>0</v>
      </c>
      <c r="AH66" s="6">
        <f>IF((H64&lt;&gt;"")*(H68=""),IF((H64&lt;=$B$442)*((H65&gt;=$C$442)+(H65&lt;2/24)),1,0),0)</f>
        <v>0</v>
      </c>
      <c r="AI66" s="6">
        <f>IF((I64&lt;&gt;"")*(I68=""),IF((I64&lt;=$B$442)*((I65&gt;=$C$442)+(I65&lt;2/24)),1,0),0)</f>
        <v>0</v>
      </c>
      <c r="AJ66" s="6">
        <f>IF((J64&lt;&gt;"")*(J68=""),IF((J64&lt;=$B$442)*((J65&gt;=$C$442)+(J65&lt;2/24)),1,0),0)</f>
        <v>0</v>
      </c>
    </row>
    <row r="67" spans="1:36" hidden="1" x14ac:dyDescent="0.2">
      <c r="A67" s="39"/>
      <c r="B67" s="40"/>
      <c r="C67" s="15" t="s">
        <v>3</v>
      </c>
      <c r="D67" s="43"/>
      <c r="E67" s="43"/>
      <c r="F67" s="43"/>
      <c r="G67" s="43"/>
      <c r="H67" s="43"/>
      <c r="I67" s="43"/>
      <c r="J67" s="44"/>
      <c r="K67" s="18">
        <f>SUMIF(D68:J68,"",D67:J67)</f>
        <v>0</v>
      </c>
      <c r="L67" s="12">
        <f>SUM(D67:J67)</f>
        <v>0</v>
      </c>
      <c r="M67" s="24"/>
      <c r="N67" s="10">
        <f t="shared" ref="N67:T67" si="20">IF(D68="",D67,0)</f>
        <v>0</v>
      </c>
      <c r="O67" s="10">
        <f t="shared" si="20"/>
        <v>0</v>
      </c>
      <c r="P67" s="10">
        <f t="shared" si="20"/>
        <v>0</v>
      </c>
      <c r="Q67" s="10">
        <f t="shared" si="20"/>
        <v>0</v>
      </c>
      <c r="R67" s="10">
        <f t="shared" si="20"/>
        <v>0</v>
      </c>
      <c r="S67" s="10">
        <f t="shared" si="20"/>
        <v>0</v>
      </c>
      <c r="T67" s="10">
        <f t="shared" si="20"/>
        <v>0</v>
      </c>
      <c r="U67" s="10"/>
      <c r="V67" s="10">
        <f t="shared" ref="V67:AB67" si="21">D67</f>
        <v>0</v>
      </c>
      <c r="W67" s="10">
        <f t="shared" si="21"/>
        <v>0</v>
      </c>
      <c r="X67" s="10">
        <f t="shared" si="21"/>
        <v>0</v>
      </c>
      <c r="Y67" s="10">
        <f t="shared" si="21"/>
        <v>0</v>
      </c>
      <c r="Z67" s="10">
        <f t="shared" si="21"/>
        <v>0</v>
      </c>
      <c r="AA67" s="10">
        <f t="shared" si="21"/>
        <v>0</v>
      </c>
      <c r="AB67" s="10">
        <f t="shared" si="21"/>
        <v>0</v>
      </c>
      <c r="AD67" s="6">
        <f>IF((D64&lt;&gt;"")*(D68=""),IF((D64&lt;=$B$443)*((D65&gt;=$C$443)+(D65&lt;2/24)),1,0),0)</f>
        <v>0</v>
      </c>
      <c r="AE67" s="6">
        <f>IF((E64&lt;&gt;"")*(E68=""),IF((E64&lt;=$B$443)*((E65&gt;=$C$443)+(E65&lt;2/24)),1,0),0)</f>
        <v>0</v>
      </c>
      <c r="AF67" s="6">
        <f>IF((F64&lt;&gt;"")*(F68=""),IF((F64&lt;=$B$443)*((F65&gt;=$C$443)+(F65&lt;2/24)),1,0),0)</f>
        <v>0</v>
      </c>
      <c r="AG67" s="6">
        <f>IF((G64&lt;&gt;"")*(G68=""),IF((G64&lt;=$B$443)*((G65&gt;=$C$443)+(G65&lt;2/24)),1,0),0)</f>
        <v>0</v>
      </c>
      <c r="AH67" s="6">
        <f>IF((H64&lt;&gt;"")*(H68=""),IF((H64&lt;=$B$443)*((H65&gt;=$C$443)+(H65&lt;2/24)),1,0),0)</f>
        <v>0</v>
      </c>
      <c r="AI67" s="6">
        <f>IF((I64&lt;&gt;"")*(I68=""),IF((I64&lt;=$B$443)*((I65&gt;=$C$443)+(I65&lt;2/24)),1,0),0)</f>
        <v>0</v>
      </c>
      <c r="AJ67" s="6">
        <f>IF((J64&lt;&gt;"")*(J68=""),IF((J64&lt;=$B$443)*((J65&gt;=$C$443)+(J65&lt;2/24)),1,0),0)</f>
        <v>0</v>
      </c>
    </row>
    <row r="68" spans="1:36" hidden="1" x14ac:dyDescent="0.2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  <c r="N68" s="6"/>
      <c r="O68" s="6"/>
      <c r="P68" s="6"/>
      <c r="Q68" s="6"/>
      <c r="R68" s="6"/>
      <c r="S68" s="6"/>
      <c r="T68" s="6"/>
      <c r="U68" s="6"/>
      <c r="V68" s="20"/>
      <c r="W68" s="20"/>
      <c r="X68" s="20"/>
      <c r="Y68" s="20"/>
      <c r="Z68" s="20"/>
      <c r="AA68" s="20"/>
      <c r="AB68" s="20"/>
      <c r="AD68" s="6">
        <f>IF((D64&lt;&gt;"")*(D68=""),IF((D64&lt;=$B$444)*((D65&gt;=$C$444)+(D65&lt;2/24)),1,0),0)</f>
        <v>0</v>
      </c>
      <c r="AE68" s="6">
        <f>IF((E64&lt;&gt;"")*(E68=""),IF((E64&lt;=$B$444)*((E65&gt;=$C$444)+(E65&lt;2/24)),1,0),0)</f>
        <v>0</v>
      </c>
      <c r="AF68" s="6">
        <f>IF((F64&lt;&gt;"")*(F68=""),IF((F64&lt;=$B$444)*((F65&gt;=$C$444)+(F65&lt;2/24)),1,0),0)</f>
        <v>0</v>
      </c>
      <c r="AG68" s="6">
        <f>IF((G64&lt;&gt;"")*(G68=""),IF((G64&lt;=$B$444)*((G65&gt;=$C$444)+(G65&lt;2/24)),1,0),0)</f>
        <v>0</v>
      </c>
      <c r="AH68" s="6">
        <f>IF((H64&lt;&gt;"")*(H68=""),IF((H64&lt;=$B$444)*((H65&gt;=$C$444)+(H65&lt;2/24)),1,0),0)</f>
        <v>0</v>
      </c>
      <c r="AI68" s="6">
        <f>IF((I64&lt;&gt;"")*(I68=""),IF((I64&lt;=$B$444)*((I65&gt;=$C$444)+(I65&lt;2/24)),1,0),0)</f>
        <v>0</v>
      </c>
      <c r="AJ68" s="6">
        <f>IF((J64&lt;&gt;"")*(J68=""),IF((J64&lt;=$B$444)*((J65&gt;=$C$444)+(J65&lt;2/24)),1,0),0)</f>
        <v>0</v>
      </c>
    </row>
    <row r="69" spans="1:36" ht="13.5" hidden="1" thickBot="1" x14ac:dyDescent="0.25">
      <c r="A69" s="41"/>
      <c r="B69" s="42"/>
      <c r="C69" s="35" t="s">
        <v>28</v>
      </c>
      <c r="D69" s="36"/>
      <c r="E69" s="36"/>
      <c r="F69" s="36"/>
      <c r="G69" s="36"/>
      <c r="H69" s="36"/>
      <c r="I69" s="36"/>
      <c r="J69" s="36"/>
      <c r="K69" s="34"/>
      <c r="L69" s="6"/>
      <c r="M69" s="25"/>
      <c r="N69" s="6"/>
      <c r="O69" s="6"/>
      <c r="P69" s="6"/>
      <c r="Q69" s="6"/>
      <c r="R69" s="6"/>
      <c r="S69" s="6"/>
      <c r="T69" s="6"/>
      <c r="U69" s="6"/>
      <c r="V69" s="20"/>
      <c r="W69" s="20"/>
      <c r="X69" s="20"/>
      <c r="Y69" s="20"/>
      <c r="Z69" s="20"/>
      <c r="AA69" s="20"/>
      <c r="AB69" s="20"/>
      <c r="AD69" s="6"/>
      <c r="AE69" s="6"/>
      <c r="AF69" s="6"/>
      <c r="AG69" s="6"/>
      <c r="AH69" s="6"/>
      <c r="AI69" s="6"/>
      <c r="AJ69" s="6"/>
    </row>
    <row r="70" spans="1:36" hidden="1" x14ac:dyDescent="0.2">
      <c r="A70" s="37" t="s">
        <v>29</v>
      </c>
      <c r="B70" s="38" t="s">
        <v>30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  <c r="L70" s="6"/>
      <c r="M70" s="21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D70" s="6">
        <f>IF((D70&lt;&gt;"")*(D74=""),IF((D70&lt;=$B$440)*((D71&gt;=$C$440)+(D71&lt;2/24)),1,0),0)</f>
        <v>0</v>
      </c>
      <c r="AE70" s="6">
        <f>IF((E70&lt;&gt;"")*(E74=""),IF((E70&lt;=$B$440)*((E71&gt;=$C$440)+(E71&lt;2/24)),1,0),0)</f>
        <v>0</v>
      </c>
      <c r="AF70" s="6">
        <f>IF((F70&lt;&gt;"")*(F74=""),IF((F70&lt;=$B$440)*((F71&gt;=$C$440)+(F71&lt;2/24)),1,0),0)</f>
        <v>0</v>
      </c>
      <c r="AG70" s="6">
        <f>IF((G70&lt;&gt;"")*(G74=""),IF((G70&lt;=$B$440)*((G71&gt;=$C$440)+(G71&lt;2/24)),1,0),0)</f>
        <v>0</v>
      </c>
      <c r="AH70" s="6">
        <f>IF((H70&lt;&gt;"")*(H74=""),IF((H70&lt;=$B$440)*((H71&gt;=$C$440)+(H71&lt;2/24)),1,0),0)</f>
        <v>0</v>
      </c>
      <c r="AI70" s="6">
        <f>IF((I70&lt;&gt;"")*(I74=""),IF((I70&lt;=$B$440)*((I71&gt;=$C$440)+(I71&lt;2/24)),1,0),0)</f>
        <v>0</v>
      </c>
      <c r="AJ70" s="6">
        <f>IF((J70&lt;&gt;"")*(J74=""),IF((J70&lt;=$B$440)*((J71&gt;=$C$440)+(J71&lt;2/24)),1,0),0)</f>
        <v>0</v>
      </c>
    </row>
    <row r="71" spans="1:36" hidden="1" x14ac:dyDescent="0.2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  <c r="L71" s="6"/>
      <c r="M71" s="21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D71" s="6">
        <f>IF((D70&lt;&gt;"")*(D74=""),IF((D70&lt;=$B$441)*((D71&gt;=$C$441)+(D71&lt;2/24)),1,0),0)</f>
        <v>0</v>
      </c>
      <c r="AE71" s="6">
        <f>IF((E70&lt;&gt;"")*(E74=""),IF((E70&lt;=$B$441)*((E71&gt;=$C$441)+(E71&lt;2/24)),1,0),0)</f>
        <v>0</v>
      </c>
      <c r="AF71" s="6">
        <f>IF((F70&lt;&gt;"")*(F74=""),IF((F70&lt;=$B$441)*((F71&gt;=$C$441)+(F71&lt;2/24)),1,0),0)</f>
        <v>0</v>
      </c>
      <c r="AG71" s="6">
        <f>IF((G70&lt;&gt;"")*(G74=""),IF((G70&lt;=$B$441)*((G71&gt;=$C$441)+(G71&lt;2/24)),1,0),0)</f>
        <v>0</v>
      </c>
      <c r="AH71" s="6">
        <f>IF((H70&lt;&gt;"")*(H74=""),IF((H70&lt;=$B$441)*((H71&gt;=$C$441)+(H71&lt;2/24)),1,0),0)</f>
        <v>0</v>
      </c>
      <c r="AI71" s="6">
        <f>IF((I70&lt;&gt;"")*(I74=""),IF((I70&lt;=$B$441)*((I71&gt;=$C$441)+(I71&lt;2/24)),1,0),0)</f>
        <v>0</v>
      </c>
      <c r="AJ71" s="6">
        <f>IF((J70&lt;&gt;"")*(J74=""),IF((J70&lt;=$B$441)*((J71&gt;=$C$441)+(J71&lt;2/24)),1,0),0)</f>
        <v>0</v>
      </c>
    </row>
    <row r="72" spans="1:36" hidden="1" x14ac:dyDescent="0.2">
      <c r="A72" s="39"/>
      <c r="B72" s="40"/>
      <c r="C72" s="15" t="s">
        <v>2</v>
      </c>
      <c r="D72" s="4"/>
      <c r="E72" s="4"/>
      <c r="F72" s="4"/>
      <c r="G72" s="4"/>
      <c r="H72" s="4"/>
      <c r="I72" s="4"/>
      <c r="J72" s="4"/>
      <c r="K72" s="17"/>
      <c r="L72" s="6"/>
      <c r="M72" s="21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D72" s="6">
        <f>IF((D70&lt;&gt;"")*(D74=""),IF((D70&lt;=$B$442)*((D71&gt;=$C$442)+(D71&lt;2/24)),1,0),0)</f>
        <v>0</v>
      </c>
      <c r="AE72" s="6">
        <f>IF((E70&lt;&gt;"")*(E74=""),IF((E70&lt;=$B$442)*((E71&gt;=$C$442)+(E71&lt;2/24)),1,0),0)</f>
        <v>0</v>
      </c>
      <c r="AF72" s="6">
        <f>IF((F70&lt;&gt;"")*(F74=""),IF((F70&lt;=$B$442)*((F71&gt;=$C$442)+(F71&lt;2/24)),1,0),0)</f>
        <v>0</v>
      </c>
      <c r="AG72" s="6">
        <f>IF((G70&lt;&gt;"")*(G74=""),IF((G70&lt;=$B$442)*((G71&gt;=$C$442)+(G71&lt;2/24)),1,0),0)</f>
        <v>0</v>
      </c>
      <c r="AH72" s="6">
        <f>IF((H70&lt;&gt;"")*(H74=""),IF((H70&lt;=$B$442)*((H71&gt;=$C$442)+(H71&lt;2/24)),1,0),0)</f>
        <v>0</v>
      </c>
      <c r="AI72" s="6">
        <f>IF((I70&lt;&gt;"")*(I74=""),IF((I70&lt;=$B$442)*((I71&gt;=$C$442)+(I71&lt;2/24)),1,0),0)</f>
        <v>0</v>
      </c>
      <c r="AJ72" s="6">
        <f>IF((J70&lt;&gt;"")*(J74=""),IF((J70&lt;=$B$442)*((J71&gt;=$C$442)+(J71&lt;2/24)),1,0),0)</f>
        <v>0</v>
      </c>
    </row>
    <row r="73" spans="1:36" hidden="1" x14ac:dyDescent="0.2">
      <c r="A73" s="39"/>
      <c r="B73" s="40"/>
      <c r="C73" s="15" t="s">
        <v>3</v>
      </c>
      <c r="D73" s="43"/>
      <c r="E73" s="43"/>
      <c r="F73" s="43"/>
      <c r="G73" s="43"/>
      <c r="H73" s="43"/>
      <c r="I73" s="43"/>
      <c r="J73" s="44"/>
      <c r="K73" s="18">
        <f>SUMIF(D74:J74,"",D73:J73)</f>
        <v>0</v>
      </c>
      <c r="L73" s="12">
        <f>SUM(D73:J73)</f>
        <v>0</v>
      </c>
      <c r="M73" s="24"/>
      <c r="N73" s="10">
        <f t="shared" ref="N73:T73" si="22">IF(D74="",D73,0)</f>
        <v>0</v>
      </c>
      <c r="O73" s="10">
        <f t="shared" si="22"/>
        <v>0</v>
      </c>
      <c r="P73" s="10">
        <f t="shared" si="22"/>
        <v>0</v>
      </c>
      <c r="Q73" s="10">
        <f t="shared" si="22"/>
        <v>0</v>
      </c>
      <c r="R73" s="10">
        <f t="shared" si="22"/>
        <v>0</v>
      </c>
      <c r="S73" s="10">
        <f t="shared" si="22"/>
        <v>0</v>
      </c>
      <c r="T73" s="10">
        <f t="shared" si="22"/>
        <v>0</v>
      </c>
      <c r="U73" s="10"/>
      <c r="V73" s="10">
        <f t="shared" ref="V73:AB73" si="23">D73</f>
        <v>0</v>
      </c>
      <c r="W73" s="10">
        <f t="shared" si="23"/>
        <v>0</v>
      </c>
      <c r="X73" s="10">
        <f t="shared" si="23"/>
        <v>0</v>
      </c>
      <c r="Y73" s="10">
        <f t="shared" si="23"/>
        <v>0</v>
      </c>
      <c r="Z73" s="10">
        <f t="shared" si="23"/>
        <v>0</v>
      </c>
      <c r="AA73" s="10">
        <f t="shared" si="23"/>
        <v>0</v>
      </c>
      <c r="AB73" s="10">
        <f t="shared" si="23"/>
        <v>0</v>
      </c>
      <c r="AD73" s="6">
        <f>IF((D70&lt;&gt;"")*(D74=""),IF((D70&lt;=$B$443)*((D71&gt;=$C$443)+(D71&lt;2/24)),1,0),0)</f>
        <v>0</v>
      </c>
      <c r="AE73" s="6">
        <f>IF((E70&lt;&gt;"")*(E74=""),IF((E70&lt;=$B$443)*((E71&gt;=$C$443)+(E71&lt;2/24)),1,0),0)</f>
        <v>0</v>
      </c>
      <c r="AF73" s="6">
        <f>IF((F70&lt;&gt;"")*(F74=""),IF((F70&lt;=$B$443)*((F71&gt;=$C$443)+(F71&lt;2/24)),1,0),0)</f>
        <v>0</v>
      </c>
      <c r="AG73" s="6">
        <f>IF((G70&lt;&gt;"")*(G74=""),IF((G70&lt;=$B$443)*((G71&gt;=$C$443)+(G71&lt;2/24)),1,0),0)</f>
        <v>0</v>
      </c>
      <c r="AH73" s="6">
        <f>IF((H70&lt;&gt;"")*(H74=""),IF((H70&lt;=$B$443)*((H71&gt;=$C$443)+(H71&lt;2/24)),1,0),0)</f>
        <v>0</v>
      </c>
      <c r="AI73" s="6">
        <f>IF((I70&lt;&gt;"")*(I74=""),IF((I70&lt;=$B$443)*((I71&gt;=$C$443)+(I71&lt;2/24)),1,0),0)</f>
        <v>0</v>
      </c>
      <c r="AJ73" s="6">
        <f>IF((J70&lt;&gt;"")*(J74=""),IF((J70&lt;=$B$443)*((J71&gt;=$C$443)+(J71&lt;2/24)),1,0),0)</f>
        <v>0</v>
      </c>
    </row>
    <row r="74" spans="1:36" hidden="1" x14ac:dyDescent="0.2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  <c r="N74" s="6"/>
      <c r="O74" s="6"/>
      <c r="P74" s="6"/>
      <c r="Q74" s="6"/>
      <c r="R74" s="6"/>
      <c r="S74" s="6"/>
      <c r="T74" s="6"/>
      <c r="U74" s="6"/>
      <c r="V74" s="20"/>
      <c r="W74" s="20"/>
      <c r="X74" s="20"/>
      <c r="Y74" s="20"/>
      <c r="Z74" s="20"/>
      <c r="AA74" s="20"/>
      <c r="AB74" s="20"/>
      <c r="AD74" s="6">
        <f>IF((D70&lt;&gt;"")*(D74=""),IF((D70&lt;=$B$444)*((D71&gt;=$C$444)+(D71&lt;2/24)),1,0),0)</f>
        <v>0</v>
      </c>
      <c r="AE74" s="6">
        <f>IF((E70&lt;&gt;"")*(E74=""),IF((E70&lt;=$B$444)*((E71&gt;=$C$444)+(E71&lt;2/24)),1,0),0)</f>
        <v>0</v>
      </c>
      <c r="AF74" s="6">
        <f>IF((F70&lt;&gt;"")*(F74=""),IF((F70&lt;=$B$444)*((F71&gt;=$C$444)+(F71&lt;2/24)),1,0),0)</f>
        <v>0</v>
      </c>
      <c r="AG74" s="6">
        <f>IF((G70&lt;&gt;"")*(G74=""),IF((G70&lt;=$B$444)*((G71&gt;=$C$444)+(G71&lt;2/24)),1,0),0)</f>
        <v>0</v>
      </c>
      <c r="AH74" s="6">
        <f>IF((H70&lt;&gt;"")*(H74=""),IF((H70&lt;=$B$444)*((H71&gt;=$C$444)+(H71&lt;2/24)),1,0),0)</f>
        <v>0</v>
      </c>
      <c r="AI74" s="6">
        <f>IF((I70&lt;&gt;"")*(I74=""),IF((I70&lt;=$B$444)*((I71&gt;=$C$444)+(I71&lt;2/24)),1,0),0)</f>
        <v>0</v>
      </c>
      <c r="AJ74" s="6">
        <f>IF((J70&lt;&gt;"")*(J74=""),IF((J70&lt;=$B$444)*((J71&gt;=$C$444)+(J71&lt;2/24)),1,0),0)</f>
        <v>0</v>
      </c>
    </row>
    <row r="75" spans="1:36" ht="13.5" hidden="1" thickBot="1" x14ac:dyDescent="0.25">
      <c r="A75" s="41"/>
      <c r="B75" s="42"/>
      <c r="C75" s="35" t="s">
        <v>28</v>
      </c>
      <c r="D75" s="36"/>
      <c r="E75" s="36"/>
      <c r="F75" s="36"/>
      <c r="G75" s="36"/>
      <c r="H75" s="36"/>
      <c r="I75" s="36"/>
      <c r="J75" s="36"/>
      <c r="K75" s="34"/>
      <c r="L75" s="6"/>
      <c r="M75" s="25"/>
      <c r="N75" s="6"/>
      <c r="O75" s="6"/>
      <c r="P75" s="6"/>
      <c r="Q75" s="6"/>
      <c r="R75" s="6"/>
      <c r="S75" s="6"/>
      <c r="T75" s="6"/>
      <c r="U75" s="6"/>
      <c r="V75" s="20"/>
      <c r="W75" s="20"/>
      <c r="X75" s="20"/>
      <c r="Y75" s="20"/>
      <c r="Z75" s="20"/>
      <c r="AA75" s="20"/>
      <c r="AB75" s="20"/>
      <c r="AD75" s="6"/>
      <c r="AE75" s="6"/>
      <c r="AF75" s="6"/>
      <c r="AG75" s="6"/>
      <c r="AH75" s="6"/>
      <c r="AI75" s="6"/>
      <c r="AJ75" s="6"/>
    </row>
    <row r="76" spans="1:36" hidden="1" x14ac:dyDescent="0.2">
      <c r="A76" s="37" t="s">
        <v>29</v>
      </c>
      <c r="B76" s="38" t="s">
        <v>30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  <c r="L76" s="6"/>
      <c r="M76" s="21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D76" s="6">
        <f>IF((D76&lt;&gt;"")*(D80=""),IF((D76&lt;=$B$440)*((D77&gt;=$C$440)+(D77&lt;2/24)),1,0),0)</f>
        <v>0</v>
      </c>
      <c r="AE76" s="6">
        <f>IF((E76&lt;&gt;"")*(E80=""),IF((E76&lt;=$B$440)*((E77&gt;=$C$440)+(E77&lt;2/24)),1,0),0)</f>
        <v>0</v>
      </c>
      <c r="AF76" s="6">
        <f>IF((F76&lt;&gt;"")*(F80=""),IF((F76&lt;=$B$440)*((F77&gt;=$C$440)+(F77&lt;2/24)),1,0),0)</f>
        <v>0</v>
      </c>
      <c r="AG76" s="6">
        <f>IF((G76&lt;&gt;"")*(G80=""),IF((G76&lt;=$B$440)*((G77&gt;=$C$440)+(G77&lt;2/24)),1,0),0)</f>
        <v>0</v>
      </c>
      <c r="AH76" s="6">
        <f>IF((H76&lt;&gt;"")*(H80=""),IF((H76&lt;=$B$440)*((H77&gt;=$C$440)+(H77&lt;2/24)),1,0),0)</f>
        <v>0</v>
      </c>
      <c r="AI76" s="6">
        <f>IF((I76&lt;&gt;"")*(I80=""),IF((I76&lt;=$B$440)*((I77&gt;=$C$440)+(I77&lt;2/24)),1,0),0)</f>
        <v>0</v>
      </c>
      <c r="AJ76" s="6">
        <f>IF((J76&lt;&gt;"")*(J80=""),IF((J76&lt;=$B$440)*((J77&gt;=$C$440)+(J77&lt;2/24)),1,0),0)</f>
        <v>0</v>
      </c>
    </row>
    <row r="77" spans="1:36" hidden="1" x14ac:dyDescent="0.2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  <c r="L77" s="6"/>
      <c r="M77" s="21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D77" s="6">
        <f>IF((D76&lt;&gt;"")*(D80=""),IF((D76&lt;=$B$441)*((D77&gt;=$C$441)+(D77&lt;2/24)),1,0),0)</f>
        <v>0</v>
      </c>
      <c r="AE77" s="6">
        <f>IF((E76&lt;&gt;"")*(E80=""),IF((E76&lt;=$B$441)*((E77&gt;=$C$441)+(E77&lt;2/24)),1,0),0)</f>
        <v>0</v>
      </c>
      <c r="AF77" s="6">
        <f>IF((F76&lt;&gt;"")*(F80=""),IF((F76&lt;=$B$441)*((F77&gt;=$C$441)+(F77&lt;2/24)),1,0),0)</f>
        <v>0</v>
      </c>
      <c r="AG77" s="6">
        <f>IF((G76&lt;&gt;"")*(G80=""),IF((G76&lt;=$B$441)*((G77&gt;=$C$441)+(G77&lt;2/24)),1,0),0)</f>
        <v>0</v>
      </c>
      <c r="AH77" s="6">
        <f>IF((H76&lt;&gt;"")*(H80=""),IF((H76&lt;=$B$441)*((H77&gt;=$C$441)+(H77&lt;2/24)),1,0),0)</f>
        <v>0</v>
      </c>
      <c r="AI77" s="6">
        <f>IF((I76&lt;&gt;"")*(I80=""),IF((I76&lt;=$B$441)*((I77&gt;=$C$441)+(I77&lt;2/24)),1,0),0)</f>
        <v>0</v>
      </c>
      <c r="AJ77" s="6">
        <f>IF((J76&lt;&gt;"")*(J80=""),IF((J76&lt;=$B$441)*((J77&gt;=$C$441)+(J77&lt;2/24)),1,0),0)</f>
        <v>0</v>
      </c>
    </row>
    <row r="78" spans="1:36" hidden="1" x14ac:dyDescent="0.2">
      <c r="A78" s="39"/>
      <c r="B78" s="40"/>
      <c r="C78" s="15" t="s">
        <v>2</v>
      </c>
      <c r="D78" s="4"/>
      <c r="E78" s="4"/>
      <c r="F78" s="4"/>
      <c r="G78" s="4"/>
      <c r="H78" s="4"/>
      <c r="I78" s="4"/>
      <c r="J78" s="4"/>
      <c r="K78" s="17"/>
      <c r="L78" s="6"/>
      <c r="M78" s="21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D78" s="6">
        <f>IF((D76&lt;&gt;"")*(D80=""),IF((D76&lt;=$B$442)*((D77&gt;=$C$442)+(D77&lt;2/24)),1,0),0)</f>
        <v>0</v>
      </c>
      <c r="AE78" s="6">
        <f>IF((E76&lt;&gt;"")*(E80=""),IF((E76&lt;=$B$442)*((E77&gt;=$C$442)+(E77&lt;2/24)),1,0),0)</f>
        <v>0</v>
      </c>
      <c r="AF78" s="6">
        <f>IF((F76&lt;&gt;"")*(F80=""),IF((F76&lt;=$B$442)*((F77&gt;=$C$442)+(F77&lt;2/24)),1,0),0)</f>
        <v>0</v>
      </c>
      <c r="AG78" s="6">
        <f>IF((G76&lt;&gt;"")*(G80=""),IF((G76&lt;=$B$442)*((G77&gt;=$C$442)+(G77&lt;2/24)),1,0),0)</f>
        <v>0</v>
      </c>
      <c r="AH78" s="6">
        <f>IF((H76&lt;&gt;"")*(H80=""),IF((H76&lt;=$B$442)*((H77&gt;=$C$442)+(H77&lt;2/24)),1,0),0)</f>
        <v>0</v>
      </c>
      <c r="AI78" s="6">
        <f>IF((I76&lt;&gt;"")*(I80=""),IF((I76&lt;=$B$442)*((I77&gt;=$C$442)+(I77&lt;2/24)),1,0),0)</f>
        <v>0</v>
      </c>
      <c r="AJ78" s="6">
        <f>IF((J76&lt;&gt;"")*(J80=""),IF((J76&lt;=$B$442)*((J77&gt;=$C$442)+(J77&lt;2/24)),1,0),0)</f>
        <v>0</v>
      </c>
    </row>
    <row r="79" spans="1:36" hidden="1" x14ac:dyDescent="0.2">
      <c r="A79" s="39"/>
      <c r="B79" s="40"/>
      <c r="C79" s="15" t="s">
        <v>3</v>
      </c>
      <c r="D79" s="43"/>
      <c r="E79" s="43"/>
      <c r="F79" s="43"/>
      <c r="G79" s="43"/>
      <c r="H79" s="43"/>
      <c r="I79" s="43"/>
      <c r="J79" s="44"/>
      <c r="K79" s="18">
        <f>SUMIF(D80:J80,"",D79:J79)</f>
        <v>0</v>
      </c>
      <c r="L79" s="12">
        <f>SUM(D79:J79)</f>
        <v>0</v>
      </c>
      <c r="M79" s="24"/>
      <c r="N79" s="10">
        <f t="shared" ref="N79:T79" si="24">IF(D80="",D79,0)</f>
        <v>0</v>
      </c>
      <c r="O79" s="10">
        <f t="shared" si="24"/>
        <v>0</v>
      </c>
      <c r="P79" s="10">
        <f t="shared" si="24"/>
        <v>0</v>
      </c>
      <c r="Q79" s="10">
        <f t="shared" si="24"/>
        <v>0</v>
      </c>
      <c r="R79" s="10">
        <f t="shared" si="24"/>
        <v>0</v>
      </c>
      <c r="S79" s="10">
        <f t="shared" si="24"/>
        <v>0</v>
      </c>
      <c r="T79" s="10">
        <f t="shared" si="24"/>
        <v>0</v>
      </c>
      <c r="U79" s="10"/>
      <c r="V79" s="10">
        <f t="shared" ref="V79:AB79" si="25">D79</f>
        <v>0</v>
      </c>
      <c r="W79" s="10">
        <f t="shared" si="25"/>
        <v>0</v>
      </c>
      <c r="X79" s="10">
        <f t="shared" si="25"/>
        <v>0</v>
      </c>
      <c r="Y79" s="10">
        <f t="shared" si="25"/>
        <v>0</v>
      </c>
      <c r="Z79" s="10">
        <f t="shared" si="25"/>
        <v>0</v>
      </c>
      <c r="AA79" s="10">
        <f t="shared" si="25"/>
        <v>0</v>
      </c>
      <c r="AB79" s="10">
        <f t="shared" si="25"/>
        <v>0</v>
      </c>
      <c r="AD79" s="6">
        <f>IF((D76&lt;&gt;"")*(D80=""),IF((D76&lt;=$B$443)*((D77&gt;=$C$443)+(D77&lt;2/24)),1,0),0)</f>
        <v>0</v>
      </c>
      <c r="AE79" s="6">
        <f>IF((E76&lt;&gt;"")*(E80=""),IF((E76&lt;=$B$443)*((E77&gt;=$C$443)+(E77&lt;2/24)),1,0),0)</f>
        <v>0</v>
      </c>
      <c r="AF79" s="6">
        <f>IF((F76&lt;&gt;"")*(F80=""),IF((F76&lt;=$B$443)*((F77&gt;=$C$443)+(F77&lt;2/24)),1,0),0)</f>
        <v>0</v>
      </c>
      <c r="AG79" s="6">
        <f>IF((G76&lt;&gt;"")*(G80=""),IF((G76&lt;=$B$443)*((G77&gt;=$C$443)+(G77&lt;2/24)),1,0),0)</f>
        <v>0</v>
      </c>
      <c r="AH79" s="6">
        <f>IF((H76&lt;&gt;"")*(H80=""),IF((H76&lt;=$B$443)*((H77&gt;=$C$443)+(H77&lt;2/24)),1,0),0)</f>
        <v>0</v>
      </c>
      <c r="AI79" s="6">
        <f>IF((I76&lt;&gt;"")*(I80=""),IF((I76&lt;=$B$443)*((I77&gt;=$C$443)+(I77&lt;2/24)),1,0),0)</f>
        <v>0</v>
      </c>
      <c r="AJ79" s="6">
        <f>IF((J76&lt;&gt;"")*(J80=""),IF((J76&lt;=$B$443)*((J77&gt;=$C$443)+(J77&lt;2/24)),1,0),0)</f>
        <v>0</v>
      </c>
    </row>
    <row r="80" spans="1:36" hidden="1" x14ac:dyDescent="0.2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  <c r="N80" s="6"/>
      <c r="O80" s="6"/>
      <c r="P80" s="6"/>
      <c r="Q80" s="6"/>
      <c r="R80" s="6"/>
      <c r="S80" s="6"/>
      <c r="T80" s="6"/>
      <c r="U80" s="6"/>
      <c r="V80" s="20"/>
      <c r="W80" s="20"/>
      <c r="X80" s="20"/>
      <c r="Y80" s="20"/>
      <c r="Z80" s="20"/>
      <c r="AA80" s="20"/>
      <c r="AB80" s="20"/>
      <c r="AD80" s="6">
        <f>IF((D76&lt;&gt;"")*(D80=""),IF((D76&lt;=$B$444)*((D77&gt;=$C$444)+(D77&lt;2/24)),1,0),0)</f>
        <v>0</v>
      </c>
      <c r="AE80" s="6">
        <f>IF((E76&lt;&gt;"")*(E80=""),IF((E76&lt;=$B$444)*((E77&gt;=$C$444)+(E77&lt;2/24)),1,0),0)</f>
        <v>0</v>
      </c>
      <c r="AF80" s="6">
        <f>IF((F76&lt;&gt;"")*(F80=""),IF((F76&lt;=$B$444)*((F77&gt;=$C$444)+(F77&lt;2/24)),1,0),0)</f>
        <v>0</v>
      </c>
      <c r="AG80" s="6">
        <f>IF((G76&lt;&gt;"")*(G80=""),IF((G76&lt;=$B$444)*((G77&gt;=$C$444)+(G77&lt;2/24)),1,0),0)</f>
        <v>0</v>
      </c>
      <c r="AH80" s="6">
        <f>IF((H76&lt;&gt;"")*(H80=""),IF((H76&lt;=$B$444)*((H77&gt;=$C$444)+(H77&lt;2/24)),1,0),0)</f>
        <v>0</v>
      </c>
      <c r="AI80" s="6">
        <f>IF((I76&lt;&gt;"")*(I80=""),IF((I76&lt;=$B$444)*((I77&gt;=$C$444)+(I77&lt;2/24)),1,0),0)</f>
        <v>0</v>
      </c>
      <c r="AJ80" s="6">
        <f>IF((J76&lt;&gt;"")*(J80=""),IF((J76&lt;=$B$444)*((J77&gt;=$C$444)+(J77&lt;2/24)),1,0),0)</f>
        <v>0</v>
      </c>
    </row>
    <row r="81" spans="1:36" ht="13.5" hidden="1" thickBot="1" x14ac:dyDescent="0.25">
      <c r="A81" s="41"/>
      <c r="B81" s="42"/>
      <c r="C81" s="35" t="s">
        <v>28</v>
      </c>
      <c r="D81" s="36"/>
      <c r="E81" s="36"/>
      <c r="F81" s="36"/>
      <c r="G81" s="36"/>
      <c r="H81" s="36"/>
      <c r="I81" s="36"/>
      <c r="J81" s="36"/>
      <c r="K81" s="34"/>
      <c r="L81" s="6"/>
      <c r="M81" s="25"/>
      <c r="N81" s="6"/>
      <c r="O81" s="6"/>
      <c r="P81" s="6"/>
      <c r="Q81" s="6"/>
      <c r="R81" s="6"/>
      <c r="S81" s="6"/>
      <c r="T81" s="6"/>
      <c r="U81" s="6"/>
      <c r="V81" s="20"/>
      <c r="W81" s="20"/>
      <c r="X81" s="20"/>
      <c r="Y81" s="20"/>
      <c r="Z81" s="20"/>
      <c r="AA81" s="20"/>
      <c r="AB81" s="20"/>
      <c r="AD81" s="6"/>
      <c r="AE81" s="6"/>
      <c r="AF81" s="6"/>
      <c r="AG81" s="6"/>
      <c r="AH81" s="6"/>
      <c r="AI81" s="6"/>
      <c r="AJ81" s="6"/>
    </row>
    <row r="82" spans="1:36" hidden="1" x14ac:dyDescent="0.2">
      <c r="A82" s="37" t="s">
        <v>29</v>
      </c>
      <c r="B82" s="38" t="s">
        <v>30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  <c r="L82" s="6"/>
      <c r="M82" s="21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D82" s="6">
        <f>IF((D82&lt;&gt;"")*(D86=""),IF((D82&lt;=$B$440)*((D83&gt;=$C$440)+(D83&lt;2/24)),1,0),0)</f>
        <v>0</v>
      </c>
      <c r="AE82" s="6">
        <f>IF((E82&lt;&gt;"")*(E86=""),IF((E82&lt;=$B$440)*((E83&gt;=$C$440)+(E83&lt;2/24)),1,0),0)</f>
        <v>0</v>
      </c>
      <c r="AF82" s="6">
        <f>IF((F82&lt;&gt;"")*(F86=""),IF((F82&lt;=$B$440)*((F83&gt;=$C$440)+(F83&lt;2/24)),1,0),0)</f>
        <v>0</v>
      </c>
      <c r="AG82" s="6">
        <f>IF((G82&lt;&gt;"")*(G86=""),IF((G82&lt;=$B$440)*((G83&gt;=$C$440)+(G83&lt;2/24)),1,0),0)</f>
        <v>0</v>
      </c>
      <c r="AH82" s="6">
        <f>IF((H82&lt;&gt;"")*(H86=""),IF((H82&lt;=$B$440)*((H83&gt;=$C$440)+(H83&lt;2/24)),1,0),0)</f>
        <v>0</v>
      </c>
      <c r="AI82" s="6">
        <f>IF((I82&lt;&gt;"")*(I86=""),IF((I82&lt;=$B$440)*((I83&gt;=$C$440)+(I83&lt;2/24)),1,0),0)</f>
        <v>0</v>
      </c>
      <c r="AJ82" s="6">
        <f>IF((J82&lt;&gt;"")*(J86=""),IF((J82&lt;=$B$440)*((J83&gt;=$C$440)+(J83&lt;2/24)),1,0),0)</f>
        <v>0</v>
      </c>
    </row>
    <row r="83" spans="1:36" hidden="1" x14ac:dyDescent="0.2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  <c r="L83" s="6"/>
      <c r="M83" s="21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D83" s="6">
        <f>IF((D82&lt;&gt;"")*(D86=""),IF((D82&lt;=$B$441)*((D83&gt;=$C$441)+(D83&lt;2/24)),1,0),0)</f>
        <v>0</v>
      </c>
      <c r="AE83" s="6">
        <f>IF((E82&lt;&gt;"")*(E86=""),IF((E82&lt;=$B$441)*((E83&gt;=$C$441)+(E83&lt;2/24)),1,0),0)</f>
        <v>0</v>
      </c>
      <c r="AF83" s="6">
        <f>IF((F82&lt;&gt;"")*(F86=""),IF((F82&lt;=$B$441)*((F83&gt;=$C$441)+(F83&lt;2/24)),1,0),0)</f>
        <v>0</v>
      </c>
      <c r="AG83" s="6">
        <f>IF((G82&lt;&gt;"")*(G86=""),IF((G82&lt;=$B$441)*((G83&gt;=$C$441)+(G83&lt;2/24)),1,0),0)</f>
        <v>0</v>
      </c>
      <c r="AH83" s="6">
        <f>IF((H82&lt;&gt;"")*(H86=""),IF((H82&lt;=$B$441)*((H83&gt;=$C$441)+(H83&lt;2/24)),1,0),0)</f>
        <v>0</v>
      </c>
      <c r="AI83" s="6">
        <f>IF((I82&lt;&gt;"")*(I86=""),IF((I82&lt;=$B$441)*((I83&gt;=$C$441)+(I83&lt;2/24)),1,0),0)</f>
        <v>0</v>
      </c>
      <c r="AJ83" s="6">
        <f>IF((J82&lt;&gt;"")*(J86=""),IF((J82&lt;=$B$441)*((J83&gt;=$C$441)+(J83&lt;2/24)),1,0),0)</f>
        <v>0</v>
      </c>
    </row>
    <row r="84" spans="1:36" hidden="1" x14ac:dyDescent="0.2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  <c r="L84" s="6"/>
      <c r="M84" s="21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D84" s="6">
        <f>IF((D82&lt;&gt;"")*(D86=""),IF((D82&lt;=$B$442)*((D83&gt;=$C$442)+(D83&lt;2/24)),1,0),0)</f>
        <v>0</v>
      </c>
      <c r="AE84" s="6">
        <f>IF((E82&lt;&gt;"")*(E86=""),IF((E82&lt;=$B$442)*((E83&gt;=$C$442)+(E83&lt;2/24)),1,0),0)</f>
        <v>0</v>
      </c>
      <c r="AF84" s="6">
        <f>IF((F82&lt;&gt;"")*(F86=""),IF((F82&lt;=$B$442)*((F83&gt;=$C$442)+(F83&lt;2/24)),1,0),0)</f>
        <v>0</v>
      </c>
      <c r="AG84" s="6">
        <f>IF((G82&lt;&gt;"")*(G86=""),IF((G82&lt;=$B$442)*((G83&gt;=$C$442)+(G83&lt;2/24)),1,0),0)</f>
        <v>0</v>
      </c>
      <c r="AH84" s="6">
        <f>IF((H82&lt;&gt;"")*(H86=""),IF((H82&lt;=$B$442)*((H83&gt;=$C$442)+(H83&lt;2/24)),1,0),0)</f>
        <v>0</v>
      </c>
      <c r="AI84" s="6">
        <f>IF((I82&lt;&gt;"")*(I86=""),IF((I82&lt;=$B$442)*((I83&gt;=$C$442)+(I83&lt;2/24)),1,0),0)</f>
        <v>0</v>
      </c>
      <c r="AJ84" s="6">
        <f>IF((J82&lt;&gt;"")*(J86=""),IF((J82&lt;=$B$442)*((J83&gt;=$C$442)+(J83&lt;2/24)),1,0),0)</f>
        <v>0</v>
      </c>
    </row>
    <row r="85" spans="1:36" hidden="1" x14ac:dyDescent="0.2">
      <c r="A85" s="39"/>
      <c r="B85" s="40"/>
      <c r="C85" s="15" t="s">
        <v>3</v>
      </c>
      <c r="D85" s="43"/>
      <c r="E85" s="43"/>
      <c r="F85" s="43"/>
      <c r="G85" s="43"/>
      <c r="H85" s="43"/>
      <c r="I85" s="43"/>
      <c r="J85" s="44"/>
      <c r="K85" s="18">
        <f>SUMIF(D86:J86,"",D85:J85)</f>
        <v>0</v>
      </c>
      <c r="L85" s="12">
        <f>SUM(D85:J85)</f>
        <v>0</v>
      </c>
      <c r="M85" s="24"/>
      <c r="N85" s="10">
        <f t="shared" ref="N85:T85" si="26">IF(D86="",D85,0)</f>
        <v>0</v>
      </c>
      <c r="O85" s="10">
        <f t="shared" si="26"/>
        <v>0</v>
      </c>
      <c r="P85" s="10">
        <f t="shared" si="26"/>
        <v>0</v>
      </c>
      <c r="Q85" s="10">
        <f t="shared" si="26"/>
        <v>0</v>
      </c>
      <c r="R85" s="10">
        <f t="shared" si="26"/>
        <v>0</v>
      </c>
      <c r="S85" s="10">
        <f t="shared" si="26"/>
        <v>0</v>
      </c>
      <c r="T85" s="10">
        <f t="shared" si="26"/>
        <v>0</v>
      </c>
      <c r="U85" s="10"/>
      <c r="V85" s="10">
        <f t="shared" ref="V85:AB85" si="27">D85</f>
        <v>0</v>
      </c>
      <c r="W85" s="10">
        <f t="shared" si="27"/>
        <v>0</v>
      </c>
      <c r="X85" s="10">
        <f t="shared" si="27"/>
        <v>0</v>
      </c>
      <c r="Y85" s="10">
        <f t="shared" si="27"/>
        <v>0</v>
      </c>
      <c r="Z85" s="10">
        <f t="shared" si="27"/>
        <v>0</v>
      </c>
      <c r="AA85" s="10">
        <f t="shared" si="27"/>
        <v>0</v>
      </c>
      <c r="AB85" s="10">
        <f t="shared" si="27"/>
        <v>0</v>
      </c>
      <c r="AD85" s="6">
        <f>IF((D82&lt;&gt;"")*(D86=""),IF((D82&lt;=$B$443)*((D83&gt;=$C$443)+(D83&lt;2/24)),1,0),0)</f>
        <v>0</v>
      </c>
      <c r="AE85" s="6">
        <f>IF((E82&lt;&gt;"")*(E86=""),IF((E82&lt;=$B$443)*((E83&gt;=$C$443)+(E83&lt;2/24)),1,0),0)</f>
        <v>0</v>
      </c>
      <c r="AF85" s="6">
        <f>IF((F82&lt;&gt;"")*(F86=""),IF((F82&lt;=$B$443)*((F83&gt;=$C$443)+(F83&lt;2/24)),1,0),0)</f>
        <v>0</v>
      </c>
      <c r="AG85" s="6">
        <f>IF((G82&lt;&gt;"")*(G86=""),IF((G82&lt;=$B$443)*((G83&gt;=$C$443)+(G83&lt;2/24)),1,0),0)</f>
        <v>0</v>
      </c>
      <c r="AH85" s="6">
        <f>IF((H82&lt;&gt;"")*(H86=""),IF((H82&lt;=$B$443)*((H83&gt;=$C$443)+(H83&lt;2/24)),1,0),0)</f>
        <v>0</v>
      </c>
      <c r="AI85" s="6">
        <f>IF((I82&lt;&gt;"")*(I86=""),IF((I82&lt;=$B$443)*((I83&gt;=$C$443)+(I83&lt;2/24)),1,0),0)</f>
        <v>0</v>
      </c>
      <c r="AJ85" s="6">
        <f>IF((J82&lt;&gt;"")*(J86=""),IF((J82&lt;=$B$443)*((J83&gt;=$C$443)+(J83&lt;2/24)),1,0),0)</f>
        <v>0</v>
      </c>
    </row>
    <row r="86" spans="1:36" hidden="1" x14ac:dyDescent="0.2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  <c r="N86" s="6"/>
      <c r="O86" s="6"/>
      <c r="P86" s="6"/>
      <c r="Q86" s="6"/>
      <c r="R86" s="6"/>
      <c r="S86" s="6"/>
      <c r="T86" s="6"/>
      <c r="U86" s="6"/>
      <c r="V86" s="20"/>
      <c r="W86" s="20"/>
      <c r="X86" s="20"/>
      <c r="Y86" s="20"/>
      <c r="Z86" s="20"/>
      <c r="AA86" s="20"/>
      <c r="AB86" s="20"/>
      <c r="AD86" s="6">
        <f>IF((D82&lt;&gt;"")*(D86=""),IF((D82&lt;=$B$444)*((D83&gt;=$C$444)+(D83&lt;2/24)),1,0),0)</f>
        <v>0</v>
      </c>
      <c r="AE86" s="6">
        <f>IF((E82&lt;&gt;"")*(E86=""),IF((E82&lt;=$B$444)*((E83&gt;=$C$444)+(E83&lt;2/24)),1,0),0)</f>
        <v>0</v>
      </c>
      <c r="AF86" s="6">
        <f>IF((F82&lt;&gt;"")*(F86=""),IF((F82&lt;=$B$444)*((F83&gt;=$C$444)+(F83&lt;2/24)),1,0),0)</f>
        <v>0</v>
      </c>
      <c r="AG86" s="6">
        <f>IF((G82&lt;&gt;"")*(G86=""),IF((G82&lt;=$B$444)*((G83&gt;=$C$444)+(G83&lt;2/24)),1,0),0)</f>
        <v>0</v>
      </c>
      <c r="AH86" s="6">
        <f>IF((H82&lt;&gt;"")*(H86=""),IF((H82&lt;=$B$444)*((H83&gt;=$C$444)+(H83&lt;2/24)),1,0),0)</f>
        <v>0</v>
      </c>
      <c r="AI86" s="6">
        <f>IF((I82&lt;&gt;"")*(I86=""),IF((I82&lt;=$B$444)*((I83&gt;=$C$444)+(I83&lt;2/24)),1,0),0)</f>
        <v>0</v>
      </c>
      <c r="AJ86" s="6">
        <f>IF((J82&lt;&gt;"")*(J86=""),IF((J82&lt;=$B$444)*((J83&gt;=$C$444)+(J83&lt;2/24)),1,0),0)</f>
        <v>0</v>
      </c>
    </row>
    <row r="87" spans="1:36" ht="13.5" hidden="1" thickBot="1" x14ac:dyDescent="0.25">
      <c r="A87" s="41"/>
      <c r="B87" s="42"/>
      <c r="C87" s="35" t="s">
        <v>28</v>
      </c>
      <c r="D87" s="36"/>
      <c r="E87" s="36"/>
      <c r="F87" s="36"/>
      <c r="G87" s="36"/>
      <c r="H87" s="36"/>
      <c r="I87" s="36"/>
      <c r="J87" s="36"/>
      <c r="K87" s="34"/>
      <c r="L87" s="6"/>
      <c r="M87" s="25"/>
      <c r="N87" s="6"/>
      <c r="O87" s="6"/>
      <c r="P87" s="6"/>
      <c r="Q87" s="6"/>
      <c r="R87" s="6"/>
      <c r="S87" s="6"/>
      <c r="T87" s="6"/>
      <c r="U87" s="6"/>
      <c r="V87" s="20"/>
      <c r="W87" s="20"/>
      <c r="X87" s="20"/>
      <c r="Y87" s="20"/>
      <c r="Z87" s="20"/>
      <c r="AA87" s="20"/>
      <c r="AB87" s="20"/>
      <c r="AD87" s="6"/>
      <c r="AE87" s="6"/>
      <c r="AF87" s="6"/>
      <c r="AG87" s="6"/>
      <c r="AH87" s="6"/>
      <c r="AI87" s="6"/>
      <c r="AJ87" s="6"/>
    </row>
    <row r="88" spans="1:36" hidden="1" x14ac:dyDescent="0.2">
      <c r="A88" s="37" t="s">
        <v>29</v>
      </c>
      <c r="B88" s="38" t="s">
        <v>30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  <c r="L88" s="6"/>
      <c r="M88" s="21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D88" s="6">
        <f>IF((D88&lt;&gt;"")*(D92=""),IF((D88&lt;=$B$440)*((D89&gt;=$C$440)+(D89&lt;2/24)),1,0),0)</f>
        <v>0</v>
      </c>
      <c r="AE88" s="6">
        <f>IF((E88&lt;&gt;"")*(E92=""),IF((E88&lt;=$B$440)*((E89&gt;=$C$440)+(E89&lt;2/24)),1,0),0)</f>
        <v>0</v>
      </c>
      <c r="AF88" s="6">
        <f>IF((F88&lt;&gt;"")*(F92=""),IF((F88&lt;=$B$440)*((F89&gt;=$C$440)+(F89&lt;2/24)),1,0),0)</f>
        <v>0</v>
      </c>
      <c r="AG88" s="6">
        <f>IF((G88&lt;&gt;"")*(G92=""),IF((G88&lt;=$B$440)*((G89&gt;=$C$440)+(G89&lt;2/24)),1,0),0)</f>
        <v>0</v>
      </c>
      <c r="AH88" s="6">
        <f>IF((H88&lt;&gt;"")*(H92=""),IF((H88&lt;=$B$440)*((H89&gt;=$C$440)+(H89&lt;2/24)),1,0),0)</f>
        <v>0</v>
      </c>
      <c r="AI88" s="6">
        <f>IF((I88&lt;&gt;"")*(I92=""),IF((I88&lt;=$B$440)*((I89&gt;=$C$440)+(I89&lt;2/24)),1,0),0)</f>
        <v>0</v>
      </c>
      <c r="AJ88" s="6">
        <f>IF((J88&lt;&gt;"")*(J92=""),IF((J88&lt;=$B$440)*((J89&gt;=$C$440)+(J89&lt;2/24)),1,0),0)</f>
        <v>0</v>
      </c>
    </row>
    <row r="89" spans="1:36" hidden="1" x14ac:dyDescent="0.2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  <c r="L89" s="6"/>
      <c r="M89" s="21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D89" s="6">
        <f>IF((D88&lt;&gt;"")*(D92=""),IF((D88&lt;=$B$441)*((D89&gt;=$C$441)+(D89&lt;2/24)),1,0),0)</f>
        <v>0</v>
      </c>
      <c r="AE89" s="6">
        <f>IF((E88&lt;&gt;"")*(E92=""),IF((E88&lt;=$B$441)*((E89&gt;=$C$441)+(E89&lt;2/24)),1,0),0)</f>
        <v>0</v>
      </c>
      <c r="AF89" s="6">
        <f>IF((F88&lt;&gt;"")*(F92=""),IF((F88&lt;=$B$441)*((F89&gt;=$C$441)+(F89&lt;2/24)),1,0),0)</f>
        <v>0</v>
      </c>
      <c r="AG89" s="6">
        <f>IF((G88&lt;&gt;"")*(G92=""),IF((G88&lt;=$B$441)*((G89&gt;=$C$441)+(G89&lt;2/24)),1,0),0)</f>
        <v>0</v>
      </c>
      <c r="AH89" s="6">
        <f>IF((H88&lt;&gt;"")*(H92=""),IF((H88&lt;=$B$441)*((H89&gt;=$C$441)+(H89&lt;2/24)),1,0),0)</f>
        <v>0</v>
      </c>
      <c r="AI89" s="6">
        <f>IF((I88&lt;&gt;"")*(I92=""),IF((I88&lt;=$B$441)*((I89&gt;=$C$441)+(I89&lt;2/24)),1,0),0)</f>
        <v>0</v>
      </c>
      <c r="AJ89" s="6">
        <f>IF((J88&lt;&gt;"")*(J92=""),IF((J88&lt;=$B$441)*((J89&gt;=$C$441)+(J89&lt;2/24)),1,0),0)</f>
        <v>0</v>
      </c>
    </row>
    <row r="90" spans="1:36" hidden="1" x14ac:dyDescent="0.2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  <c r="L90" s="6"/>
      <c r="M90" s="21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D90" s="6">
        <f>IF((D88&lt;&gt;"")*(D92=""),IF((D88&lt;=$B$442)*((D89&gt;=$C$442)+(D89&lt;2/24)),1,0),0)</f>
        <v>0</v>
      </c>
      <c r="AE90" s="6">
        <f>IF((E88&lt;&gt;"")*(E92=""),IF((E88&lt;=$B$442)*((E89&gt;=$C$442)+(E89&lt;2/24)),1,0),0)</f>
        <v>0</v>
      </c>
      <c r="AF90" s="6">
        <f>IF((F88&lt;&gt;"")*(F92=""),IF((F88&lt;=$B$442)*((F89&gt;=$C$442)+(F89&lt;2/24)),1,0),0)</f>
        <v>0</v>
      </c>
      <c r="AG90" s="6">
        <f>IF((G88&lt;&gt;"")*(G92=""),IF((G88&lt;=$B$442)*((G89&gt;=$C$442)+(G89&lt;2/24)),1,0),0)</f>
        <v>0</v>
      </c>
      <c r="AH90" s="6">
        <f>IF((H88&lt;&gt;"")*(H92=""),IF((H88&lt;=$B$442)*((H89&gt;=$C$442)+(H89&lt;2/24)),1,0),0)</f>
        <v>0</v>
      </c>
      <c r="AI90" s="6">
        <f>IF((I88&lt;&gt;"")*(I92=""),IF((I88&lt;=$B$442)*((I89&gt;=$C$442)+(I89&lt;2/24)),1,0),0)</f>
        <v>0</v>
      </c>
      <c r="AJ90" s="6">
        <f>IF((J88&lt;&gt;"")*(J92=""),IF((J88&lt;=$B$442)*((J89&gt;=$C$442)+(J89&lt;2/24)),1,0),0)</f>
        <v>0</v>
      </c>
    </row>
    <row r="91" spans="1:36" hidden="1" x14ac:dyDescent="0.2">
      <c r="A91" s="39"/>
      <c r="B91" s="40"/>
      <c r="C91" s="15" t="s">
        <v>3</v>
      </c>
      <c r="D91" s="43"/>
      <c r="E91" s="43"/>
      <c r="F91" s="43"/>
      <c r="G91" s="43"/>
      <c r="H91" s="43"/>
      <c r="I91" s="43"/>
      <c r="J91" s="44"/>
      <c r="K91" s="18">
        <f>SUMIF(D92:J92,"",D91:J91)</f>
        <v>0</v>
      </c>
      <c r="L91" s="12">
        <f>SUM(D91:J91)</f>
        <v>0</v>
      </c>
      <c r="M91" s="24"/>
      <c r="N91" s="10">
        <f t="shared" ref="N91:T91" si="28">IF(D92="",D91,0)</f>
        <v>0</v>
      </c>
      <c r="O91" s="10">
        <f t="shared" si="28"/>
        <v>0</v>
      </c>
      <c r="P91" s="10">
        <f t="shared" si="28"/>
        <v>0</v>
      </c>
      <c r="Q91" s="10">
        <f t="shared" si="28"/>
        <v>0</v>
      </c>
      <c r="R91" s="10">
        <f t="shared" si="28"/>
        <v>0</v>
      </c>
      <c r="S91" s="10">
        <f t="shared" si="28"/>
        <v>0</v>
      </c>
      <c r="T91" s="10">
        <f t="shared" si="28"/>
        <v>0</v>
      </c>
      <c r="U91" s="10"/>
      <c r="V91" s="10">
        <f t="shared" ref="V91:AB91" si="29">D91</f>
        <v>0</v>
      </c>
      <c r="W91" s="10">
        <f t="shared" si="29"/>
        <v>0</v>
      </c>
      <c r="X91" s="10">
        <f t="shared" si="29"/>
        <v>0</v>
      </c>
      <c r="Y91" s="10">
        <f t="shared" si="29"/>
        <v>0</v>
      </c>
      <c r="Z91" s="10">
        <f t="shared" si="29"/>
        <v>0</v>
      </c>
      <c r="AA91" s="10">
        <f t="shared" si="29"/>
        <v>0</v>
      </c>
      <c r="AB91" s="10">
        <f t="shared" si="29"/>
        <v>0</v>
      </c>
      <c r="AD91" s="6">
        <f>IF((D88&lt;&gt;"")*(D92=""),IF((D88&lt;=$B$443)*((D89&gt;=$C$443)+(D89&lt;2/24)),1,0),0)</f>
        <v>0</v>
      </c>
      <c r="AE91" s="6">
        <f>IF((E88&lt;&gt;"")*(E92=""),IF((E88&lt;=$B$443)*((E89&gt;=$C$443)+(E89&lt;2/24)),1,0),0)</f>
        <v>0</v>
      </c>
      <c r="AF91" s="6">
        <f>IF((F88&lt;&gt;"")*(F92=""),IF((F88&lt;=$B$443)*((F89&gt;=$C$443)+(F89&lt;2/24)),1,0),0)</f>
        <v>0</v>
      </c>
      <c r="AG91" s="6">
        <f>IF((G88&lt;&gt;"")*(G92=""),IF((G88&lt;=$B$443)*((G89&gt;=$C$443)+(G89&lt;2/24)),1,0),0)</f>
        <v>0</v>
      </c>
      <c r="AH91" s="6">
        <f>IF((H88&lt;&gt;"")*(H92=""),IF((H88&lt;=$B$443)*((H89&gt;=$C$443)+(H89&lt;2/24)),1,0),0)</f>
        <v>0</v>
      </c>
      <c r="AI91" s="6">
        <f>IF((I88&lt;&gt;"")*(I92=""),IF((I88&lt;=$B$443)*((I89&gt;=$C$443)+(I89&lt;2/24)),1,0),0)</f>
        <v>0</v>
      </c>
      <c r="AJ91" s="6">
        <f>IF((J88&lt;&gt;"")*(J92=""),IF((J88&lt;=$B$443)*((J89&gt;=$C$443)+(J89&lt;2/24)),1,0),0)</f>
        <v>0</v>
      </c>
    </row>
    <row r="92" spans="1:36" hidden="1" x14ac:dyDescent="0.2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  <c r="N92" s="6"/>
      <c r="O92" s="6"/>
      <c r="P92" s="6"/>
      <c r="Q92" s="6"/>
      <c r="R92" s="6"/>
      <c r="S92" s="6"/>
      <c r="T92" s="6"/>
      <c r="U92" s="6"/>
      <c r="V92" s="20"/>
      <c r="W92" s="20"/>
      <c r="X92" s="20"/>
      <c r="Y92" s="20"/>
      <c r="Z92" s="20"/>
      <c r="AA92" s="20"/>
      <c r="AB92" s="20"/>
      <c r="AD92" s="6">
        <f>IF((D88&lt;&gt;"")*(D92=""),IF((D88&lt;=$B$444)*((D89&gt;=$C$444)+(D89&lt;2/24)),1,0),0)</f>
        <v>0</v>
      </c>
      <c r="AE92" s="6">
        <f>IF((E88&lt;&gt;"")*(E92=""),IF((E88&lt;=$B$444)*((E89&gt;=$C$444)+(E89&lt;2/24)),1,0),0)</f>
        <v>0</v>
      </c>
      <c r="AF92" s="6">
        <f>IF((F88&lt;&gt;"")*(F92=""),IF((F88&lt;=$B$444)*((F89&gt;=$C$444)+(F89&lt;2/24)),1,0),0)</f>
        <v>0</v>
      </c>
      <c r="AG92" s="6">
        <f>IF((G88&lt;&gt;"")*(G92=""),IF((G88&lt;=$B$444)*((G89&gt;=$C$444)+(G89&lt;2/24)),1,0),0)</f>
        <v>0</v>
      </c>
      <c r="AH92" s="6">
        <f>IF((H88&lt;&gt;"")*(H92=""),IF((H88&lt;=$B$444)*((H89&gt;=$C$444)+(H89&lt;2/24)),1,0),0)</f>
        <v>0</v>
      </c>
      <c r="AI92" s="6">
        <f>IF((I88&lt;&gt;"")*(I92=""),IF((I88&lt;=$B$444)*((I89&gt;=$C$444)+(I89&lt;2/24)),1,0),0)</f>
        <v>0</v>
      </c>
      <c r="AJ92" s="6">
        <f>IF((J88&lt;&gt;"")*(J92=""),IF((J88&lt;=$B$444)*((J89&gt;=$C$444)+(J89&lt;2/24)),1,0),0)</f>
        <v>0</v>
      </c>
    </row>
    <row r="93" spans="1:36" ht="13.5" hidden="1" thickBot="1" x14ac:dyDescent="0.25">
      <c r="A93" s="41"/>
      <c r="B93" s="42"/>
      <c r="C93" s="35" t="s">
        <v>28</v>
      </c>
      <c r="D93" s="36"/>
      <c r="E93" s="36"/>
      <c r="F93" s="36"/>
      <c r="G93" s="36"/>
      <c r="H93" s="36"/>
      <c r="I93" s="36"/>
      <c r="J93" s="36"/>
      <c r="K93" s="34"/>
      <c r="L93" s="6"/>
      <c r="M93" s="25"/>
      <c r="N93" s="6"/>
      <c r="O93" s="6"/>
      <c r="P93" s="6"/>
      <c r="Q93" s="6"/>
      <c r="R93" s="6"/>
      <c r="S93" s="6"/>
      <c r="T93" s="6"/>
      <c r="U93" s="6"/>
      <c r="V93" s="20"/>
      <c r="W93" s="20"/>
      <c r="X93" s="20"/>
      <c r="Y93" s="20"/>
      <c r="Z93" s="20"/>
      <c r="AA93" s="20"/>
      <c r="AB93" s="20"/>
      <c r="AD93" s="6"/>
      <c r="AE93" s="6"/>
      <c r="AF93" s="6"/>
      <c r="AG93" s="6"/>
      <c r="AH93" s="6"/>
      <c r="AI93" s="6"/>
      <c r="AJ93" s="6"/>
    </row>
    <row r="94" spans="1:36" hidden="1" x14ac:dyDescent="0.2">
      <c r="A94" s="37" t="s">
        <v>29</v>
      </c>
      <c r="B94" s="38" t="s">
        <v>30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  <c r="L94" s="6"/>
      <c r="M94" s="21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D94" s="6">
        <f>IF((D94&lt;&gt;"")*(D98=""),IF((D94&lt;=$B$440)*((D95&gt;=$C$440)+(D95&lt;2/24)),1,0),0)</f>
        <v>0</v>
      </c>
      <c r="AE94" s="6">
        <f>IF((E94&lt;&gt;"")*(E98=""),IF((E94&lt;=$B$440)*((E95&gt;=$C$440)+(E95&lt;2/24)),1,0),0)</f>
        <v>0</v>
      </c>
      <c r="AF94" s="6">
        <f>IF((F94&lt;&gt;"")*(F98=""),IF((F94&lt;=$B$440)*((F95&gt;=$C$440)+(F95&lt;2/24)),1,0),0)</f>
        <v>0</v>
      </c>
      <c r="AG94" s="6">
        <f>IF((G94&lt;&gt;"")*(G98=""),IF((G94&lt;=$B$440)*((G95&gt;=$C$440)+(G95&lt;2/24)),1,0),0)</f>
        <v>0</v>
      </c>
      <c r="AH94" s="6">
        <f>IF((H94&lt;&gt;"")*(H98=""),IF((H94&lt;=$B$440)*((H95&gt;=$C$440)+(H95&lt;2/24)),1,0),0)</f>
        <v>0</v>
      </c>
      <c r="AI94" s="6">
        <f>IF((I94&lt;&gt;"")*(I98=""),IF((I94&lt;=$B$440)*((I95&gt;=$C$440)+(I95&lt;2/24)),1,0),0)</f>
        <v>0</v>
      </c>
      <c r="AJ94" s="6">
        <f>IF((J94&lt;&gt;"")*(J98=""),IF((J94&lt;=$B$440)*((J95&gt;=$C$440)+(J95&lt;2/24)),1,0),0)</f>
        <v>0</v>
      </c>
    </row>
    <row r="95" spans="1:36" hidden="1" x14ac:dyDescent="0.2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  <c r="L95" s="6"/>
      <c r="M95" s="21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D95" s="6">
        <f>IF((D94&lt;&gt;"")*(D98=""),IF((D94&lt;=$B$441)*((D95&gt;=$C$441)+(D95&lt;2/24)),1,0),0)</f>
        <v>0</v>
      </c>
      <c r="AE95" s="6">
        <f>IF((E94&lt;&gt;"")*(E98=""),IF((E94&lt;=$B$441)*((E95&gt;=$C$441)+(E95&lt;2/24)),1,0),0)</f>
        <v>0</v>
      </c>
      <c r="AF95" s="6">
        <f>IF((F94&lt;&gt;"")*(F98=""),IF((F94&lt;=$B$441)*((F95&gt;=$C$441)+(F95&lt;2/24)),1,0),0)</f>
        <v>0</v>
      </c>
      <c r="AG95" s="6">
        <f>IF((G94&lt;&gt;"")*(G98=""),IF((G94&lt;=$B$441)*((G95&gt;=$C$441)+(G95&lt;2/24)),1,0),0)</f>
        <v>0</v>
      </c>
      <c r="AH95" s="6">
        <f>IF((H94&lt;&gt;"")*(H98=""),IF((H94&lt;=$B$441)*((H95&gt;=$C$441)+(H95&lt;2/24)),1,0),0)</f>
        <v>0</v>
      </c>
      <c r="AI95" s="6">
        <f>IF((I94&lt;&gt;"")*(I98=""),IF((I94&lt;=$B$441)*((I95&gt;=$C$441)+(I95&lt;2/24)),1,0),0)</f>
        <v>0</v>
      </c>
      <c r="AJ95" s="6">
        <f>IF((J94&lt;&gt;"")*(J98=""),IF((J94&lt;=$B$441)*((J95&gt;=$C$441)+(J95&lt;2/24)),1,0),0)</f>
        <v>0</v>
      </c>
    </row>
    <row r="96" spans="1:36" hidden="1" x14ac:dyDescent="0.2">
      <c r="A96" s="39"/>
      <c r="B96" s="40"/>
      <c r="C96" s="15" t="s">
        <v>2</v>
      </c>
      <c r="D96" s="4"/>
      <c r="E96" s="4"/>
      <c r="F96" s="4"/>
      <c r="G96" s="4"/>
      <c r="H96" s="4"/>
      <c r="I96" s="4"/>
      <c r="J96" s="4"/>
      <c r="K96" s="17"/>
      <c r="L96" s="6"/>
      <c r="M96" s="21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D96" s="6">
        <f>IF((D94&lt;&gt;"")*(D98=""),IF((D94&lt;=$B$442)*((D95&gt;=$C$442)+(D95&lt;2/24)),1,0),0)</f>
        <v>0</v>
      </c>
      <c r="AE96" s="6">
        <f>IF((E94&lt;&gt;"")*(E98=""),IF((E94&lt;=$B$442)*((E95&gt;=$C$442)+(E95&lt;2/24)),1,0),0)</f>
        <v>0</v>
      </c>
      <c r="AF96" s="6">
        <f>IF((F94&lt;&gt;"")*(F98=""),IF((F94&lt;=$B$442)*((F95&gt;=$C$442)+(F95&lt;2/24)),1,0),0)</f>
        <v>0</v>
      </c>
      <c r="AG96" s="6">
        <f>IF((G94&lt;&gt;"")*(G98=""),IF((G94&lt;=$B$442)*((G95&gt;=$C$442)+(G95&lt;2/24)),1,0),0)</f>
        <v>0</v>
      </c>
      <c r="AH96" s="6">
        <f>IF((H94&lt;&gt;"")*(H98=""),IF((H94&lt;=$B$442)*((H95&gt;=$C$442)+(H95&lt;2/24)),1,0),0)</f>
        <v>0</v>
      </c>
      <c r="AI96" s="6">
        <f>IF((I94&lt;&gt;"")*(I98=""),IF((I94&lt;=$B$442)*((I95&gt;=$C$442)+(I95&lt;2/24)),1,0),0)</f>
        <v>0</v>
      </c>
      <c r="AJ96" s="6">
        <f>IF((J94&lt;&gt;"")*(J98=""),IF((J94&lt;=$B$442)*((J95&gt;=$C$442)+(J95&lt;2/24)),1,0),0)</f>
        <v>0</v>
      </c>
    </row>
    <row r="97" spans="1:36" hidden="1" x14ac:dyDescent="0.2">
      <c r="A97" s="39"/>
      <c r="B97" s="40"/>
      <c r="C97" s="15" t="s">
        <v>3</v>
      </c>
      <c r="D97" s="43"/>
      <c r="E97" s="43"/>
      <c r="F97" s="43"/>
      <c r="G97" s="43"/>
      <c r="H97" s="43"/>
      <c r="I97" s="43"/>
      <c r="J97" s="44"/>
      <c r="K97" s="18">
        <f>SUMIF(D98:J98,"",D97:J97)</f>
        <v>0</v>
      </c>
      <c r="L97" s="12">
        <f>SUM(D97:J97)</f>
        <v>0</v>
      </c>
      <c r="M97" s="24"/>
      <c r="N97" s="10">
        <f t="shared" ref="N97:T97" si="30">IF(D98="",D97,0)</f>
        <v>0</v>
      </c>
      <c r="O97" s="10">
        <f t="shared" si="30"/>
        <v>0</v>
      </c>
      <c r="P97" s="10">
        <f t="shared" si="30"/>
        <v>0</v>
      </c>
      <c r="Q97" s="10">
        <f t="shared" si="30"/>
        <v>0</v>
      </c>
      <c r="R97" s="10">
        <f t="shared" si="30"/>
        <v>0</v>
      </c>
      <c r="S97" s="10">
        <f t="shared" si="30"/>
        <v>0</v>
      </c>
      <c r="T97" s="10">
        <f t="shared" si="30"/>
        <v>0</v>
      </c>
      <c r="U97" s="10"/>
      <c r="V97" s="10">
        <f t="shared" ref="V97:AB97" si="31">D97</f>
        <v>0</v>
      </c>
      <c r="W97" s="10">
        <f t="shared" si="31"/>
        <v>0</v>
      </c>
      <c r="X97" s="10">
        <f t="shared" si="31"/>
        <v>0</v>
      </c>
      <c r="Y97" s="10">
        <f t="shared" si="31"/>
        <v>0</v>
      </c>
      <c r="Z97" s="10">
        <f t="shared" si="31"/>
        <v>0</v>
      </c>
      <c r="AA97" s="10">
        <f t="shared" si="31"/>
        <v>0</v>
      </c>
      <c r="AB97" s="10">
        <f t="shared" si="31"/>
        <v>0</v>
      </c>
      <c r="AD97" s="6">
        <f>IF((D94&lt;&gt;"")*(D98=""),IF((D94&lt;=$B$443)*((D95&gt;=$C$443)+(D95&lt;2/24)),1,0),0)</f>
        <v>0</v>
      </c>
      <c r="AE97" s="6">
        <f>IF((E94&lt;&gt;"")*(E98=""),IF((E94&lt;=$B$443)*((E95&gt;=$C$443)+(E95&lt;2/24)),1,0),0)</f>
        <v>0</v>
      </c>
      <c r="AF97" s="6">
        <f>IF((F94&lt;&gt;"")*(F98=""),IF((F94&lt;=$B$443)*((F95&gt;=$C$443)+(F95&lt;2/24)),1,0),0)</f>
        <v>0</v>
      </c>
      <c r="AG97" s="6">
        <f>IF((G94&lt;&gt;"")*(G98=""),IF((G94&lt;=$B$443)*((G95&gt;=$C$443)+(G95&lt;2/24)),1,0),0)</f>
        <v>0</v>
      </c>
      <c r="AH97" s="6">
        <f>IF((H94&lt;&gt;"")*(H98=""),IF((H94&lt;=$B$443)*((H95&gt;=$C$443)+(H95&lt;2/24)),1,0),0)</f>
        <v>0</v>
      </c>
      <c r="AI97" s="6">
        <f>IF((I94&lt;&gt;"")*(I98=""),IF((I94&lt;=$B$443)*((I95&gt;=$C$443)+(I95&lt;2/24)),1,0),0)</f>
        <v>0</v>
      </c>
      <c r="AJ97" s="6">
        <f>IF((J94&lt;&gt;"")*(J98=""),IF((J94&lt;=$B$443)*((J95&gt;=$C$443)+(J95&lt;2/24)),1,0),0)</f>
        <v>0</v>
      </c>
    </row>
    <row r="98" spans="1:36" hidden="1" x14ac:dyDescent="0.2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  <c r="N98" s="6"/>
      <c r="O98" s="6"/>
      <c r="P98" s="6"/>
      <c r="Q98" s="6"/>
      <c r="R98" s="6"/>
      <c r="S98" s="6"/>
      <c r="T98" s="6"/>
      <c r="U98" s="6"/>
      <c r="V98" s="20"/>
      <c r="W98" s="20"/>
      <c r="X98" s="20"/>
      <c r="Y98" s="20"/>
      <c r="Z98" s="20"/>
      <c r="AA98" s="20"/>
      <c r="AB98" s="20"/>
      <c r="AD98" s="6">
        <f>IF((D94&lt;&gt;"")*(D98=""),IF((D94&lt;=$B$444)*((D95&gt;=$C$444)+(D95&lt;2/24)),1,0),0)</f>
        <v>0</v>
      </c>
      <c r="AE98" s="6">
        <f>IF((E94&lt;&gt;"")*(E98=""),IF((E94&lt;=$B$444)*((E95&gt;=$C$444)+(E95&lt;2/24)),1,0),0)</f>
        <v>0</v>
      </c>
      <c r="AF98" s="6">
        <f>IF((F94&lt;&gt;"")*(F98=""),IF((F94&lt;=$B$444)*((F95&gt;=$C$444)+(F95&lt;2/24)),1,0),0)</f>
        <v>0</v>
      </c>
      <c r="AG98" s="6">
        <f>IF((G94&lt;&gt;"")*(G98=""),IF((G94&lt;=$B$444)*((G95&gt;=$C$444)+(G95&lt;2/24)),1,0),0)</f>
        <v>0</v>
      </c>
      <c r="AH98" s="6">
        <f>IF((H94&lt;&gt;"")*(H98=""),IF((H94&lt;=$B$444)*((H95&gt;=$C$444)+(H95&lt;2/24)),1,0),0)</f>
        <v>0</v>
      </c>
      <c r="AI98" s="6">
        <f>IF((I94&lt;&gt;"")*(I98=""),IF((I94&lt;=$B$444)*((I95&gt;=$C$444)+(I95&lt;2/24)),1,0),0)</f>
        <v>0</v>
      </c>
      <c r="AJ98" s="6">
        <f>IF((J94&lt;&gt;"")*(J98=""),IF((J94&lt;=$B$444)*((J95&gt;=$C$444)+(J95&lt;2/24)),1,0),0)</f>
        <v>0</v>
      </c>
    </row>
    <row r="99" spans="1:36" ht="13.5" hidden="1" thickBot="1" x14ac:dyDescent="0.25">
      <c r="A99" s="41"/>
      <c r="B99" s="42"/>
      <c r="C99" s="35" t="s">
        <v>28</v>
      </c>
      <c r="D99" s="36"/>
      <c r="E99" s="36"/>
      <c r="F99" s="36"/>
      <c r="G99" s="36"/>
      <c r="H99" s="36"/>
      <c r="I99" s="36"/>
      <c r="J99" s="36"/>
      <c r="K99" s="34"/>
      <c r="L99" s="6"/>
      <c r="M99" s="25"/>
      <c r="N99" s="6"/>
      <c r="O99" s="6"/>
      <c r="P99" s="6"/>
      <c r="Q99" s="6"/>
      <c r="R99" s="6"/>
      <c r="S99" s="6"/>
      <c r="T99" s="6"/>
      <c r="U99" s="6"/>
      <c r="V99" s="20"/>
      <c r="W99" s="20"/>
      <c r="X99" s="20"/>
      <c r="Y99" s="20"/>
      <c r="Z99" s="20"/>
      <c r="AA99" s="20"/>
      <c r="AB99" s="20"/>
      <c r="AD99" s="6"/>
      <c r="AE99" s="6"/>
      <c r="AF99" s="6"/>
      <c r="AG99" s="6"/>
      <c r="AH99" s="6"/>
      <c r="AI99" s="6"/>
      <c r="AJ99" s="6"/>
    </row>
    <row r="100" spans="1:36" hidden="1" x14ac:dyDescent="0.2">
      <c r="A100" s="37" t="s">
        <v>29</v>
      </c>
      <c r="B100" s="38" t="s">
        <v>30</v>
      </c>
      <c r="C100" s="14" t="s">
        <v>0</v>
      </c>
      <c r="D100" s="26"/>
      <c r="E100" s="26"/>
      <c r="F100" s="26"/>
      <c r="G100" s="26"/>
      <c r="H100" s="26"/>
      <c r="I100" s="26"/>
      <c r="J100" s="26"/>
      <c r="K100" s="16"/>
      <c r="L100" s="6"/>
      <c r="M100" s="21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D100" s="6">
        <f>IF((D100&lt;&gt;"")*(D104=""),IF((D100&lt;=$B$440)*((D101&gt;=$C$440)+(D101&lt;2/24)),1,0),0)</f>
        <v>0</v>
      </c>
      <c r="AE100" s="6">
        <f>IF((E100&lt;&gt;"")*(E104=""),IF((E100&lt;=$B$440)*((E101&gt;=$C$440)+(E101&lt;2/24)),1,0),0)</f>
        <v>0</v>
      </c>
      <c r="AF100" s="6">
        <f>IF((F100&lt;&gt;"")*(F104=""),IF((F100&lt;=$B$440)*((F101&gt;=$C$440)+(F101&lt;2/24)),1,0),0)</f>
        <v>0</v>
      </c>
      <c r="AG100" s="6">
        <f>IF((G100&lt;&gt;"")*(G104=""),IF((G100&lt;=$B$440)*((G101&gt;=$C$440)+(G101&lt;2/24)),1,0),0)</f>
        <v>0</v>
      </c>
      <c r="AH100" s="6">
        <f>IF((H100&lt;&gt;"")*(H104=""),IF((H100&lt;=$B$440)*((H101&gt;=$C$440)+(H101&lt;2/24)),1,0),0)</f>
        <v>0</v>
      </c>
      <c r="AI100" s="6">
        <f>IF((I100&lt;&gt;"")*(I104=""),IF((I100&lt;=$B$440)*((I101&gt;=$C$440)+(I101&lt;2/24)),1,0),0)</f>
        <v>0</v>
      </c>
      <c r="AJ100" s="6">
        <f>IF((J100&lt;&gt;"")*(J104=""),IF((J100&lt;=$B$440)*((J101&gt;=$C$440)+(J101&lt;2/24)),1,0),0)</f>
        <v>0</v>
      </c>
    </row>
    <row r="101" spans="1:36" hidden="1" x14ac:dyDescent="0.2">
      <c r="A101" s="39"/>
      <c r="B101" s="40"/>
      <c r="C101" s="15" t="s">
        <v>1</v>
      </c>
      <c r="D101" s="27"/>
      <c r="E101" s="27"/>
      <c r="F101" s="27"/>
      <c r="G101" s="27"/>
      <c r="H101" s="27"/>
      <c r="I101" s="27"/>
      <c r="J101" s="27"/>
      <c r="K101" s="17"/>
      <c r="L101" s="6"/>
      <c r="M101" s="21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D101" s="6">
        <f>IF((D100&lt;&gt;"")*(D104=""),IF((D100&lt;=$B$441)*((D101&gt;=$C$441)+(D101&lt;2/24)),1,0),0)</f>
        <v>0</v>
      </c>
      <c r="AE101" s="6">
        <f>IF((E100&lt;&gt;"")*(E104=""),IF((E100&lt;=$B$441)*((E101&gt;=$C$441)+(E101&lt;2/24)),1,0),0)</f>
        <v>0</v>
      </c>
      <c r="AF101" s="6">
        <f>IF((F100&lt;&gt;"")*(F104=""),IF((F100&lt;=$B$441)*((F101&gt;=$C$441)+(F101&lt;2/24)),1,0),0)</f>
        <v>0</v>
      </c>
      <c r="AG101" s="6">
        <f>IF((G100&lt;&gt;"")*(G104=""),IF((G100&lt;=$B$441)*((G101&gt;=$C$441)+(G101&lt;2/24)),1,0),0)</f>
        <v>0</v>
      </c>
      <c r="AH101" s="6">
        <f>IF((H100&lt;&gt;"")*(H104=""),IF((H100&lt;=$B$441)*((H101&gt;=$C$441)+(H101&lt;2/24)),1,0),0)</f>
        <v>0</v>
      </c>
      <c r="AI101" s="6">
        <f>IF((I100&lt;&gt;"")*(I104=""),IF((I100&lt;=$B$441)*((I101&gt;=$C$441)+(I101&lt;2/24)),1,0),0)</f>
        <v>0</v>
      </c>
      <c r="AJ101" s="6">
        <f>IF((J100&lt;&gt;"")*(J104=""),IF((J100&lt;=$B$441)*((J101&gt;=$C$441)+(J101&lt;2/24)),1,0),0)</f>
        <v>0</v>
      </c>
    </row>
    <row r="102" spans="1:36" hidden="1" x14ac:dyDescent="0.2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  <c r="L102" s="6"/>
      <c r="M102" s="21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D102" s="6">
        <f>IF((D100&lt;&gt;"")*(D104=""),IF((D100&lt;=$B$442)*((D101&gt;=$C$442)+(D101&lt;2/24)),1,0),0)</f>
        <v>0</v>
      </c>
      <c r="AE102" s="6">
        <f>IF((E100&lt;&gt;"")*(E104=""),IF((E100&lt;=$B$442)*((E101&gt;=$C$442)+(E101&lt;2/24)),1,0),0)</f>
        <v>0</v>
      </c>
      <c r="AF102" s="6">
        <f>IF((F100&lt;&gt;"")*(F104=""),IF((F100&lt;=$B$442)*((F101&gt;=$C$442)+(F101&lt;2/24)),1,0),0)</f>
        <v>0</v>
      </c>
      <c r="AG102" s="6">
        <f>IF((G100&lt;&gt;"")*(G104=""),IF((G100&lt;=$B$442)*((G101&gt;=$C$442)+(G101&lt;2/24)),1,0),0)</f>
        <v>0</v>
      </c>
      <c r="AH102" s="6">
        <f>IF((H100&lt;&gt;"")*(H104=""),IF((H100&lt;=$B$442)*((H101&gt;=$C$442)+(H101&lt;2/24)),1,0),0)</f>
        <v>0</v>
      </c>
      <c r="AI102" s="6">
        <f>IF((I100&lt;&gt;"")*(I104=""),IF((I100&lt;=$B$442)*((I101&gt;=$C$442)+(I101&lt;2/24)),1,0),0)</f>
        <v>0</v>
      </c>
      <c r="AJ102" s="6">
        <f>IF((J100&lt;&gt;"")*(J104=""),IF((J100&lt;=$B$442)*((J101&gt;=$C$442)+(J101&lt;2/24)),1,0),0)</f>
        <v>0</v>
      </c>
    </row>
    <row r="103" spans="1:36" hidden="1" x14ac:dyDescent="0.2">
      <c r="A103" s="39"/>
      <c r="B103" s="40"/>
      <c r="C103" s="15" t="s">
        <v>3</v>
      </c>
      <c r="D103" s="43"/>
      <c r="E103" s="43"/>
      <c r="F103" s="43"/>
      <c r="G103" s="43"/>
      <c r="H103" s="43"/>
      <c r="I103" s="43"/>
      <c r="J103" s="44"/>
      <c r="K103" s="18">
        <f>SUMIF(D104:J104,"",D103:J103)</f>
        <v>0</v>
      </c>
      <c r="L103" s="12">
        <f>SUM(D103:J103)</f>
        <v>0</v>
      </c>
      <c r="M103" s="24"/>
      <c r="N103" s="10">
        <f t="shared" ref="N103:T103" si="32">IF(D104="",D103,0)</f>
        <v>0</v>
      </c>
      <c r="O103" s="10">
        <f t="shared" si="32"/>
        <v>0</v>
      </c>
      <c r="P103" s="10">
        <f t="shared" si="32"/>
        <v>0</v>
      </c>
      <c r="Q103" s="10">
        <f t="shared" si="32"/>
        <v>0</v>
      </c>
      <c r="R103" s="10">
        <f t="shared" si="32"/>
        <v>0</v>
      </c>
      <c r="S103" s="10">
        <f t="shared" si="32"/>
        <v>0</v>
      </c>
      <c r="T103" s="10">
        <f t="shared" si="32"/>
        <v>0</v>
      </c>
      <c r="U103" s="10"/>
      <c r="V103" s="10">
        <f t="shared" ref="V103:AB103" si="33">D103</f>
        <v>0</v>
      </c>
      <c r="W103" s="10">
        <f t="shared" si="33"/>
        <v>0</v>
      </c>
      <c r="X103" s="10">
        <f t="shared" si="33"/>
        <v>0</v>
      </c>
      <c r="Y103" s="10">
        <f t="shared" si="33"/>
        <v>0</v>
      </c>
      <c r="Z103" s="10">
        <f t="shared" si="33"/>
        <v>0</v>
      </c>
      <c r="AA103" s="10">
        <f t="shared" si="33"/>
        <v>0</v>
      </c>
      <c r="AB103" s="10">
        <f t="shared" si="33"/>
        <v>0</v>
      </c>
      <c r="AD103" s="6">
        <f>IF((D100&lt;&gt;"")*(D104=""),IF((D100&lt;=$B$443)*((D101&gt;=$C$443)+(D101&lt;2/24)),1,0),0)</f>
        <v>0</v>
      </c>
      <c r="AE103" s="6">
        <f>IF((E100&lt;&gt;"")*(E104=""),IF((E100&lt;=$B$443)*((E101&gt;=$C$443)+(E101&lt;2/24)),1,0),0)</f>
        <v>0</v>
      </c>
      <c r="AF103" s="6">
        <f>IF((F100&lt;&gt;"")*(F104=""),IF((F100&lt;=$B$443)*((F101&gt;=$C$443)+(F101&lt;2/24)),1,0),0)</f>
        <v>0</v>
      </c>
      <c r="AG103" s="6">
        <f>IF((G100&lt;&gt;"")*(G104=""),IF((G100&lt;=$B$443)*((G101&gt;=$C$443)+(G101&lt;2/24)),1,0),0)</f>
        <v>0</v>
      </c>
      <c r="AH103" s="6">
        <f>IF((H100&lt;&gt;"")*(H104=""),IF((H100&lt;=$B$443)*((H101&gt;=$C$443)+(H101&lt;2/24)),1,0),0)</f>
        <v>0</v>
      </c>
      <c r="AI103" s="6">
        <f>IF((I100&lt;&gt;"")*(I104=""),IF((I100&lt;=$B$443)*((I101&gt;=$C$443)+(I101&lt;2/24)),1,0),0)</f>
        <v>0</v>
      </c>
      <c r="AJ103" s="6">
        <f>IF((J100&lt;&gt;"")*(J104=""),IF((J100&lt;=$B$443)*((J101&gt;=$C$443)+(J101&lt;2/24)),1,0),0)</f>
        <v>0</v>
      </c>
    </row>
    <row r="104" spans="1:36" hidden="1" x14ac:dyDescent="0.2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  <c r="N104" s="6"/>
      <c r="O104" s="6"/>
      <c r="P104" s="6"/>
      <c r="Q104" s="6"/>
      <c r="R104" s="6"/>
      <c r="S104" s="6"/>
      <c r="T104" s="6"/>
      <c r="U104" s="6"/>
      <c r="V104" s="20"/>
      <c r="W104" s="20"/>
      <c r="X104" s="20"/>
      <c r="Y104" s="20"/>
      <c r="Z104" s="20"/>
      <c r="AA104" s="20"/>
      <c r="AB104" s="20"/>
      <c r="AD104" s="6">
        <f>IF((D100&lt;&gt;"")*(D104=""),IF((D100&lt;=$B$444)*((D101&gt;=$C$444)+(D101&lt;2/24)),1,0),0)</f>
        <v>0</v>
      </c>
      <c r="AE104" s="6">
        <f>IF((E100&lt;&gt;"")*(E104=""),IF((E100&lt;=$B$444)*((E101&gt;=$C$444)+(E101&lt;2/24)),1,0),0)</f>
        <v>0</v>
      </c>
      <c r="AF104" s="6">
        <f>IF((F100&lt;&gt;"")*(F104=""),IF((F100&lt;=$B$444)*((F101&gt;=$C$444)+(F101&lt;2/24)),1,0),0)</f>
        <v>0</v>
      </c>
      <c r="AG104" s="6">
        <f>IF((G100&lt;&gt;"")*(G104=""),IF((G100&lt;=$B$444)*((G101&gt;=$C$444)+(G101&lt;2/24)),1,0),0)</f>
        <v>0</v>
      </c>
      <c r="AH104" s="6">
        <f>IF((H100&lt;&gt;"")*(H104=""),IF((H100&lt;=$B$444)*((H101&gt;=$C$444)+(H101&lt;2/24)),1,0),0)</f>
        <v>0</v>
      </c>
      <c r="AI104" s="6">
        <f>IF((I100&lt;&gt;"")*(I104=""),IF((I100&lt;=$B$444)*((I101&gt;=$C$444)+(I101&lt;2/24)),1,0),0)</f>
        <v>0</v>
      </c>
      <c r="AJ104" s="6">
        <f>IF((J100&lt;&gt;"")*(J104=""),IF((J100&lt;=$B$444)*((J101&gt;=$C$444)+(J101&lt;2/24)),1,0),0)</f>
        <v>0</v>
      </c>
    </row>
    <row r="105" spans="1:36" ht="13.5" hidden="1" thickBot="1" x14ac:dyDescent="0.25">
      <c r="A105" s="41"/>
      <c r="B105" s="42"/>
      <c r="C105" s="35" t="s">
        <v>28</v>
      </c>
      <c r="D105" s="36"/>
      <c r="E105" s="36"/>
      <c r="F105" s="36"/>
      <c r="G105" s="36"/>
      <c r="H105" s="36"/>
      <c r="I105" s="36"/>
      <c r="J105" s="36"/>
      <c r="K105" s="34"/>
      <c r="L105" s="6"/>
      <c r="M105" s="25"/>
      <c r="N105" s="6"/>
      <c r="O105" s="6"/>
      <c r="P105" s="6"/>
      <c r="Q105" s="6"/>
      <c r="R105" s="6"/>
      <c r="S105" s="6"/>
      <c r="T105" s="6"/>
      <c r="U105" s="6"/>
      <c r="V105" s="20"/>
      <c r="W105" s="20"/>
      <c r="X105" s="20"/>
      <c r="Y105" s="20"/>
      <c r="Z105" s="20"/>
      <c r="AA105" s="20"/>
      <c r="AB105" s="20"/>
      <c r="AD105" s="6"/>
      <c r="AE105" s="6"/>
      <c r="AF105" s="6"/>
      <c r="AG105" s="6"/>
      <c r="AH105" s="6"/>
      <c r="AI105" s="6"/>
      <c r="AJ105" s="6"/>
    </row>
    <row r="106" spans="1:36" hidden="1" x14ac:dyDescent="0.2">
      <c r="A106" s="37" t="s">
        <v>29</v>
      </c>
      <c r="B106" s="38" t="s">
        <v>30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  <c r="L106" s="6"/>
      <c r="M106" s="21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D106" s="6">
        <f>IF((D106&lt;&gt;"")*(D110=""),IF((D106&lt;=$B$440)*((D107&gt;=$C$440)+(D107&lt;2/24)),1,0),0)</f>
        <v>0</v>
      </c>
      <c r="AE106" s="6">
        <f>IF((E106&lt;&gt;"")*(E110=""),IF((E106&lt;=$B$440)*((E107&gt;=$C$440)+(E107&lt;2/24)),1,0),0)</f>
        <v>0</v>
      </c>
      <c r="AF106" s="6">
        <f>IF((F106&lt;&gt;"")*(F110=""),IF((F106&lt;=$B$440)*((F107&gt;=$C$440)+(F107&lt;2/24)),1,0),0)</f>
        <v>0</v>
      </c>
      <c r="AG106" s="6">
        <f>IF((G106&lt;&gt;"")*(G110=""),IF((G106&lt;=$B$440)*((G107&gt;=$C$440)+(G107&lt;2/24)),1,0),0)</f>
        <v>0</v>
      </c>
      <c r="AH106" s="6">
        <f>IF((H106&lt;&gt;"")*(H110=""),IF((H106&lt;=$B$440)*((H107&gt;=$C$440)+(H107&lt;2/24)),1,0),0)</f>
        <v>0</v>
      </c>
      <c r="AI106" s="6">
        <f>IF((I106&lt;&gt;"")*(I110=""),IF((I106&lt;=$B$440)*((I107&gt;=$C$440)+(I107&lt;2/24)),1,0),0)</f>
        <v>0</v>
      </c>
      <c r="AJ106" s="6">
        <f>IF((J106&lt;&gt;"")*(J110=""),IF((J106&lt;=$B$440)*((J107&gt;=$C$440)+(J107&lt;2/24)),1,0),0)</f>
        <v>0</v>
      </c>
    </row>
    <row r="107" spans="1:36" hidden="1" x14ac:dyDescent="0.2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  <c r="L107" s="6"/>
      <c r="M107" s="21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D107" s="6">
        <f>IF((D106&lt;&gt;"")*(D110=""),IF((D106&lt;=$B$441)*((D107&gt;=$C$441)+(D107&lt;2/24)),1,0),0)</f>
        <v>0</v>
      </c>
      <c r="AE107" s="6">
        <f>IF((E106&lt;&gt;"")*(E110=""),IF((E106&lt;=$B$441)*((E107&gt;=$C$441)+(E107&lt;2/24)),1,0),0)</f>
        <v>0</v>
      </c>
      <c r="AF107" s="6">
        <f>IF((F106&lt;&gt;"")*(F110=""),IF((F106&lt;=$B$441)*((F107&gt;=$C$441)+(F107&lt;2/24)),1,0),0)</f>
        <v>0</v>
      </c>
      <c r="AG107" s="6">
        <f>IF((G106&lt;&gt;"")*(G110=""),IF((G106&lt;=$B$441)*((G107&gt;=$C$441)+(G107&lt;2/24)),1,0),0)</f>
        <v>0</v>
      </c>
      <c r="AH107" s="6">
        <f>IF((H106&lt;&gt;"")*(H110=""),IF((H106&lt;=$B$441)*((H107&gt;=$C$441)+(H107&lt;2/24)),1,0),0)</f>
        <v>0</v>
      </c>
      <c r="AI107" s="6">
        <f>IF((I106&lt;&gt;"")*(I110=""),IF((I106&lt;=$B$441)*((I107&gt;=$C$441)+(I107&lt;2/24)),1,0),0)</f>
        <v>0</v>
      </c>
      <c r="AJ107" s="6">
        <f>IF((J106&lt;&gt;"")*(J110=""),IF((J106&lt;=$B$441)*((J107&gt;=$C$441)+(J107&lt;2/24)),1,0),0)</f>
        <v>0</v>
      </c>
    </row>
    <row r="108" spans="1:36" hidden="1" x14ac:dyDescent="0.2">
      <c r="A108" s="39"/>
      <c r="B108" s="40"/>
      <c r="C108" s="15" t="s">
        <v>2</v>
      </c>
      <c r="D108" s="4"/>
      <c r="E108" s="4"/>
      <c r="F108" s="4"/>
      <c r="G108" s="4"/>
      <c r="H108" s="4"/>
      <c r="I108" s="4"/>
      <c r="J108" s="4"/>
      <c r="K108" s="17"/>
      <c r="L108" s="6"/>
      <c r="M108" s="21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D108" s="6">
        <f>IF((D106&lt;&gt;"")*(D110=""),IF((D106&lt;=$B$442)*((D107&gt;=$C$442)+(D107&lt;2/24)),1,0),0)</f>
        <v>0</v>
      </c>
      <c r="AE108" s="6">
        <f>IF((E106&lt;&gt;"")*(E110=""),IF((E106&lt;=$B$442)*((E107&gt;=$C$442)+(E107&lt;2/24)),1,0),0)</f>
        <v>0</v>
      </c>
      <c r="AF108" s="6">
        <f>IF((F106&lt;&gt;"")*(F110=""),IF((F106&lt;=$B$442)*((F107&gt;=$C$442)+(F107&lt;2/24)),1,0),0)</f>
        <v>0</v>
      </c>
      <c r="AG108" s="6">
        <f>IF((G106&lt;&gt;"")*(G110=""),IF((G106&lt;=$B$442)*((G107&gt;=$C$442)+(G107&lt;2/24)),1,0),0)</f>
        <v>0</v>
      </c>
      <c r="AH108" s="6">
        <f>IF((H106&lt;&gt;"")*(H110=""),IF((H106&lt;=$B$442)*((H107&gt;=$C$442)+(H107&lt;2/24)),1,0),0)</f>
        <v>0</v>
      </c>
      <c r="AI108" s="6">
        <f>IF((I106&lt;&gt;"")*(I110=""),IF((I106&lt;=$B$442)*((I107&gt;=$C$442)+(I107&lt;2/24)),1,0),0)</f>
        <v>0</v>
      </c>
      <c r="AJ108" s="6">
        <f>IF((J106&lt;&gt;"")*(J110=""),IF((J106&lt;=$B$442)*((J107&gt;=$C$442)+(J107&lt;2/24)),1,0),0)</f>
        <v>0</v>
      </c>
    </row>
    <row r="109" spans="1:36" hidden="1" x14ac:dyDescent="0.2">
      <c r="A109" s="39"/>
      <c r="B109" s="40"/>
      <c r="C109" s="15" t="s">
        <v>3</v>
      </c>
      <c r="D109" s="43"/>
      <c r="E109" s="43"/>
      <c r="F109" s="43"/>
      <c r="G109" s="43"/>
      <c r="H109" s="43"/>
      <c r="I109" s="43"/>
      <c r="J109" s="44"/>
      <c r="K109" s="18">
        <f>SUMIF(D110:J110,"",D109:J109)</f>
        <v>0</v>
      </c>
      <c r="L109" s="12">
        <f>SUM(D109:J109)</f>
        <v>0</v>
      </c>
      <c r="M109" s="24"/>
      <c r="N109" s="10">
        <f t="shared" ref="N109:T109" si="34">IF(D110="",D109,0)</f>
        <v>0</v>
      </c>
      <c r="O109" s="10">
        <f t="shared" si="34"/>
        <v>0</v>
      </c>
      <c r="P109" s="10">
        <f t="shared" si="34"/>
        <v>0</v>
      </c>
      <c r="Q109" s="10">
        <f t="shared" si="34"/>
        <v>0</v>
      </c>
      <c r="R109" s="10">
        <f t="shared" si="34"/>
        <v>0</v>
      </c>
      <c r="S109" s="10">
        <f t="shared" si="34"/>
        <v>0</v>
      </c>
      <c r="T109" s="10">
        <f t="shared" si="34"/>
        <v>0</v>
      </c>
      <c r="U109" s="10"/>
      <c r="V109" s="10">
        <f t="shared" ref="V109:AB109" si="35">D109</f>
        <v>0</v>
      </c>
      <c r="W109" s="10">
        <f t="shared" si="35"/>
        <v>0</v>
      </c>
      <c r="X109" s="10">
        <f t="shared" si="35"/>
        <v>0</v>
      </c>
      <c r="Y109" s="10">
        <f t="shared" si="35"/>
        <v>0</v>
      </c>
      <c r="Z109" s="10">
        <f t="shared" si="35"/>
        <v>0</v>
      </c>
      <c r="AA109" s="10">
        <f t="shared" si="35"/>
        <v>0</v>
      </c>
      <c r="AB109" s="10">
        <f t="shared" si="35"/>
        <v>0</v>
      </c>
      <c r="AD109" s="6">
        <f>IF((D106&lt;&gt;"")*(D110=""),IF((D106&lt;=$B$443)*((D107&gt;=$C$443)+(D107&lt;2/24)),1,0),0)</f>
        <v>0</v>
      </c>
      <c r="AE109" s="6">
        <f>IF((E106&lt;&gt;"")*(E110=""),IF((E106&lt;=$B$443)*((E107&gt;=$C$443)+(E107&lt;2/24)),1,0),0)</f>
        <v>0</v>
      </c>
      <c r="AF109" s="6">
        <f>IF((F106&lt;&gt;"")*(F110=""),IF((F106&lt;=$B$443)*((F107&gt;=$C$443)+(F107&lt;2/24)),1,0),0)</f>
        <v>0</v>
      </c>
      <c r="AG109" s="6">
        <f>IF((G106&lt;&gt;"")*(G110=""),IF((G106&lt;=$B$443)*((G107&gt;=$C$443)+(G107&lt;2/24)),1,0),0)</f>
        <v>0</v>
      </c>
      <c r="AH109" s="6">
        <f>IF((H106&lt;&gt;"")*(H110=""),IF((H106&lt;=$B$443)*((H107&gt;=$C$443)+(H107&lt;2/24)),1,0),0)</f>
        <v>0</v>
      </c>
      <c r="AI109" s="6">
        <f>IF((I106&lt;&gt;"")*(I110=""),IF((I106&lt;=$B$443)*((I107&gt;=$C$443)+(I107&lt;2/24)),1,0),0)</f>
        <v>0</v>
      </c>
      <c r="AJ109" s="6">
        <f>IF((J106&lt;&gt;"")*(J110=""),IF((J106&lt;=$B$443)*((J107&gt;=$C$443)+(J107&lt;2/24)),1,0),0)</f>
        <v>0</v>
      </c>
    </row>
    <row r="110" spans="1:36" hidden="1" x14ac:dyDescent="0.2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  <c r="N110" s="6"/>
      <c r="O110" s="6"/>
      <c r="P110" s="6"/>
      <c r="Q110" s="6"/>
      <c r="R110" s="6"/>
      <c r="S110" s="6"/>
      <c r="T110" s="6"/>
      <c r="U110" s="6"/>
      <c r="V110" s="20"/>
      <c r="W110" s="20"/>
      <c r="X110" s="20"/>
      <c r="Y110" s="20"/>
      <c r="Z110" s="20"/>
      <c r="AA110" s="20"/>
      <c r="AB110" s="20"/>
      <c r="AD110" s="6">
        <f>IF((D106&lt;&gt;"")*(D110=""),IF((D106&lt;=$B$444)*((D107&gt;=$C$444)+(D107&lt;2/24)),1,0),0)</f>
        <v>0</v>
      </c>
      <c r="AE110" s="6">
        <f>IF((E106&lt;&gt;"")*(E110=""),IF((E106&lt;=$B$444)*((E107&gt;=$C$444)+(E107&lt;2/24)),1,0),0)</f>
        <v>0</v>
      </c>
      <c r="AF110" s="6">
        <f>IF((F106&lt;&gt;"")*(F110=""),IF((F106&lt;=$B$444)*((F107&gt;=$C$444)+(F107&lt;2/24)),1,0),0)</f>
        <v>0</v>
      </c>
      <c r="AG110" s="6">
        <f>IF((G106&lt;&gt;"")*(G110=""),IF((G106&lt;=$B$444)*((G107&gt;=$C$444)+(G107&lt;2/24)),1,0),0)</f>
        <v>0</v>
      </c>
      <c r="AH110" s="6">
        <f>IF((H106&lt;&gt;"")*(H110=""),IF((H106&lt;=$B$444)*((H107&gt;=$C$444)+(H107&lt;2/24)),1,0),0)</f>
        <v>0</v>
      </c>
      <c r="AI110" s="6">
        <f>IF((I106&lt;&gt;"")*(I110=""),IF((I106&lt;=$B$444)*((I107&gt;=$C$444)+(I107&lt;2/24)),1,0),0)</f>
        <v>0</v>
      </c>
      <c r="AJ110" s="6">
        <f>IF((J106&lt;&gt;"")*(J110=""),IF((J106&lt;=$B$444)*((J107&gt;=$C$444)+(J107&lt;2/24)),1,0),0)</f>
        <v>0</v>
      </c>
    </row>
    <row r="111" spans="1:36" ht="13.5" hidden="1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  <c r="L111" s="6"/>
      <c r="M111" s="25"/>
      <c r="N111" s="6"/>
      <c r="O111" s="6"/>
      <c r="P111" s="6"/>
      <c r="Q111" s="6"/>
      <c r="R111" s="6"/>
      <c r="S111" s="6"/>
      <c r="T111" s="6"/>
      <c r="U111" s="6"/>
      <c r="V111" s="20"/>
      <c r="W111" s="20"/>
      <c r="X111" s="20"/>
      <c r="Y111" s="20"/>
      <c r="Z111" s="20"/>
      <c r="AA111" s="20"/>
      <c r="AB111" s="20"/>
      <c r="AD111" s="6"/>
      <c r="AE111" s="6"/>
      <c r="AF111" s="6"/>
      <c r="AG111" s="6"/>
      <c r="AH111" s="6"/>
      <c r="AI111" s="6"/>
      <c r="AJ111" s="6"/>
    </row>
    <row r="112" spans="1:36" hidden="1" x14ac:dyDescent="0.2">
      <c r="A112" s="37" t="s">
        <v>29</v>
      </c>
      <c r="B112" s="38" t="s">
        <v>30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D112" s="6">
        <f>IF((D112&lt;&gt;"")*(D116=""),IF((D112&lt;=$B$440)*((D113&gt;=$C$440)+(D113&lt;2/24)),1,0),0)</f>
        <v>0</v>
      </c>
      <c r="AE112" s="6">
        <f>IF((E112&lt;&gt;"")*(E116=""),IF((E112&lt;=$B$440)*((E113&gt;=$C$440)+(E113&lt;2/24)),1,0),0)</f>
        <v>0</v>
      </c>
      <c r="AF112" s="6">
        <f>IF((F112&lt;&gt;"")*(F116=""),IF((F112&lt;=$B$440)*((F113&gt;=$C$440)+(F113&lt;2/24)),1,0),0)</f>
        <v>0</v>
      </c>
      <c r="AG112" s="6">
        <f>IF((G112&lt;&gt;"")*(G116=""),IF((G112&lt;=$B$440)*((G113&gt;=$C$440)+(G113&lt;2/24)),1,0),0)</f>
        <v>0</v>
      </c>
      <c r="AH112" s="6">
        <f>IF((H112&lt;&gt;"")*(H116=""),IF((H112&lt;=$B$440)*((H113&gt;=$C$440)+(H113&lt;2/24)),1,0),0)</f>
        <v>0</v>
      </c>
      <c r="AI112" s="6">
        <f>IF((I112&lt;&gt;"")*(I116=""),IF((I112&lt;=$B$440)*((I113&gt;=$C$440)+(I113&lt;2/24)),1,0),0)</f>
        <v>0</v>
      </c>
      <c r="AJ112" s="6">
        <f>IF((J112&lt;&gt;"")*(J116=""),IF((J112&lt;=$B$440)*((J113&gt;=$C$440)+(J113&lt;2/24)),1,0),0)</f>
        <v>0</v>
      </c>
    </row>
    <row r="113" spans="1:36" hidden="1" x14ac:dyDescent="0.2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D113" s="6">
        <f>IF((D112&lt;&gt;"")*(D116=""),IF((D112&lt;=$B$441)*((D113&gt;=$C$441)+(D113&lt;2/24)),1,0),0)</f>
        <v>0</v>
      </c>
      <c r="AE113" s="6">
        <f>IF((E112&lt;&gt;"")*(E116=""),IF((E112&lt;=$B$441)*((E113&gt;=$C$441)+(E113&lt;2/24)),1,0),0)</f>
        <v>0</v>
      </c>
      <c r="AF113" s="6">
        <f>IF((F112&lt;&gt;"")*(F116=""),IF((F112&lt;=$B$441)*((F113&gt;=$C$441)+(F113&lt;2/24)),1,0),0)</f>
        <v>0</v>
      </c>
      <c r="AG113" s="6">
        <f>IF((G112&lt;&gt;"")*(G116=""),IF((G112&lt;=$B$441)*((G113&gt;=$C$441)+(G113&lt;2/24)),1,0),0)</f>
        <v>0</v>
      </c>
      <c r="AH113" s="6">
        <f>IF((H112&lt;&gt;"")*(H116=""),IF((H112&lt;=$B$441)*((H113&gt;=$C$441)+(H113&lt;2/24)),1,0),0)</f>
        <v>0</v>
      </c>
      <c r="AI113" s="6">
        <f>IF((I112&lt;&gt;"")*(I116=""),IF((I112&lt;=$B$441)*((I113&gt;=$C$441)+(I113&lt;2/24)),1,0),0)</f>
        <v>0</v>
      </c>
      <c r="AJ113" s="6">
        <f>IF((J112&lt;&gt;"")*(J116=""),IF((J112&lt;=$B$441)*((J113&gt;=$C$441)+(J113&lt;2/24)),1,0),0)</f>
        <v>0</v>
      </c>
    </row>
    <row r="114" spans="1:36" hidden="1" x14ac:dyDescent="0.2">
      <c r="A114" s="39"/>
      <c r="B114" s="40"/>
      <c r="C114" s="15" t="s">
        <v>2</v>
      </c>
      <c r="D114" s="4"/>
      <c r="E114" s="4"/>
      <c r="F114" s="4"/>
      <c r="G114" s="4"/>
      <c r="H114" s="4"/>
      <c r="I114" s="4"/>
      <c r="J114" s="4"/>
      <c r="K114" s="17"/>
      <c r="L114" s="6"/>
      <c r="M114" s="21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D114" s="6">
        <f>IF((D112&lt;&gt;"")*(D116=""),IF((D112&lt;=$B$442)*((D113&gt;=$C$442)+(D113&lt;2/24)),1,0),0)</f>
        <v>0</v>
      </c>
      <c r="AE114" s="6">
        <f>IF((E112&lt;&gt;"")*(E116=""),IF((E112&lt;=$B$442)*((E113&gt;=$C$442)+(E113&lt;2/24)),1,0),0)</f>
        <v>0</v>
      </c>
      <c r="AF114" s="6">
        <f>IF((F112&lt;&gt;"")*(F116=""),IF((F112&lt;=$B$442)*((F113&gt;=$C$442)+(F113&lt;2/24)),1,0),0)</f>
        <v>0</v>
      </c>
      <c r="AG114" s="6">
        <f>IF((G112&lt;&gt;"")*(G116=""),IF((G112&lt;=$B$442)*((G113&gt;=$C$442)+(G113&lt;2/24)),1,0),0)</f>
        <v>0</v>
      </c>
      <c r="AH114" s="6">
        <f>IF((H112&lt;&gt;"")*(H116=""),IF((H112&lt;=$B$442)*((H113&gt;=$C$442)+(H113&lt;2/24)),1,0),0)</f>
        <v>0</v>
      </c>
      <c r="AI114" s="6">
        <f>IF((I112&lt;&gt;"")*(I116=""),IF((I112&lt;=$B$442)*((I113&gt;=$C$442)+(I113&lt;2/24)),1,0),0)</f>
        <v>0</v>
      </c>
      <c r="AJ114" s="6">
        <f>IF((J112&lt;&gt;"")*(J116=""),IF((J112&lt;=$B$442)*((J113&gt;=$C$442)+(J113&lt;2/24)),1,0),0)</f>
        <v>0</v>
      </c>
    </row>
    <row r="115" spans="1:36" hidden="1" x14ac:dyDescent="0.2">
      <c r="A115" s="39"/>
      <c r="B115" s="40"/>
      <c r="C115" s="15" t="s">
        <v>3</v>
      </c>
      <c r="D115" s="43"/>
      <c r="E115" s="43"/>
      <c r="F115" s="43"/>
      <c r="G115" s="43"/>
      <c r="H115" s="43"/>
      <c r="I115" s="43"/>
      <c r="J115" s="44"/>
      <c r="K115" s="18">
        <f>SUMIF(D116:J116,"",D115:J115)</f>
        <v>0</v>
      </c>
      <c r="L115" s="12">
        <f>SUM(D115:J115)</f>
        <v>0</v>
      </c>
      <c r="M115" s="24"/>
      <c r="N115" s="10">
        <f t="shared" ref="N115:T115" si="36">IF(D116="",D115,0)</f>
        <v>0</v>
      </c>
      <c r="O115" s="10">
        <f t="shared" si="36"/>
        <v>0</v>
      </c>
      <c r="P115" s="10">
        <f t="shared" si="36"/>
        <v>0</v>
      </c>
      <c r="Q115" s="10">
        <f t="shared" si="36"/>
        <v>0</v>
      </c>
      <c r="R115" s="10">
        <f t="shared" si="36"/>
        <v>0</v>
      </c>
      <c r="S115" s="10">
        <f t="shared" si="36"/>
        <v>0</v>
      </c>
      <c r="T115" s="10">
        <f t="shared" si="36"/>
        <v>0</v>
      </c>
      <c r="U115" s="10"/>
      <c r="V115" s="10">
        <f t="shared" ref="V115:AB115" si="37">D115</f>
        <v>0</v>
      </c>
      <c r="W115" s="10">
        <f t="shared" si="37"/>
        <v>0</v>
      </c>
      <c r="X115" s="10">
        <f t="shared" si="37"/>
        <v>0</v>
      </c>
      <c r="Y115" s="10">
        <f t="shared" si="37"/>
        <v>0</v>
      </c>
      <c r="Z115" s="10">
        <f t="shared" si="37"/>
        <v>0</v>
      </c>
      <c r="AA115" s="10">
        <f t="shared" si="37"/>
        <v>0</v>
      </c>
      <c r="AB115" s="10">
        <f t="shared" si="37"/>
        <v>0</v>
      </c>
      <c r="AD115" s="6">
        <f>IF((D112&lt;&gt;"")*(D116=""),IF((D112&lt;=$B$443)*((D113&gt;=$C$443)+(D113&lt;2/24)),1,0),0)</f>
        <v>0</v>
      </c>
      <c r="AE115" s="6">
        <f>IF((E112&lt;&gt;"")*(E116=""),IF((E112&lt;=$B$443)*((E113&gt;=$C$443)+(E113&lt;2/24)),1,0),0)</f>
        <v>0</v>
      </c>
      <c r="AF115" s="6">
        <f>IF((F112&lt;&gt;"")*(F116=""),IF((F112&lt;=$B$443)*((F113&gt;=$C$443)+(F113&lt;2/24)),1,0),0)</f>
        <v>0</v>
      </c>
      <c r="AG115" s="6">
        <f>IF((G112&lt;&gt;"")*(G116=""),IF((G112&lt;=$B$443)*((G113&gt;=$C$443)+(G113&lt;2/24)),1,0),0)</f>
        <v>0</v>
      </c>
      <c r="AH115" s="6">
        <f>IF((H112&lt;&gt;"")*(H116=""),IF((H112&lt;=$B$443)*((H113&gt;=$C$443)+(H113&lt;2/24)),1,0),0)</f>
        <v>0</v>
      </c>
      <c r="AI115" s="6">
        <f>IF((I112&lt;&gt;"")*(I116=""),IF((I112&lt;=$B$443)*((I113&gt;=$C$443)+(I113&lt;2/24)),1,0),0)</f>
        <v>0</v>
      </c>
      <c r="AJ115" s="6">
        <f>IF((J112&lt;&gt;"")*(J116=""),IF((J112&lt;=$B$443)*((J113&gt;=$C$443)+(J113&lt;2/24)),1,0),0)</f>
        <v>0</v>
      </c>
    </row>
    <row r="116" spans="1:36" hidden="1" x14ac:dyDescent="0.2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  <c r="N116" s="6"/>
      <c r="O116" s="6"/>
      <c r="P116" s="6"/>
      <c r="Q116" s="6"/>
      <c r="R116" s="6"/>
      <c r="S116" s="6"/>
      <c r="T116" s="6"/>
      <c r="U116" s="6"/>
      <c r="V116" s="20"/>
      <c r="W116" s="20"/>
      <c r="X116" s="20"/>
      <c r="Y116" s="20"/>
      <c r="Z116" s="20"/>
      <c r="AA116" s="20"/>
      <c r="AB116" s="20"/>
      <c r="AD116" s="6">
        <f>IF((D112&lt;&gt;"")*(D116=""),IF((D112&lt;=$B$444)*((D113&gt;=$C$444)+(D113&lt;2/24)),1,0),0)</f>
        <v>0</v>
      </c>
      <c r="AE116" s="6">
        <f>IF((E112&lt;&gt;"")*(E116=""),IF((E112&lt;=$B$444)*((E113&gt;=$C$444)+(E113&lt;2/24)),1,0),0)</f>
        <v>0</v>
      </c>
      <c r="AF116" s="6">
        <f>IF((F112&lt;&gt;"")*(F116=""),IF((F112&lt;=$B$444)*((F113&gt;=$C$444)+(F113&lt;2/24)),1,0),0)</f>
        <v>0</v>
      </c>
      <c r="AG116" s="6">
        <f>IF((G112&lt;&gt;"")*(G116=""),IF((G112&lt;=$B$444)*((G113&gt;=$C$444)+(G113&lt;2/24)),1,0),0)</f>
        <v>0</v>
      </c>
      <c r="AH116" s="6">
        <f>IF((H112&lt;&gt;"")*(H116=""),IF((H112&lt;=$B$444)*((H113&gt;=$C$444)+(H113&lt;2/24)),1,0),0)</f>
        <v>0</v>
      </c>
      <c r="AI116" s="6">
        <f>IF((I112&lt;&gt;"")*(I116=""),IF((I112&lt;=$B$444)*((I113&gt;=$C$444)+(I113&lt;2/24)),1,0),0)</f>
        <v>0</v>
      </c>
      <c r="AJ116" s="6">
        <f>IF((J112&lt;&gt;"")*(J116=""),IF((J112&lt;=$B$444)*((J113&gt;=$C$444)+(J113&lt;2/24)),1,0),0)</f>
        <v>0</v>
      </c>
    </row>
    <row r="117" spans="1:36" ht="13.5" hidden="1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  <c r="N117" s="6"/>
      <c r="O117" s="6"/>
      <c r="P117" s="6"/>
      <c r="Q117" s="6"/>
      <c r="R117" s="6"/>
      <c r="S117" s="6"/>
      <c r="T117" s="6"/>
      <c r="U117" s="6"/>
      <c r="V117" s="20"/>
      <c r="W117" s="20"/>
      <c r="X117" s="20"/>
      <c r="Y117" s="20"/>
      <c r="Z117" s="20"/>
      <c r="AA117" s="20"/>
      <c r="AB117" s="20"/>
      <c r="AD117" s="6"/>
      <c r="AE117" s="6"/>
      <c r="AF117" s="6"/>
      <c r="AG117" s="6"/>
      <c r="AH117" s="6"/>
      <c r="AI117" s="6"/>
      <c r="AJ117" s="6"/>
    </row>
    <row r="118" spans="1:36" hidden="1" x14ac:dyDescent="0.2">
      <c r="A118" s="37" t="s">
        <v>29</v>
      </c>
      <c r="B118" s="38" t="s">
        <v>30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  <c r="L118" s="6"/>
      <c r="M118" s="21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D118" s="6">
        <f>IF((D118&lt;&gt;"")*(D122=""),IF((D118&lt;=$B$440)*((D119&gt;=$C$440)+(D119&lt;2/24)),1,0),0)</f>
        <v>0</v>
      </c>
      <c r="AE118" s="6">
        <f>IF((E118&lt;&gt;"")*(E122=""),IF((E118&lt;=$B$440)*((E119&gt;=$C$440)+(E119&lt;2/24)),1,0),0)</f>
        <v>0</v>
      </c>
      <c r="AF118" s="6">
        <f>IF((F118&lt;&gt;"")*(F122=""),IF((F118&lt;=$B$440)*((F119&gt;=$C$440)+(F119&lt;2/24)),1,0),0)</f>
        <v>0</v>
      </c>
      <c r="AG118" s="6">
        <f>IF((G118&lt;&gt;"")*(G122=""),IF((G118&lt;=$B$440)*((G119&gt;=$C$440)+(G119&lt;2/24)),1,0),0)</f>
        <v>0</v>
      </c>
      <c r="AH118" s="6">
        <f>IF((H118&lt;&gt;"")*(H122=""),IF((H118&lt;=$B$440)*((H119&gt;=$C$440)+(H119&lt;2/24)),1,0),0)</f>
        <v>0</v>
      </c>
      <c r="AI118" s="6">
        <f>IF((I118&lt;&gt;"")*(I122=""),IF((I118&lt;=$B$440)*((I119&gt;=$C$440)+(I119&lt;2/24)),1,0),0)</f>
        <v>0</v>
      </c>
      <c r="AJ118" s="6">
        <f>IF((J118&lt;&gt;"")*(J122=""),IF((J118&lt;=$B$440)*((J119&gt;=$C$440)+(J119&lt;2/24)),1,0),0)</f>
        <v>0</v>
      </c>
    </row>
    <row r="119" spans="1:36" hidden="1" x14ac:dyDescent="0.2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  <c r="L119" s="6"/>
      <c r="M119" s="21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D119" s="6">
        <f>IF((D118&lt;&gt;"")*(D122=""),IF((D118&lt;=$B$441)*((D119&gt;=$C$441)+(D119&lt;2/24)),1,0),0)</f>
        <v>0</v>
      </c>
      <c r="AE119" s="6">
        <f>IF((E118&lt;&gt;"")*(E122=""),IF((E118&lt;=$B$441)*((E119&gt;=$C$441)+(E119&lt;2/24)),1,0),0)</f>
        <v>0</v>
      </c>
      <c r="AF119" s="6">
        <f>IF((F118&lt;&gt;"")*(F122=""),IF((F118&lt;=$B$441)*((F119&gt;=$C$441)+(F119&lt;2/24)),1,0),0)</f>
        <v>0</v>
      </c>
      <c r="AG119" s="6">
        <f>IF((G118&lt;&gt;"")*(G122=""),IF((G118&lt;=$B$441)*((G119&gt;=$C$441)+(G119&lt;2/24)),1,0),0)</f>
        <v>0</v>
      </c>
      <c r="AH119" s="6">
        <f>IF((H118&lt;&gt;"")*(H122=""),IF((H118&lt;=$B$441)*((H119&gt;=$C$441)+(H119&lt;2/24)),1,0),0)</f>
        <v>0</v>
      </c>
      <c r="AI119" s="6">
        <f>IF((I118&lt;&gt;"")*(I122=""),IF((I118&lt;=$B$441)*((I119&gt;=$C$441)+(I119&lt;2/24)),1,0),0)</f>
        <v>0</v>
      </c>
      <c r="AJ119" s="6">
        <f>IF((J118&lt;&gt;"")*(J122=""),IF((J118&lt;=$B$441)*((J119&gt;=$C$441)+(J119&lt;2/24)),1,0),0)</f>
        <v>0</v>
      </c>
    </row>
    <row r="120" spans="1:36" hidden="1" x14ac:dyDescent="0.2">
      <c r="A120" s="39"/>
      <c r="B120" s="40"/>
      <c r="C120" s="15" t="s">
        <v>2</v>
      </c>
      <c r="D120" s="4"/>
      <c r="E120" s="4"/>
      <c r="F120" s="4"/>
      <c r="G120" s="4"/>
      <c r="H120" s="4"/>
      <c r="I120" s="4"/>
      <c r="J120" s="4"/>
      <c r="K120" s="17"/>
      <c r="L120" s="6"/>
      <c r="M120" s="21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D120" s="6">
        <f>IF((D118&lt;&gt;"")*(D122=""),IF((D118&lt;=$B$442)*((D119&gt;=$C$442)+(D119&lt;2/24)),1,0),0)</f>
        <v>0</v>
      </c>
      <c r="AE120" s="6">
        <f>IF((E118&lt;&gt;"")*(E122=""),IF((E118&lt;=$B$442)*((E119&gt;=$C$442)+(E119&lt;2/24)),1,0),0)</f>
        <v>0</v>
      </c>
      <c r="AF120" s="6">
        <f>IF((F118&lt;&gt;"")*(F122=""),IF((F118&lt;=$B$442)*((F119&gt;=$C$442)+(F119&lt;2/24)),1,0),0)</f>
        <v>0</v>
      </c>
      <c r="AG120" s="6">
        <f>IF((G118&lt;&gt;"")*(G122=""),IF((G118&lt;=$B$442)*((G119&gt;=$C$442)+(G119&lt;2/24)),1,0),0)</f>
        <v>0</v>
      </c>
      <c r="AH120" s="6">
        <f>IF((H118&lt;&gt;"")*(H122=""),IF((H118&lt;=$B$442)*((H119&gt;=$C$442)+(H119&lt;2/24)),1,0),0)</f>
        <v>0</v>
      </c>
      <c r="AI120" s="6">
        <f>IF((I118&lt;&gt;"")*(I122=""),IF((I118&lt;=$B$442)*((I119&gt;=$C$442)+(I119&lt;2/24)),1,0),0)</f>
        <v>0</v>
      </c>
      <c r="AJ120" s="6">
        <f>IF((J118&lt;&gt;"")*(J122=""),IF((J118&lt;=$B$442)*((J119&gt;=$C$442)+(J119&lt;2/24)),1,0),0)</f>
        <v>0</v>
      </c>
    </row>
    <row r="121" spans="1:36" hidden="1" x14ac:dyDescent="0.2">
      <c r="A121" s="39"/>
      <c r="B121" s="40"/>
      <c r="C121" s="15" t="s">
        <v>3</v>
      </c>
      <c r="D121" s="43"/>
      <c r="E121" s="43"/>
      <c r="F121" s="43"/>
      <c r="G121" s="43"/>
      <c r="H121" s="43"/>
      <c r="I121" s="43"/>
      <c r="J121" s="44"/>
      <c r="K121" s="18">
        <f>SUMIF(D122:J122,"",D121:J121)</f>
        <v>0</v>
      </c>
      <c r="L121" s="12">
        <f>SUM(D121:J121)</f>
        <v>0</v>
      </c>
      <c r="M121" s="24"/>
      <c r="N121" s="10">
        <f t="shared" ref="N121:T121" si="38">IF(D122="",D121,0)</f>
        <v>0</v>
      </c>
      <c r="O121" s="10">
        <f t="shared" si="38"/>
        <v>0</v>
      </c>
      <c r="P121" s="10">
        <f t="shared" si="38"/>
        <v>0</v>
      </c>
      <c r="Q121" s="10">
        <f t="shared" si="38"/>
        <v>0</v>
      </c>
      <c r="R121" s="10">
        <f t="shared" si="38"/>
        <v>0</v>
      </c>
      <c r="S121" s="10">
        <f t="shared" si="38"/>
        <v>0</v>
      </c>
      <c r="T121" s="10">
        <f t="shared" si="38"/>
        <v>0</v>
      </c>
      <c r="U121" s="10"/>
      <c r="V121" s="10">
        <f t="shared" ref="V121:AB121" si="39">D121</f>
        <v>0</v>
      </c>
      <c r="W121" s="10">
        <f t="shared" si="39"/>
        <v>0</v>
      </c>
      <c r="X121" s="10">
        <f t="shared" si="39"/>
        <v>0</v>
      </c>
      <c r="Y121" s="10">
        <f t="shared" si="39"/>
        <v>0</v>
      </c>
      <c r="Z121" s="10">
        <f t="shared" si="39"/>
        <v>0</v>
      </c>
      <c r="AA121" s="10">
        <f t="shared" si="39"/>
        <v>0</v>
      </c>
      <c r="AB121" s="10">
        <f t="shared" si="39"/>
        <v>0</v>
      </c>
      <c r="AD121" s="6">
        <f>IF((D118&lt;&gt;"")*(D122=""),IF((D118&lt;=$B$443)*((D119&gt;=$C$443)+(D119&lt;2/24)),1,0),0)</f>
        <v>0</v>
      </c>
      <c r="AE121" s="6">
        <f>IF((E118&lt;&gt;"")*(E122=""),IF((E118&lt;=$B$443)*((E119&gt;=$C$443)+(E119&lt;2/24)),1,0),0)</f>
        <v>0</v>
      </c>
      <c r="AF121" s="6">
        <f>IF((F118&lt;&gt;"")*(F122=""),IF((F118&lt;=$B$443)*((F119&gt;=$C$443)+(F119&lt;2/24)),1,0),0)</f>
        <v>0</v>
      </c>
      <c r="AG121" s="6">
        <f>IF((G118&lt;&gt;"")*(G122=""),IF((G118&lt;=$B$443)*((G119&gt;=$C$443)+(G119&lt;2/24)),1,0),0)</f>
        <v>0</v>
      </c>
      <c r="AH121" s="6">
        <f>IF((H118&lt;&gt;"")*(H122=""),IF((H118&lt;=$B$443)*((H119&gt;=$C$443)+(H119&lt;2/24)),1,0),0)</f>
        <v>0</v>
      </c>
      <c r="AI121" s="6">
        <f>IF((I118&lt;&gt;"")*(I122=""),IF((I118&lt;=$B$443)*((I119&gt;=$C$443)+(I119&lt;2/24)),1,0),0)</f>
        <v>0</v>
      </c>
      <c r="AJ121" s="6">
        <f>IF((J118&lt;&gt;"")*(J122=""),IF((J118&lt;=$B$443)*((J119&gt;=$C$443)+(J119&lt;2/24)),1,0),0)</f>
        <v>0</v>
      </c>
    </row>
    <row r="122" spans="1:36" hidden="1" x14ac:dyDescent="0.2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  <c r="N122" s="6"/>
      <c r="O122" s="6"/>
      <c r="P122" s="6"/>
      <c r="Q122" s="6"/>
      <c r="R122" s="6"/>
      <c r="S122" s="6"/>
      <c r="T122" s="6"/>
      <c r="U122" s="6"/>
      <c r="V122" s="20"/>
      <c r="W122" s="20"/>
      <c r="X122" s="20"/>
      <c r="Y122" s="20"/>
      <c r="Z122" s="20"/>
      <c r="AA122" s="20"/>
      <c r="AB122" s="20"/>
      <c r="AD122" s="6">
        <f>IF((D118&lt;&gt;"")*(D122=""),IF((D118&lt;=$B$444)*((D119&gt;=$C$444)+(D119&lt;2/24)),1,0),0)</f>
        <v>0</v>
      </c>
      <c r="AE122" s="6">
        <f>IF((E118&lt;&gt;"")*(E122=""),IF((E118&lt;=$B$444)*((E119&gt;=$C$444)+(E119&lt;2/24)),1,0),0)</f>
        <v>0</v>
      </c>
      <c r="AF122" s="6">
        <f>IF((F118&lt;&gt;"")*(F122=""),IF((F118&lt;=$B$444)*((F119&gt;=$C$444)+(F119&lt;2/24)),1,0),0)</f>
        <v>0</v>
      </c>
      <c r="AG122" s="6">
        <f>IF((G118&lt;&gt;"")*(G122=""),IF((G118&lt;=$B$444)*((G119&gt;=$C$444)+(G119&lt;2/24)),1,0),0)</f>
        <v>0</v>
      </c>
      <c r="AH122" s="6">
        <f>IF((H118&lt;&gt;"")*(H122=""),IF((H118&lt;=$B$444)*((H119&gt;=$C$444)+(H119&lt;2/24)),1,0),0)</f>
        <v>0</v>
      </c>
      <c r="AI122" s="6">
        <f>IF((I118&lt;&gt;"")*(I122=""),IF((I118&lt;=$B$444)*((I119&gt;=$C$444)+(I119&lt;2/24)),1,0),0)</f>
        <v>0</v>
      </c>
      <c r="AJ122" s="6">
        <f>IF((J118&lt;&gt;"")*(J122=""),IF((J118&lt;=$B$444)*((J119&gt;=$C$444)+(J119&lt;2/24)),1,0),0)</f>
        <v>0</v>
      </c>
    </row>
    <row r="123" spans="1:36" ht="13.5" hidden="1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  <c r="L123" s="6"/>
      <c r="M123" s="25"/>
      <c r="N123" s="6"/>
      <c r="O123" s="6"/>
      <c r="P123" s="6"/>
      <c r="Q123" s="6"/>
      <c r="R123" s="6"/>
      <c r="S123" s="6"/>
      <c r="T123" s="6"/>
      <c r="U123" s="6"/>
      <c r="V123" s="20"/>
      <c r="W123" s="20"/>
      <c r="X123" s="20"/>
      <c r="Y123" s="20"/>
      <c r="Z123" s="20"/>
      <c r="AA123" s="20"/>
      <c r="AB123" s="20"/>
      <c r="AD123" s="6"/>
      <c r="AE123" s="6"/>
      <c r="AF123" s="6"/>
      <c r="AG123" s="6"/>
      <c r="AH123" s="6"/>
      <c r="AI123" s="6"/>
      <c r="AJ123" s="6"/>
    </row>
    <row r="124" spans="1:36" hidden="1" x14ac:dyDescent="0.2">
      <c r="A124" s="37" t="s">
        <v>29</v>
      </c>
      <c r="B124" s="38" t="s">
        <v>30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  <c r="L124" s="6"/>
      <c r="M124" s="21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D124" s="6">
        <f>IF((D124&lt;&gt;"")*(D128=""),IF((D124&lt;=$B$440)*((D125&gt;=$C$440)+(D125&lt;2/24)),1,0),0)</f>
        <v>0</v>
      </c>
      <c r="AE124" s="6">
        <f>IF((E124&lt;&gt;"")*(E128=""),IF((E124&lt;=$B$440)*((E125&gt;=$C$440)+(E125&lt;2/24)),1,0),0)</f>
        <v>0</v>
      </c>
      <c r="AF124" s="6">
        <f>IF((F124&lt;&gt;"")*(F128=""),IF((F124&lt;=$B$440)*((F125&gt;=$C$440)+(F125&lt;2/24)),1,0),0)</f>
        <v>0</v>
      </c>
      <c r="AG124" s="6">
        <f>IF((G124&lt;&gt;"")*(G128=""),IF((G124&lt;=$B$440)*((G125&gt;=$C$440)+(G125&lt;2/24)),1,0),0)</f>
        <v>0</v>
      </c>
      <c r="AH124" s="6">
        <f>IF((H124&lt;&gt;"")*(H128=""),IF((H124&lt;=$B$440)*((H125&gt;=$C$440)+(H125&lt;2/24)),1,0),0)</f>
        <v>0</v>
      </c>
      <c r="AI124" s="6">
        <f>IF((I124&lt;&gt;"")*(I128=""),IF((I124&lt;=$B$440)*((I125&gt;=$C$440)+(I125&lt;2/24)),1,0),0)</f>
        <v>0</v>
      </c>
      <c r="AJ124" s="6">
        <f>IF((J124&lt;&gt;"")*(J128=""),IF((J124&lt;=$B$440)*((J125&gt;=$C$440)+(J125&lt;2/24)),1,0),0)</f>
        <v>0</v>
      </c>
    </row>
    <row r="125" spans="1:36" hidden="1" x14ac:dyDescent="0.2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  <c r="L125" s="6"/>
      <c r="M125" s="21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D125" s="6">
        <f>IF((D124&lt;&gt;"")*(D128=""),IF((D124&lt;=$B$441)*((D125&gt;=$C$441)+(D125&lt;2/24)),1,0),0)</f>
        <v>0</v>
      </c>
      <c r="AE125" s="6">
        <f>IF((E124&lt;&gt;"")*(E128=""),IF((E124&lt;=$B$441)*((E125&gt;=$C$441)+(E125&lt;2/24)),1,0),0)</f>
        <v>0</v>
      </c>
      <c r="AF125" s="6">
        <f>IF((F124&lt;&gt;"")*(F128=""),IF((F124&lt;=$B$441)*((F125&gt;=$C$441)+(F125&lt;2/24)),1,0),0)</f>
        <v>0</v>
      </c>
      <c r="AG125" s="6">
        <f>IF((G124&lt;&gt;"")*(G128=""),IF((G124&lt;=$B$441)*((G125&gt;=$C$441)+(G125&lt;2/24)),1,0),0)</f>
        <v>0</v>
      </c>
      <c r="AH125" s="6">
        <f>IF((H124&lt;&gt;"")*(H128=""),IF((H124&lt;=$B$441)*((H125&gt;=$C$441)+(H125&lt;2/24)),1,0),0)</f>
        <v>0</v>
      </c>
      <c r="AI125" s="6">
        <f>IF((I124&lt;&gt;"")*(I128=""),IF((I124&lt;=$B$441)*((I125&gt;=$C$441)+(I125&lt;2/24)),1,0),0)</f>
        <v>0</v>
      </c>
      <c r="AJ125" s="6">
        <f>IF((J124&lt;&gt;"")*(J128=""),IF((J124&lt;=$B$441)*((J125&gt;=$C$441)+(J125&lt;2/24)),1,0),0)</f>
        <v>0</v>
      </c>
    </row>
    <row r="126" spans="1:36" hidden="1" x14ac:dyDescent="0.2">
      <c r="A126" s="39"/>
      <c r="B126" s="40"/>
      <c r="C126" s="15" t="s">
        <v>2</v>
      </c>
      <c r="D126" s="4"/>
      <c r="E126" s="4"/>
      <c r="F126" s="4"/>
      <c r="G126" s="4"/>
      <c r="H126" s="4"/>
      <c r="I126" s="4"/>
      <c r="J126" s="4"/>
      <c r="K126" s="17"/>
      <c r="L126" s="6"/>
      <c r="M126" s="21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D126" s="6">
        <f>IF((D124&lt;&gt;"")*(D128=""),IF((D124&lt;=$B$442)*((D125&gt;=$C$442)+(D125&lt;2/24)),1,0),0)</f>
        <v>0</v>
      </c>
      <c r="AE126" s="6">
        <f>IF((E124&lt;&gt;"")*(E128=""),IF((E124&lt;=$B$442)*((E125&gt;=$C$442)+(E125&lt;2/24)),1,0),0)</f>
        <v>0</v>
      </c>
      <c r="AF126" s="6">
        <f>IF((F124&lt;&gt;"")*(F128=""),IF((F124&lt;=$B$442)*((F125&gt;=$C$442)+(F125&lt;2/24)),1,0),0)</f>
        <v>0</v>
      </c>
      <c r="AG126" s="6">
        <f>IF((G124&lt;&gt;"")*(G128=""),IF((G124&lt;=$B$442)*((G125&gt;=$C$442)+(G125&lt;2/24)),1,0),0)</f>
        <v>0</v>
      </c>
      <c r="AH126" s="6">
        <f>IF((H124&lt;&gt;"")*(H128=""),IF((H124&lt;=$B$442)*((H125&gt;=$C$442)+(H125&lt;2/24)),1,0),0)</f>
        <v>0</v>
      </c>
      <c r="AI126" s="6">
        <f>IF((I124&lt;&gt;"")*(I128=""),IF((I124&lt;=$B$442)*((I125&gt;=$C$442)+(I125&lt;2/24)),1,0),0)</f>
        <v>0</v>
      </c>
      <c r="AJ126" s="6">
        <f>IF((J124&lt;&gt;"")*(J128=""),IF((J124&lt;=$B$442)*((J125&gt;=$C$442)+(J125&lt;2/24)),1,0),0)</f>
        <v>0</v>
      </c>
    </row>
    <row r="127" spans="1:36" hidden="1" x14ac:dyDescent="0.2">
      <c r="A127" s="39"/>
      <c r="B127" s="40"/>
      <c r="C127" s="15" t="s">
        <v>3</v>
      </c>
      <c r="D127" s="43"/>
      <c r="E127" s="43"/>
      <c r="F127" s="43"/>
      <c r="G127" s="43"/>
      <c r="H127" s="43"/>
      <c r="I127" s="43"/>
      <c r="J127" s="44"/>
      <c r="K127" s="18">
        <f>SUMIF(D128:J128,"",D127:J127)</f>
        <v>0</v>
      </c>
      <c r="L127" s="12">
        <f>SUM(D127:J127)</f>
        <v>0</v>
      </c>
      <c r="M127" s="24"/>
      <c r="N127" s="10">
        <f t="shared" ref="N127:T127" si="40">IF(D128="",D127,0)</f>
        <v>0</v>
      </c>
      <c r="O127" s="10">
        <f t="shared" si="40"/>
        <v>0</v>
      </c>
      <c r="P127" s="10">
        <f t="shared" si="40"/>
        <v>0</v>
      </c>
      <c r="Q127" s="10">
        <f t="shared" si="40"/>
        <v>0</v>
      </c>
      <c r="R127" s="10">
        <f t="shared" si="40"/>
        <v>0</v>
      </c>
      <c r="S127" s="10">
        <f t="shared" si="40"/>
        <v>0</v>
      </c>
      <c r="T127" s="10">
        <f t="shared" si="40"/>
        <v>0</v>
      </c>
      <c r="U127" s="10"/>
      <c r="V127" s="10">
        <f t="shared" ref="V127:AB127" si="41">D127</f>
        <v>0</v>
      </c>
      <c r="W127" s="10">
        <f t="shared" si="41"/>
        <v>0</v>
      </c>
      <c r="X127" s="10">
        <f t="shared" si="41"/>
        <v>0</v>
      </c>
      <c r="Y127" s="10">
        <f t="shared" si="41"/>
        <v>0</v>
      </c>
      <c r="Z127" s="10">
        <f t="shared" si="41"/>
        <v>0</v>
      </c>
      <c r="AA127" s="10">
        <f t="shared" si="41"/>
        <v>0</v>
      </c>
      <c r="AB127" s="10">
        <f t="shared" si="41"/>
        <v>0</v>
      </c>
      <c r="AD127" s="6">
        <f>IF((D124&lt;&gt;"")*(D128=""),IF((D124&lt;=$B$443)*((D125&gt;=$C$443)+(D125&lt;2/24)),1,0),0)</f>
        <v>0</v>
      </c>
      <c r="AE127" s="6">
        <f>IF((E124&lt;&gt;"")*(E128=""),IF((E124&lt;=$B$443)*((E125&gt;=$C$443)+(E125&lt;2/24)),1,0),0)</f>
        <v>0</v>
      </c>
      <c r="AF127" s="6">
        <f>IF((F124&lt;&gt;"")*(F128=""),IF((F124&lt;=$B$443)*((F125&gt;=$C$443)+(F125&lt;2/24)),1,0),0)</f>
        <v>0</v>
      </c>
      <c r="AG127" s="6">
        <f>IF((G124&lt;&gt;"")*(G128=""),IF((G124&lt;=$B$443)*((G125&gt;=$C$443)+(G125&lt;2/24)),1,0),0)</f>
        <v>0</v>
      </c>
      <c r="AH127" s="6">
        <f>IF((H124&lt;&gt;"")*(H128=""),IF((H124&lt;=$B$443)*((H125&gt;=$C$443)+(H125&lt;2/24)),1,0),0)</f>
        <v>0</v>
      </c>
      <c r="AI127" s="6">
        <f>IF((I124&lt;&gt;"")*(I128=""),IF((I124&lt;=$B$443)*((I125&gt;=$C$443)+(I125&lt;2/24)),1,0),0)</f>
        <v>0</v>
      </c>
      <c r="AJ127" s="6">
        <f>IF((J124&lt;&gt;"")*(J128=""),IF((J124&lt;=$B$443)*((J125&gt;=$C$443)+(J125&lt;2/24)),1,0),0)</f>
        <v>0</v>
      </c>
    </row>
    <row r="128" spans="1:36" hidden="1" x14ac:dyDescent="0.2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  <c r="N128" s="6"/>
      <c r="O128" s="6"/>
      <c r="P128" s="6"/>
      <c r="Q128" s="6"/>
      <c r="R128" s="6"/>
      <c r="S128" s="6"/>
      <c r="T128" s="6"/>
      <c r="U128" s="6"/>
      <c r="V128" s="20"/>
      <c r="W128" s="20"/>
      <c r="X128" s="20"/>
      <c r="Y128" s="20"/>
      <c r="Z128" s="20"/>
      <c r="AA128" s="20"/>
      <c r="AB128" s="20"/>
      <c r="AD128" s="6">
        <f>IF((D124&lt;&gt;"")*(D128=""),IF((D124&lt;=$B$444)*((D125&gt;=$C$444)+(D125&lt;2/24)),1,0),0)</f>
        <v>0</v>
      </c>
      <c r="AE128" s="6">
        <f>IF((E124&lt;&gt;"")*(E128=""),IF((E124&lt;=$B$444)*((E125&gt;=$C$444)+(E125&lt;2/24)),1,0),0)</f>
        <v>0</v>
      </c>
      <c r="AF128" s="6">
        <f>IF((F124&lt;&gt;"")*(F128=""),IF((F124&lt;=$B$444)*((F125&gt;=$C$444)+(F125&lt;2/24)),1,0),0)</f>
        <v>0</v>
      </c>
      <c r="AG128" s="6">
        <f>IF((G124&lt;&gt;"")*(G128=""),IF((G124&lt;=$B$444)*((G125&gt;=$C$444)+(G125&lt;2/24)),1,0),0)</f>
        <v>0</v>
      </c>
      <c r="AH128" s="6">
        <f>IF((H124&lt;&gt;"")*(H128=""),IF((H124&lt;=$B$444)*((H125&gt;=$C$444)+(H125&lt;2/24)),1,0),0)</f>
        <v>0</v>
      </c>
      <c r="AI128" s="6">
        <f>IF((I124&lt;&gt;"")*(I128=""),IF((I124&lt;=$B$444)*((I125&gt;=$C$444)+(I125&lt;2/24)),1,0),0)</f>
        <v>0</v>
      </c>
      <c r="AJ128" s="6">
        <f>IF((J124&lt;&gt;"")*(J128=""),IF((J124&lt;=$B$444)*((J125&gt;=$C$444)+(J125&lt;2/24)),1,0),0)</f>
        <v>0</v>
      </c>
    </row>
    <row r="129" spans="1:36" ht="13.5" hidden="1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  <c r="L129" s="6"/>
      <c r="M129" s="25"/>
      <c r="N129" s="6"/>
      <c r="O129" s="6"/>
      <c r="P129" s="6"/>
      <c r="Q129" s="6"/>
      <c r="R129" s="6"/>
      <c r="S129" s="6"/>
      <c r="T129" s="6"/>
      <c r="U129" s="6"/>
      <c r="V129" s="20"/>
      <c r="W129" s="20"/>
      <c r="X129" s="20"/>
      <c r="Y129" s="20"/>
      <c r="Z129" s="20"/>
      <c r="AA129" s="20"/>
      <c r="AB129" s="20"/>
      <c r="AD129" s="6"/>
      <c r="AE129" s="6"/>
      <c r="AF129" s="6"/>
      <c r="AG129" s="6"/>
      <c r="AH129" s="6"/>
      <c r="AI129" s="6"/>
      <c r="AJ129" s="6"/>
    </row>
    <row r="130" spans="1:36" hidden="1" x14ac:dyDescent="0.2">
      <c r="A130" s="37" t="s">
        <v>29</v>
      </c>
      <c r="B130" s="38" t="s">
        <v>30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D130" s="6">
        <f>IF((D130&lt;&gt;"")*(D134=""),IF((D130&lt;=$B$440)*((D131&gt;=$C$440)+(D131&lt;2/24)),1,0),0)</f>
        <v>0</v>
      </c>
      <c r="AE130" s="6">
        <f>IF((E130&lt;&gt;"")*(E134=""),IF((E130&lt;=$B$440)*((E131&gt;=$C$440)+(E131&lt;2/24)),1,0),0)</f>
        <v>0</v>
      </c>
      <c r="AF130" s="6">
        <f>IF((F130&lt;&gt;"")*(F134=""),IF((F130&lt;=$B$440)*((F131&gt;=$C$440)+(F131&lt;2/24)),1,0),0)</f>
        <v>0</v>
      </c>
      <c r="AG130" s="6">
        <f>IF((G130&lt;&gt;"")*(G134=""),IF((G130&lt;=$B$440)*((G131&gt;=$C$440)+(G131&lt;2/24)),1,0),0)</f>
        <v>0</v>
      </c>
      <c r="AH130" s="6">
        <f>IF((H130&lt;&gt;"")*(H134=""),IF((H130&lt;=$B$440)*((H131&gt;=$C$440)+(H131&lt;2/24)),1,0),0)</f>
        <v>0</v>
      </c>
      <c r="AI130" s="6">
        <f>IF((I130&lt;&gt;"")*(I134=""),IF((I130&lt;=$B$440)*((I131&gt;=$C$440)+(I131&lt;2/24)),1,0),0)</f>
        <v>0</v>
      </c>
      <c r="AJ130" s="6">
        <f>IF((J130&lt;&gt;"")*(J134=""),IF((J130&lt;=$B$440)*((J131&gt;=$C$440)+(J131&lt;2/24)),1,0),0)</f>
        <v>0</v>
      </c>
    </row>
    <row r="131" spans="1:36" hidden="1" x14ac:dyDescent="0.2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D131" s="6">
        <f>IF((D130&lt;&gt;"")*(D134=""),IF((D130&lt;=$B$441)*((D131&gt;=$C$441)+(D131&lt;2/24)),1,0),0)</f>
        <v>0</v>
      </c>
      <c r="AE131" s="6">
        <f>IF((E130&lt;&gt;"")*(E134=""),IF((E130&lt;=$B$441)*((E131&gt;=$C$441)+(E131&lt;2/24)),1,0),0)</f>
        <v>0</v>
      </c>
      <c r="AF131" s="6">
        <f>IF((F130&lt;&gt;"")*(F134=""),IF((F130&lt;=$B$441)*((F131&gt;=$C$441)+(F131&lt;2/24)),1,0),0)</f>
        <v>0</v>
      </c>
      <c r="AG131" s="6">
        <f>IF((G130&lt;&gt;"")*(G134=""),IF((G130&lt;=$B$441)*((G131&gt;=$C$441)+(G131&lt;2/24)),1,0),0)</f>
        <v>0</v>
      </c>
      <c r="AH131" s="6">
        <f>IF((H130&lt;&gt;"")*(H134=""),IF((H130&lt;=$B$441)*((H131&gt;=$C$441)+(H131&lt;2/24)),1,0),0)</f>
        <v>0</v>
      </c>
      <c r="AI131" s="6">
        <f>IF((I130&lt;&gt;"")*(I134=""),IF((I130&lt;=$B$441)*((I131&gt;=$C$441)+(I131&lt;2/24)),1,0),0)</f>
        <v>0</v>
      </c>
      <c r="AJ131" s="6">
        <f>IF((J130&lt;&gt;"")*(J134=""),IF((J130&lt;=$B$441)*((J131&gt;=$C$441)+(J131&lt;2/24)),1,0),0)</f>
        <v>0</v>
      </c>
    </row>
    <row r="132" spans="1:36" hidden="1" x14ac:dyDescent="0.2">
      <c r="A132" s="39"/>
      <c r="B132" s="40"/>
      <c r="C132" s="15" t="s">
        <v>2</v>
      </c>
      <c r="D132" s="4"/>
      <c r="E132" s="4"/>
      <c r="F132" s="4"/>
      <c r="G132" s="4"/>
      <c r="H132" s="4"/>
      <c r="I132" s="4"/>
      <c r="J132" s="4"/>
      <c r="K132" s="17"/>
      <c r="L132" s="6"/>
      <c r="M132" s="21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D132" s="6">
        <f>IF((D130&lt;&gt;"")*(D134=""),IF((D130&lt;=$B$442)*((D131&gt;=$C$442)+(D131&lt;2/24)),1,0),0)</f>
        <v>0</v>
      </c>
      <c r="AE132" s="6">
        <f>IF((E130&lt;&gt;"")*(E134=""),IF((E130&lt;=$B$442)*((E131&gt;=$C$442)+(E131&lt;2/24)),1,0),0)</f>
        <v>0</v>
      </c>
      <c r="AF132" s="6">
        <f>IF((F130&lt;&gt;"")*(F134=""),IF((F130&lt;=$B$442)*((F131&gt;=$C$442)+(F131&lt;2/24)),1,0),0)</f>
        <v>0</v>
      </c>
      <c r="AG132" s="6">
        <f>IF((G130&lt;&gt;"")*(G134=""),IF((G130&lt;=$B$442)*((G131&gt;=$C$442)+(G131&lt;2/24)),1,0),0)</f>
        <v>0</v>
      </c>
      <c r="AH132" s="6">
        <f>IF((H130&lt;&gt;"")*(H134=""),IF((H130&lt;=$B$442)*((H131&gt;=$C$442)+(H131&lt;2/24)),1,0),0)</f>
        <v>0</v>
      </c>
      <c r="AI132" s="6">
        <f>IF((I130&lt;&gt;"")*(I134=""),IF((I130&lt;=$B$442)*((I131&gt;=$C$442)+(I131&lt;2/24)),1,0),0)</f>
        <v>0</v>
      </c>
      <c r="AJ132" s="6">
        <f>IF((J130&lt;&gt;"")*(J134=""),IF((J130&lt;=$B$442)*((J131&gt;=$C$442)+(J131&lt;2/24)),1,0),0)</f>
        <v>0</v>
      </c>
    </row>
    <row r="133" spans="1:36" hidden="1" x14ac:dyDescent="0.2">
      <c r="A133" s="39"/>
      <c r="B133" s="40"/>
      <c r="C133" s="15" t="s">
        <v>3</v>
      </c>
      <c r="D133" s="43"/>
      <c r="E133" s="43"/>
      <c r="F133" s="43"/>
      <c r="G133" s="43"/>
      <c r="H133" s="43"/>
      <c r="I133" s="43"/>
      <c r="J133" s="44"/>
      <c r="K133" s="18">
        <f>SUMIF(D134:J134,"",D133:J133)</f>
        <v>0</v>
      </c>
      <c r="L133" s="12">
        <f>SUM(D133:J133)</f>
        <v>0</v>
      </c>
      <c r="M133" s="24"/>
      <c r="N133" s="10">
        <f t="shared" ref="N133:T133" si="42">IF(D134="",D133,0)</f>
        <v>0</v>
      </c>
      <c r="O133" s="10">
        <f t="shared" si="42"/>
        <v>0</v>
      </c>
      <c r="P133" s="10">
        <f t="shared" si="42"/>
        <v>0</v>
      </c>
      <c r="Q133" s="10">
        <f t="shared" si="42"/>
        <v>0</v>
      </c>
      <c r="R133" s="10">
        <f t="shared" si="42"/>
        <v>0</v>
      </c>
      <c r="S133" s="10">
        <f t="shared" si="42"/>
        <v>0</v>
      </c>
      <c r="T133" s="10">
        <f t="shared" si="42"/>
        <v>0</v>
      </c>
      <c r="U133" s="10"/>
      <c r="V133" s="10">
        <f t="shared" ref="V133:AB133" si="43">D133</f>
        <v>0</v>
      </c>
      <c r="W133" s="10">
        <f t="shared" si="43"/>
        <v>0</v>
      </c>
      <c r="X133" s="10">
        <f t="shared" si="43"/>
        <v>0</v>
      </c>
      <c r="Y133" s="10">
        <f t="shared" si="43"/>
        <v>0</v>
      </c>
      <c r="Z133" s="10">
        <f t="shared" si="43"/>
        <v>0</v>
      </c>
      <c r="AA133" s="10">
        <f t="shared" si="43"/>
        <v>0</v>
      </c>
      <c r="AB133" s="10">
        <f t="shared" si="43"/>
        <v>0</v>
      </c>
      <c r="AD133" s="6">
        <f>IF((D130&lt;&gt;"")*(D134=""),IF((D130&lt;=$B$443)*((D131&gt;=$C$443)+(D131&lt;2/24)),1,0),0)</f>
        <v>0</v>
      </c>
      <c r="AE133" s="6">
        <f>IF((E130&lt;&gt;"")*(E134=""),IF((E130&lt;=$B$443)*((E131&gt;=$C$443)+(E131&lt;2/24)),1,0),0)</f>
        <v>0</v>
      </c>
      <c r="AF133" s="6">
        <f>IF((F130&lt;&gt;"")*(F134=""),IF((F130&lt;=$B$443)*((F131&gt;=$C$443)+(F131&lt;2/24)),1,0),0)</f>
        <v>0</v>
      </c>
      <c r="AG133" s="6">
        <f>IF((G130&lt;&gt;"")*(G134=""),IF((G130&lt;=$B$443)*((G131&gt;=$C$443)+(G131&lt;2/24)),1,0),0)</f>
        <v>0</v>
      </c>
      <c r="AH133" s="6">
        <f>IF((H130&lt;&gt;"")*(H134=""),IF((H130&lt;=$B$443)*((H131&gt;=$C$443)+(H131&lt;2/24)),1,0),0)</f>
        <v>0</v>
      </c>
      <c r="AI133" s="6">
        <f>IF((I130&lt;&gt;"")*(I134=""),IF((I130&lt;=$B$443)*((I131&gt;=$C$443)+(I131&lt;2/24)),1,0),0)</f>
        <v>0</v>
      </c>
      <c r="AJ133" s="6">
        <f>IF((J130&lt;&gt;"")*(J134=""),IF((J130&lt;=$B$443)*((J131&gt;=$C$443)+(J131&lt;2/24)),1,0),0)</f>
        <v>0</v>
      </c>
    </row>
    <row r="134" spans="1:36" hidden="1" x14ac:dyDescent="0.2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  <c r="N134" s="6"/>
      <c r="O134" s="6"/>
      <c r="P134" s="6"/>
      <c r="Q134" s="6"/>
      <c r="R134" s="6"/>
      <c r="S134" s="6"/>
      <c r="T134" s="6"/>
      <c r="U134" s="6"/>
      <c r="V134" s="20"/>
      <c r="W134" s="20"/>
      <c r="X134" s="20"/>
      <c r="Y134" s="20"/>
      <c r="Z134" s="20"/>
      <c r="AA134" s="20"/>
      <c r="AB134" s="20"/>
      <c r="AD134" s="6">
        <f>IF((D130&lt;&gt;"")*(D134=""),IF((D130&lt;=$B$444)*((D131&gt;=$C$444)+(D131&lt;2/24)),1,0),0)</f>
        <v>0</v>
      </c>
      <c r="AE134" s="6">
        <f>IF((E130&lt;&gt;"")*(E134=""),IF((E130&lt;=$B$444)*((E131&gt;=$C$444)+(E131&lt;2/24)),1,0),0)</f>
        <v>0</v>
      </c>
      <c r="AF134" s="6">
        <f>IF((F130&lt;&gt;"")*(F134=""),IF((F130&lt;=$B$444)*((F131&gt;=$C$444)+(F131&lt;2/24)),1,0),0)</f>
        <v>0</v>
      </c>
      <c r="AG134" s="6">
        <f>IF((G130&lt;&gt;"")*(G134=""),IF((G130&lt;=$B$444)*((G131&gt;=$C$444)+(G131&lt;2/24)),1,0),0)</f>
        <v>0</v>
      </c>
      <c r="AH134" s="6">
        <f>IF((H130&lt;&gt;"")*(H134=""),IF((H130&lt;=$B$444)*((H131&gt;=$C$444)+(H131&lt;2/24)),1,0),0)</f>
        <v>0</v>
      </c>
      <c r="AI134" s="6">
        <f>IF((I130&lt;&gt;"")*(I134=""),IF((I130&lt;=$B$444)*((I131&gt;=$C$444)+(I131&lt;2/24)),1,0),0)</f>
        <v>0</v>
      </c>
      <c r="AJ134" s="6">
        <f>IF((J130&lt;&gt;"")*(J134=""),IF((J130&lt;=$B$444)*((J131&gt;=$C$444)+(J131&lt;2/24)),1,0),0)</f>
        <v>0</v>
      </c>
    </row>
    <row r="135" spans="1:36" ht="13.5" hidden="1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  <c r="N135" s="6"/>
      <c r="O135" s="6"/>
      <c r="P135" s="6"/>
      <c r="Q135" s="6"/>
      <c r="R135" s="6"/>
      <c r="S135" s="6"/>
      <c r="T135" s="6"/>
      <c r="U135" s="6"/>
      <c r="V135" s="20"/>
      <c r="W135" s="20"/>
      <c r="X135" s="20"/>
      <c r="Y135" s="20"/>
      <c r="Z135" s="20"/>
      <c r="AA135" s="20"/>
      <c r="AB135" s="20"/>
      <c r="AD135" s="6"/>
      <c r="AE135" s="6"/>
      <c r="AF135" s="6"/>
      <c r="AG135" s="6"/>
      <c r="AH135" s="6"/>
      <c r="AI135" s="6"/>
      <c r="AJ135" s="6"/>
    </row>
    <row r="136" spans="1:36" hidden="1" x14ac:dyDescent="0.2">
      <c r="A136" s="37" t="s">
        <v>29</v>
      </c>
      <c r="B136" s="38" t="s">
        <v>30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  <c r="L136" s="6"/>
      <c r="M136" s="21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D136" s="6">
        <f>IF((D136&lt;&gt;"")*(D140=""),IF((D136&lt;=$B$440)*((D137&gt;=$C$440)+(D137&lt;2/24)),1,0),0)</f>
        <v>0</v>
      </c>
      <c r="AE136" s="6">
        <f>IF((E136&lt;&gt;"")*(E140=""),IF((E136&lt;=$B$440)*((E137&gt;=$C$440)+(E137&lt;2/24)),1,0),0)</f>
        <v>0</v>
      </c>
      <c r="AF136" s="6">
        <f>IF((F136&lt;&gt;"")*(F140=""),IF((F136&lt;=$B$440)*((F137&gt;=$C$440)+(F137&lt;2/24)),1,0),0)</f>
        <v>0</v>
      </c>
      <c r="AG136" s="6">
        <f>IF((G136&lt;&gt;"")*(G140=""),IF((G136&lt;=$B$440)*((G137&gt;=$C$440)+(G137&lt;2/24)),1,0),0)</f>
        <v>0</v>
      </c>
      <c r="AH136" s="6">
        <f>IF((H136&lt;&gt;"")*(H140=""),IF((H136&lt;=$B$440)*((H137&gt;=$C$440)+(H137&lt;2/24)),1,0),0)</f>
        <v>0</v>
      </c>
      <c r="AI136" s="6">
        <f>IF((I136&lt;&gt;"")*(I140=""),IF((I136&lt;=$B$440)*((I137&gt;=$C$440)+(I137&lt;2/24)),1,0),0)</f>
        <v>0</v>
      </c>
      <c r="AJ136" s="6">
        <f>IF((J136&lt;&gt;"")*(J140=""),IF((J136&lt;=$B$440)*((J137&gt;=$C$440)+(J137&lt;2/24)),1,0),0)</f>
        <v>0</v>
      </c>
    </row>
    <row r="137" spans="1:36" hidden="1" x14ac:dyDescent="0.2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  <c r="L137" s="6"/>
      <c r="M137" s="21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D137" s="6">
        <f>IF((D136&lt;&gt;"")*(D140=""),IF((D136&lt;=$B$441)*((D137&gt;=$C$441)+(D137&lt;2/24)),1,0),0)</f>
        <v>0</v>
      </c>
      <c r="AE137" s="6">
        <f>IF((E136&lt;&gt;"")*(E140=""),IF((E136&lt;=$B$441)*((E137&gt;=$C$441)+(E137&lt;2/24)),1,0),0)</f>
        <v>0</v>
      </c>
      <c r="AF137" s="6">
        <f>IF((F136&lt;&gt;"")*(F140=""),IF((F136&lt;=$B$441)*((F137&gt;=$C$441)+(F137&lt;2/24)),1,0),0)</f>
        <v>0</v>
      </c>
      <c r="AG137" s="6">
        <f>IF((G136&lt;&gt;"")*(G140=""),IF((G136&lt;=$B$441)*((G137&gt;=$C$441)+(G137&lt;2/24)),1,0),0)</f>
        <v>0</v>
      </c>
      <c r="AH137" s="6">
        <f>IF((H136&lt;&gt;"")*(H140=""),IF((H136&lt;=$B$441)*((H137&gt;=$C$441)+(H137&lt;2/24)),1,0),0)</f>
        <v>0</v>
      </c>
      <c r="AI137" s="6">
        <f>IF((I136&lt;&gt;"")*(I140=""),IF((I136&lt;=$B$441)*((I137&gt;=$C$441)+(I137&lt;2/24)),1,0),0)</f>
        <v>0</v>
      </c>
      <c r="AJ137" s="6">
        <f>IF((J136&lt;&gt;"")*(J140=""),IF((J136&lt;=$B$441)*((J137&gt;=$C$441)+(J137&lt;2/24)),1,0),0)</f>
        <v>0</v>
      </c>
    </row>
    <row r="138" spans="1:36" hidden="1" x14ac:dyDescent="0.2">
      <c r="A138" s="39"/>
      <c r="B138" s="40"/>
      <c r="C138" s="15" t="s">
        <v>2</v>
      </c>
      <c r="D138" s="4"/>
      <c r="E138" s="4"/>
      <c r="F138" s="4"/>
      <c r="G138" s="4"/>
      <c r="H138" s="4"/>
      <c r="I138" s="4"/>
      <c r="J138" s="4"/>
      <c r="K138" s="17"/>
      <c r="L138" s="6"/>
      <c r="M138" s="21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D138" s="6">
        <f>IF((D136&lt;&gt;"")*(D140=""),IF((D136&lt;=$B$442)*((D137&gt;=$C$442)+(D137&lt;2/24)),1,0),0)</f>
        <v>0</v>
      </c>
      <c r="AE138" s="6">
        <f>IF((E136&lt;&gt;"")*(E140=""),IF((E136&lt;=$B$442)*((E137&gt;=$C$442)+(E137&lt;2/24)),1,0),0)</f>
        <v>0</v>
      </c>
      <c r="AF138" s="6">
        <f>IF((F136&lt;&gt;"")*(F140=""),IF((F136&lt;=$B$442)*((F137&gt;=$C$442)+(F137&lt;2/24)),1,0),0)</f>
        <v>0</v>
      </c>
      <c r="AG138" s="6">
        <f>IF((G136&lt;&gt;"")*(G140=""),IF((G136&lt;=$B$442)*((G137&gt;=$C$442)+(G137&lt;2/24)),1,0),0)</f>
        <v>0</v>
      </c>
      <c r="AH138" s="6">
        <f>IF((H136&lt;&gt;"")*(H140=""),IF((H136&lt;=$B$442)*((H137&gt;=$C$442)+(H137&lt;2/24)),1,0),0)</f>
        <v>0</v>
      </c>
      <c r="AI138" s="6">
        <f>IF((I136&lt;&gt;"")*(I140=""),IF((I136&lt;=$B$442)*((I137&gt;=$C$442)+(I137&lt;2/24)),1,0),0)</f>
        <v>0</v>
      </c>
      <c r="AJ138" s="6">
        <f>IF((J136&lt;&gt;"")*(J140=""),IF((J136&lt;=$B$442)*((J137&gt;=$C$442)+(J137&lt;2/24)),1,0),0)</f>
        <v>0</v>
      </c>
    </row>
    <row r="139" spans="1:36" hidden="1" x14ac:dyDescent="0.2">
      <c r="A139" s="39"/>
      <c r="B139" s="40"/>
      <c r="C139" s="15" t="s">
        <v>3</v>
      </c>
      <c r="D139" s="43"/>
      <c r="E139" s="43"/>
      <c r="F139" s="43"/>
      <c r="G139" s="43"/>
      <c r="H139" s="43"/>
      <c r="I139" s="43"/>
      <c r="J139" s="44"/>
      <c r="K139" s="18">
        <f>SUMIF(D140:J140,"",D139:J139)</f>
        <v>0</v>
      </c>
      <c r="L139" s="12">
        <f>SUM(D139:J139)</f>
        <v>0</v>
      </c>
      <c r="M139" s="24"/>
      <c r="N139" s="10">
        <f t="shared" ref="N139:T139" si="44">IF(D140="",D139,0)</f>
        <v>0</v>
      </c>
      <c r="O139" s="10">
        <f t="shared" si="44"/>
        <v>0</v>
      </c>
      <c r="P139" s="10">
        <f t="shared" si="44"/>
        <v>0</v>
      </c>
      <c r="Q139" s="10">
        <f t="shared" si="44"/>
        <v>0</v>
      </c>
      <c r="R139" s="10">
        <f t="shared" si="44"/>
        <v>0</v>
      </c>
      <c r="S139" s="10">
        <f t="shared" si="44"/>
        <v>0</v>
      </c>
      <c r="T139" s="10">
        <f t="shared" si="44"/>
        <v>0</v>
      </c>
      <c r="U139" s="10"/>
      <c r="V139" s="10">
        <f t="shared" ref="V139:AB139" si="45">D139</f>
        <v>0</v>
      </c>
      <c r="W139" s="10">
        <f t="shared" si="45"/>
        <v>0</v>
      </c>
      <c r="X139" s="10">
        <f t="shared" si="45"/>
        <v>0</v>
      </c>
      <c r="Y139" s="10">
        <f t="shared" si="45"/>
        <v>0</v>
      </c>
      <c r="Z139" s="10">
        <f t="shared" si="45"/>
        <v>0</v>
      </c>
      <c r="AA139" s="10">
        <f t="shared" si="45"/>
        <v>0</v>
      </c>
      <c r="AB139" s="10">
        <f t="shared" si="45"/>
        <v>0</v>
      </c>
      <c r="AD139" s="6">
        <f>IF((D136&lt;&gt;"")*(D140=""),IF((D136&lt;=$B$443)*((D137&gt;=$C$443)+(D137&lt;2/24)),1,0),0)</f>
        <v>0</v>
      </c>
      <c r="AE139" s="6">
        <f>IF((E136&lt;&gt;"")*(E140=""),IF((E136&lt;=$B$443)*((E137&gt;=$C$443)+(E137&lt;2/24)),1,0),0)</f>
        <v>0</v>
      </c>
      <c r="AF139" s="6">
        <f>IF((F136&lt;&gt;"")*(F140=""),IF((F136&lt;=$B$443)*((F137&gt;=$C$443)+(F137&lt;2/24)),1,0),0)</f>
        <v>0</v>
      </c>
      <c r="AG139" s="6">
        <f>IF((G136&lt;&gt;"")*(G140=""),IF((G136&lt;=$B$443)*((G137&gt;=$C$443)+(G137&lt;2/24)),1,0),0)</f>
        <v>0</v>
      </c>
      <c r="AH139" s="6">
        <f>IF((H136&lt;&gt;"")*(H140=""),IF((H136&lt;=$B$443)*((H137&gt;=$C$443)+(H137&lt;2/24)),1,0),0)</f>
        <v>0</v>
      </c>
      <c r="AI139" s="6">
        <f>IF((I136&lt;&gt;"")*(I140=""),IF((I136&lt;=$B$443)*((I137&gt;=$C$443)+(I137&lt;2/24)),1,0),0)</f>
        <v>0</v>
      </c>
      <c r="AJ139" s="6">
        <f>IF((J136&lt;&gt;"")*(J140=""),IF((J136&lt;=$B$443)*((J137&gt;=$C$443)+(J137&lt;2/24)),1,0),0)</f>
        <v>0</v>
      </c>
    </row>
    <row r="140" spans="1:36" hidden="1" x14ac:dyDescent="0.2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  <c r="N140" s="6"/>
      <c r="O140" s="6"/>
      <c r="P140" s="6"/>
      <c r="Q140" s="6"/>
      <c r="R140" s="6"/>
      <c r="S140" s="6"/>
      <c r="T140" s="6"/>
      <c r="U140" s="6"/>
      <c r="V140" s="20"/>
      <c r="W140" s="20"/>
      <c r="X140" s="20"/>
      <c r="Y140" s="20"/>
      <c r="Z140" s="20"/>
      <c r="AA140" s="20"/>
      <c r="AB140" s="20"/>
      <c r="AD140" s="6">
        <f>IF((D136&lt;&gt;"")*(D140=""),IF((D136&lt;=$B$444)*((D137&gt;=$C$444)+(D137&lt;2/24)),1,0),0)</f>
        <v>0</v>
      </c>
      <c r="AE140" s="6">
        <f>IF((E136&lt;&gt;"")*(E140=""),IF((E136&lt;=$B$444)*((E137&gt;=$C$444)+(E137&lt;2/24)),1,0),0)</f>
        <v>0</v>
      </c>
      <c r="AF140" s="6">
        <f>IF((F136&lt;&gt;"")*(F140=""),IF((F136&lt;=$B$444)*((F137&gt;=$C$444)+(F137&lt;2/24)),1,0),0)</f>
        <v>0</v>
      </c>
      <c r="AG140" s="6">
        <f>IF((G136&lt;&gt;"")*(G140=""),IF((G136&lt;=$B$444)*((G137&gt;=$C$444)+(G137&lt;2/24)),1,0),0)</f>
        <v>0</v>
      </c>
      <c r="AH140" s="6">
        <f>IF((H136&lt;&gt;"")*(H140=""),IF((H136&lt;=$B$444)*((H137&gt;=$C$444)+(H137&lt;2/24)),1,0),0)</f>
        <v>0</v>
      </c>
      <c r="AI140" s="6">
        <f>IF((I136&lt;&gt;"")*(I140=""),IF((I136&lt;=$B$444)*((I137&gt;=$C$444)+(I137&lt;2/24)),1,0),0)</f>
        <v>0</v>
      </c>
      <c r="AJ140" s="6">
        <f>IF((J136&lt;&gt;"")*(J140=""),IF((J136&lt;=$B$444)*((J137&gt;=$C$444)+(J137&lt;2/24)),1,0),0)</f>
        <v>0</v>
      </c>
    </row>
    <row r="141" spans="1:36" ht="13.5" hidden="1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  <c r="N141" s="6"/>
      <c r="O141" s="6"/>
      <c r="P141" s="6"/>
      <c r="Q141" s="6"/>
      <c r="R141" s="6"/>
      <c r="S141" s="6"/>
      <c r="T141" s="6"/>
      <c r="U141" s="6"/>
      <c r="V141" s="20"/>
      <c r="W141" s="20"/>
      <c r="X141" s="20"/>
      <c r="Y141" s="20"/>
      <c r="Z141" s="20"/>
      <c r="AA141" s="20"/>
      <c r="AB141" s="20"/>
      <c r="AD141" s="6"/>
      <c r="AE141" s="6"/>
      <c r="AF141" s="6"/>
      <c r="AG141" s="6"/>
      <c r="AH141" s="6"/>
      <c r="AI141" s="6"/>
      <c r="AJ141" s="6"/>
    </row>
    <row r="142" spans="1:36" hidden="1" x14ac:dyDescent="0.2">
      <c r="A142" s="37" t="s">
        <v>29</v>
      </c>
      <c r="B142" s="38" t="s">
        <v>30</v>
      </c>
      <c r="C142" s="14" t="s">
        <v>0</v>
      </c>
      <c r="D142" s="26"/>
      <c r="E142" s="26"/>
      <c r="F142" s="26"/>
      <c r="G142" s="26"/>
      <c r="H142" s="26"/>
      <c r="I142" s="26"/>
      <c r="J142" s="26"/>
      <c r="K142" s="16"/>
      <c r="L142" s="6"/>
      <c r="M142" s="21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D142" s="6">
        <f>IF((D142&lt;&gt;"")*(D146=""),IF((D142&lt;=$B$440)*((D143&gt;=$C$440)+(D143&lt;2/24)),1,0),0)</f>
        <v>0</v>
      </c>
      <c r="AE142" s="6">
        <f>IF((E142&lt;&gt;"")*(E146=""),IF((E142&lt;=$B$440)*((E143&gt;=$C$440)+(E143&lt;2/24)),1,0),0)</f>
        <v>0</v>
      </c>
      <c r="AF142" s="6">
        <f>IF((F142&lt;&gt;"")*(F146=""),IF((F142&lt;=$B$440)*((F143&gt;=$C$440)+(F143&lt;2/24)),1,0),0)</f>
        <v>0</v>
      </c>
      <c r="AG142" s="6">
        <f>IF((G142&lt;&gt;"")*(G146=""),IF((G142&lt;=$B$440)*((G143&gt;=$C$440)+(G143&lt;2/24)),1,0),0)</f>
        <v>0</v>
      </c>
      <c r="AH142" s="6">
        <f>IF((H142&lt;&gt;"")*(H146=""),IF((H142&lt;=$B$440)*((H143&gt;=$C$440)+(H143&lt;2/24)),1,0),0)</f>
        <v>0</v>
      </c>
      <c r="AI142" s="6">
        <f>IF((I142&lt;&gt;"")*(I146=""),IF((I142&lt;=$B$440)*((I143&gt;=$C$440)+(I143&lt;2/24)),1,0),0)</f>
        <v>0</v>
      </c>
      <c r="AJ142" s="6">
        <f>IF((J142&lt;&gt;"")*(J146=""),IF((J142&lt;=$B$440)*((J143&gt;=$C$440)+(J143&lt;2/24)),1,0),0)</f>
        <v>0</v>
      </c>
    </row>
    <row r="143" spans="1:36" hidden="1" x14ac:dyDescent="0.2">
      <c r="A143" s="39"/>
      <c r="B143" s="40"/>
      <c r="C143" s="15" t="s">
        <v>1</v>
      </c>
      <c r="D143" s="27"/>
      <c r="E143" s="27"/>
      <c r="F143" s="27"/>
      <c r="G143" s="27"/>
      <c r="H143" s="27"/>
      <c r="I143" s="27"/>
      <c r="J143" s="27"/>
      <c r="K143" s="17"/>
      <c r="L143" s="6"/>
      <c r="M143" s="21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D143" s="6">
        <f>IF((D142&lt;&gt;"")*(D146=""),IF((D142&lt;=$B$441)*((D143&gt;=$C$441)+(D143&lt;2/24)),1,0),0)</f>
        <v>0</v>
      </c>
      <c r="AE143" s="6">
        <f>IF((E142&lt;&gt;"")*(E146=""),IF((E142&lt;=$B$441)*((E143&gt;=$C$441)+(E143&lt;2/24)),1,0),0)</f>
        <v>0</v>
      </c>
      <c r="AF143" s="6">
        <f>IF((F142&lt;&gt;"")*(F146=""),IF((F142&lt;=$B$441)*((F143&gt;=$C$441)+(F143&lt;2/24)),1,0),0)</f>
        <v>0</v>
      </c>
      <c r="AG143" s="6">
        <f>IF((G142&lt;&gt;"")*(G146=""),IF((G142&lt;=$B$441)*((G143&gt;=$C$441)+(G143&lt;2/24)),1,0),0)</f>
        <v>0</v>
      </c>
      <c r="AH143" s="6">
        <f>IF((H142&lt;&gt;"")*(H146=""),IF((H142&lt;=$B$441)*((H143&gt;=$C$441)+(H143&lt;2/24)),1,0),0)</f>
        <v>0</v>
      </c>
      <c r="AI143" s="6">
        <f>IF((I142&lt;&gt;"")*(I146=""),IF((I142&lt;=$B$441)*((I143&gt;=$C$441)+(I143&lt;2/24)),1,0),0)</f>
        <v>0</v>
      </c>
      <c r="AJ143" s="6">
        <f>IF((J142&lt;&gt;"")*(J146=""),IF((J142&lt;=$B$441)*((J143&gt;=$C$441)+(J143&lt;2/24)),1,0),0)</f>
        <v>0</v>
      </c>
    </row>
    <row r="144" spans="1:36" hidden="1" x14ac:dyDescent="0.2">
      <c r="A144" s="39"/>
      <c r="B144" s="40"/>
      <c r="C144" s="15" t="s">
        <v>2</v>
      </c>
      <c r="D144" s="4"/>
      <c r="E144" s="4"/>
      <c r="F144" s="4"/>
      <c r="G144" s="4"/>
      <c r="H144" s="4"/>
      <c r="I144" s="4"/>
      <c r="J144" s="4"/>
      <c r="K144" s="17"/>
      <c r="L144" s="6"/>
      <c r="M144" s="21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D144" s="6">
        <f>IF((D142&lt;&gt;"")*(D146=""),IF((D142&lt;=$B$442)*((D143&gt;=$C$442)+(D143&lt;2/24)),1,0),0)</f>
        <v>0</v>
      </c>
      <c r="AE144" s="6">
        <f>IF((E142&lt;&gt;"")*(E146=""),IF((E142&lt;=$B$442)*((E143&gt;=$C$442)+(E143&lt;2/24)),1,0),0)</f>
        <v>0</v>
      </c>
      <c r="AF144" s="6">
        <f>IF((F142&lt;&gt;"")*(F146=""),IF((F142&lt;=$B$442)*((F143&gt;=$C$442)+(F143&lt;2/24)),1,0),0)</f>
        <v>0</v>
      </c>
      <c r="AG144" s="6">
        <f>IF((G142&lt;&gt;"")*(G146=""),IF((G142&lt;=$B$442)*((G143&gt;=$C$442)+(G143&lt;2/24)),1,0),0)</f>
        <v>0</v>
      </c>
      <c r="AH144" s="6">
        <f>IF((H142&lt;&gt;"")*(H146=""),IF((H142&lt;=$B$442)*((H143&gt;=$C$442)+(H143&lt;2/24)),1,0),0)</f>
        <v>0</v>
      </c>
      <c r="AI144" s="6">
        <f>IF((I142&lt;&gt;"")*(I146=""),IF((I142&lt;=$B$442)*((I143&gt;=$C$442)+(I143&lt;2/24)),1,0),0)</f>
        <v>0</v>
      </c>
      <c r="AJ144" s="6">
        <f>IF((J142&lt;&gt;"")*(J146=""),IF((J142&lt;=$B$442)*((J143&gt;=$C$442)+(J143&lt;2/24)),1,0),0)</f>
        <v>0</v>
      </c>
    </row>
    <row r="145" spans="1:36" hidden="1" x14ac:dyDescent="0.2">
      <c r="A145" s="39"/>
      <c r="B145" s="40"/>
      <c r="C145" s="15" t="s">
        <v>3</v>
      </c>
      <c r="D145" s="43"/>
      <c r="E145" s="43"/>
      <c r="F145" s="43"/>
      <c r="G145" s="43"/>
      <c r="H145" s="43"/>
      <c r="I145" s="43"/>
      <c r="J145" s="44"/>
      <c r="K145" s="18">
        <f>SUMIF(D146:J146,"",D145:J145)</f>
        <v>0</v>
      </c>
      <c r="L145" s="12">
        <f>SUM(D145:J145)</f>
        <v>0</v>
      </c>
      <c r="M145" s="24"/>
      <c r="N145" s="10">
        <f t="shared" ref="N145:T145" si="46">IF(D146="",D145,0)</f>
        <v>0</v>
      </c>
      <c r="O145" s="10">
        <f t="shared" si="46"/>
        <v>0</v>
      </c>
      <c r="P145" s="10">
        <f t="shared" si="46"/>
        <v>0</v>
      </c>
      <c r="Q145" s="10">
        <f t="shared" si="46"/>
        <v>0</v>
      </c>
      <c r="R145" s="10">
        <f t="shared" si="46"/>
        <v>0</v>
      </c>
      <c r="S145" s="10">
        <f t="shared" si="46"/>
        <v>0</v>
      </c>
      <c r="T145" s="10">
        <f t="shared" si="46"/>
        <v>0</v>
      </c>
      <c r="U145" s="10"/>
      <c r="V145" s="10">
        <f t="shared" ref="V145:AB145" si="47">D145</f>
        <v>0</v>
      </c>
      <c r="W145" s="10">
        <f t="shared" si="47"/>
        <v>0</v>
      </c>
      <c r="X145" s="10">
        <f t="shared" si="47"/>
        <v>0</v>
      </c>
      <c r="Y145" s="10">
        <f t="shared" si="47"/>
        <v>0</v>
      </c>
      <c r="Z145" s="10">
        <f t="shared" si="47"/>
        <v>0</v>
      </c>
      <c r="AA145" s="10">
        <f t="shared" si="47"/>
        <v>0</v>
      </c>
      <c r="AB145" s="10">
        <f t="shared" si="47"/>
        <v>0</v>
      </c>
      <c r="AD145" s="6">
        <f>IF((D142&lt;&gt;"")*(D146=""),IF((D142&lt;=$B$443)*((D143&gt;=$C$443)+(D143&lt;2/24)),1,0),0)</f>
        <v>0</v>
      </c>
      <c r="AE145" s="6">
        <f>IF((E142&lt;&gt;"")*(E146=""),IF((E142&lt;=$B$443)*((E143&gt;=$C$443)+(E143&lt;2/24)),1,0),0)</f>
        <v>0</v>
      </c>
      <c r="AF145" s="6">
        <f>IF((F142&lt;&gt;"")*(F146=""),IF((F142&lt;=$B$443)*((F143&gt;=$C$443)+(F143&lt;2/24)),1,0),0)</f>
        <v>0</v>
      </c>
      <c r="AG145" s="6">
        <f>IF((G142&lt;&gt;"")*(G146=""),IF((G142&lt;=$B$443)*((G143&gt;=$C$443)+(G143&lt;2/24)),1,0),0)</f>
        <v>0</v>
      </c>
      <c r="AH145" s="6">
        <f>IF((H142&lt;&gt;"")*(H146=""),IF((H142&lt;=$B$443)*((H143&gt;=$C$443)+(H143&lt;2/24)),1,0),0)</f>
        <v>0</v>
      </c>
      <c r="AI145" s="6">
        <f>IF((I142&lt;&gt;"")*(I146=""),IF((I142&lt;=$B$443)*((I143&gt;=$C$443)+(I143&lt;2/24)),1,0),0)</f>
        <v>0</v>
      </c>
      <c r="AJ145" s="6">
        <f>IF((J142&lt;&gt;"")*(J146=""),IF((J142&lt;=$B$443)*((J143&gt;=$C$443)+(J143&lt;2/24)),1,0),0)</f>
        <v>0</v>
      </c>
    </row>
    <row r="146" spans="1:36" hidden="1" x14ac:dyDescent="0.2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  <c r="N146" s="6"/>
      <c r="O146" s="6"/>
      <c r="P146" s="6"/>
      <c r="Q146" s="6"/>
      <c r="R146" s="6"/>
      <c r="S146" s="6"/>
      <c r="T146" s="6"/>
      <c r="U146" s="6"/>
      <c r="V146" s="20"/>
      <c r="W146" s="20"/>
      <c r="X146" s="20"/>
      <c r="Y146" s="20"/>
      <c r="Z146" s="20"/>
      <c r="AA146" s="20"/>
      <c r="AB146" s="20"/>
      <c r="AD146" s="6">
        <f>IF((D142&lt;&gt;"")*(D146=""),IF((D142&lt;=$B$444)*((D143&gt;=$C$444)+(D143&lt;2/24)),1,0),0)</f>
        <v>0</v>
      </c>
      <c r="AE146" s="6">
        <f>IF((E142&lt;&gt;"")*(E146=""),IF((E142&lt;=$B$444)*((E143&gt;=$C$444)+(E143&lt;2/24)),1,0),0)</f>
        <v>0</v>
      </c>
      <c r="AF146" s="6">
        <f>IF((F142&lt;&gt;"")*(F146=""),IF((F142&lt;=$B$444)*((F143&gt;=$C$444)+(F143&lt;2/24)),1,0),0)</f>
        <v>0</v>
      </c>
      <c r="AG146" s="6">
        <f>IF((G142&lt;&gt;"")*(G146=""),IF((G142&lt;=$B$444)*((G143&gt;=$C$444)+(G143&lt;2/24)),1,0),0)</f>
        <v>0</v>
      </c>
      <c r="AH146" s="6">
        <f>IF((H142&lt;&gt;"")*(H146=""),IF((H142&lt;=$B$444)*((H143&gt;=$C$444)+(H143&lt;2/24)),1,0),0)</f>
        <v>0</v>
      </c>
      <c r="AI146" s="6">
        <f>IF((I142&lt;&gt;"")*(I146=""),IF((I142&lt;=$B$444)*((I143&gt;=$C$444)+(I143&lt;2/24)),1,0),0)</f>
        <v>0</v>
      </c>
      <c r="AJ146" s="6">
        <f>IF((J142&lt;&gt;"")*(J146=""),IF((J142&lt;=$B$444)*((J143&gt;=$C$444)+(J143&lt;2/24)),1,0),0)</f>
        <v>0</v>
      </c>
    </row>
    <row r="147" spans="1:36" ht="13.5" hidden="1" thickBot="1" x14ac:dyDescent="0.25">
      <c r="A147" s="41"/>
      <c r="B147" s="42"/>
      <c r="C147" s="35" t="s">
        <v>28</v>
      </c>
      <c r="D147" s="36"/>
      <c r="E147" s="36"/>
      <c r="F147" s="36"/>
      <c r="G147" s="36"/>
      <c r="H147" s="36"/>
      <c r="I147" s="36"/>
      <c r="J147" s="36"/>
      <c r="K147" s="34"/>
      <c r="L147" s="6"/>
      <c r="M147" s="25"/>
      <c r="N147" s="6"/>
      <c r="O147" s="6"/>
      <c r="P147" s="6"/>
      <c r="Q147" s="6"/>
      <c r="R147" s="6"/>
      <c r="S147" s="6"/>
      <c r="T147" s="6"/>
      <c r="U147" s="6"/>
      <c r="V147" s="20"/>
      <c r="W147" s="20"/>
      <c r="X147" s="20"/>
      <c r="Y147" s="20"/>
      <c r="Z147" s="20"/>
      <c r="AA147" s="20"/>
      <c r="AB147" s="20"/>
      <c r="AD147" s="6"/>
      <c r="AE147" s="6"/>
      <c r="AF147" s="6"/>
      <c r="AG147" s="6"/>
      <c r="AH147" s="6"/>
      <c r="AI147" s="6"/>
      <c r="AJ147" s="6"/>
    </row>
    <row r="148" spans="1:36" hidden="1" x14ac:dyDescent="0.2">
      <c r="A148" s="37" t="s">
        <v>29</v>
      </c>
      <c r="B148" s="38" t="s">
        <v>30</v>
      </c>
      <c r="C148" s="14" t="s">
        <v>0</v>
      </c>
      <c r="D148" s="26"/>
      <c r="E148" s="26"/>
      <c r="F148" s="26"/>
      <c r="G148" s="26"/>
      <c r="H148" s="26"/>
      <c r="I148" s="26"/>
      <c r="J148" s="26"/>
      <c r="K148" s="16"/>
      <c r="L148" s="6"/>
      <c r="M148" s="21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D148" s="6">
        <f>IF((D148&lt;&gt;"")*(D152=""),IF((D148&lt;=$B$440)*((D149&gt;=$C$440)+(D149&lt;2/24)),1,0),0)</f>
        <v>0</v>
      </c>
      <c r="AE148" s="6">
        <f>IF((E148&lt;&gt;"")*(E152=""),IF((E148&lt;=$B$440)*((E149&gt;=$C$440)+(E149&lt;2/24)),1,0),0)</f>
        <v>0</v>
      </c>
      <c r="AF148" s="6">
        <f>IF((F148&lt;&gt;"")*(F152=""),IF((F148&lt;=$B$440)*((F149&gt;=$C$440)+(F149&lt;2/24)),1,0),0)</f>
        <v>0</v>
      </c>
      <c r="AG148" s="6">
        <f>IF((G148&lt;&gt;"")*(G152=""),IF((G148&lt;=$B$440)*((G149&gt;=$C$440)+(G149&lt;2/24)),1,0),0)</f>
        <v>0</v>
      </c>
      <c r="AH148" s="6">
        <f>IF((H148&lt;&gt;"")*(H152=""),IF((H148&lt;=$B$440)*((H149&gt;=$C$440)+(H149&lt;2/24)),1,0),0)</f>
        <v>0</v>
      </c>
      <c r="AI148" s="6">
        <f>IF((I148&lt;&gt;"")*(I152=""),IF((I148&lt;=$B$440)*((I149&gt;=$C$440)+(I149&lt;2/24)),1,0),0)</f>
        <v>0</v>
      </c>
      <c r="AJ148" s="6">
        <f>IF((J148&lt;&gt;"")*(J152=""),IF((J148&lt;=$B$440)*((J149&gt;=$C$440)+(J149&lt;2/24)),1,0),0)</f>
        <v>0</v>
      </c>
    </row>
    <row r="149" spans="1:36" hidden="1" x14ac:dyDescent="0.2">
      <c r="A149" s="39"/>
      <c r="B149" s="40"/>
      <c r="C149" s="15" t="s">
        <v>1</v>
      </c>
      <c r="D149" s="27"/>
      <c r="E149" s="27"/>
      <c r="F149" s="27"/>
      <c r="G149" s="27"/>
      <c r="H149" s="27"/>
      <c r="I149" s="27"/>
      <c r="J149" s="27"/>
      <c r="K149" s="17"/>
      <c r="L149" s="6"/>
      <c r="M149" s="21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D149" s="6">
        <f>IF((D148&lt;&gt;"")*(D152=""),IF((D148&lt;=$B$441)*((D149&gt;=$C$441)+(D149&lt;2/24)),1,0),0)</f>
        <v>0</v>
      </c>
      <c r="AE149" s="6">
        <f>IF((E148&lt;&gt;"")*(E152=""),IF((E148&lt;=$B$441)*((E149&gt;=$C$441)+(E149&lt;2/24)),1,0),0)</f>
        <v>0</v>
      </c>
      <c r="AF149" s="6">
        <f>IF((F148&lt;&gt;"")*(F152=""),IF((F148&lt;=$B$441)*((F149&gt;=$C$441)+(F149&lt;2/24)),1,0),0)</f>
        <v>0</v>
      </c>
      <c r="AG149" s="6">
        <f>IF((G148&lt;&gt;"")*(G152=""),IF((G148&lt;=$B$441)*((G149&gt;=$C$441)+(G149&lt;2/24)),1,0),0)</f>
        <v>0</v>
      </c>
      <c r="AH149" s="6">
        <f>IF((H148&lt;&gt;"")*(H152=""),IF((H148&lt;=$B$441)*((H149&gt;=$C$441)+(H149&lt;2/24)),1,0),0)</f>
        <v>0</v>
      </c>
      <c r="AI149" s="6">
        <f>IF((I148&lt;&gt;"")*(I152=""),IF((I148&lt;=$B$441)*((I149&gt;=$C$441)+(I149&lt;2/24)),1,0),0)</f>
        <v>0</v>
      </c>
      <c r="AJ149" s="6">
        <f>IF((J148&lt;&gt;"")*(J152=""),IF((J148&lt;=$B$441)*((J149&gt;=$C$441)+(J149&lt;2/24)),1,0),0)</f>
        <v>0</v>
      </c>
    </row>
    <row r="150" spans="1:36" hidden="1" x14ac:dyDescent="0.2">
      <c r="A150" s="39"/>
      <c r="B150" s="40"/>
      <c r="C150" s="15" t="s">
        <v>2</v>
      </c>
      <c r="D150" s="4"/>
      <c r="E150" s="4"/>
      <c r="F150" s="4"/>
      <c r="G150" s="4"/>
      <c r="H150" s="4"/>
      <c r="I150" s="4"/>
      <c r="J150" s="4"/>
      <c r="K150" s="17"/>
      <c r="L150" s="6"/>
      <c r="M150" s="21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D150" s="6">
        <f>IF((D148&lt;&gt;"")*(D152=""),IF((D148&lt;=$B$442)*((D149&gt;=$C$442)+(D149&lt;2/24)),1,0),0)</f>
        <v>0</v>
      </c>
      <c r="AE150" s="6">
        <f>IF((E148&lt;&gt;"")*(E152=""),IF((E148&lt;=$B$442)*((E149&gt;=$C$442)+(E149&lt;2/24)),1,0),0)</f>
        <v>0</v>
      </c>
      <c r="AF150" s="6">
        <f>IF((F148&lt;&gt;"")*(F152=""),IF((F148&lt;=$B$442)*((F149&gt;=$C$442)+(F149&lt;2/24)),1,0),0)</f>
        <v>0</v>
      </c>
      <c r="AG150" s="6">
        <f>IF((G148&lt;&gt;"")*(G152=""),IF((G148&lt;=$B$442)*((G149&gt;=$C$442)+(G149&lt;2/24)),1,0),0)</f>
        <v>0</v>
      </c>
      <c r="AH150" s="6">
        <f>IF((H148&lt;&gt;"")*(H152=""),IF((H148&lt;=$B$442)*((H149&gt;=$C$442)+(H149&lt;2/24)),1,0),0)</f>
        <v>0</v>
      </c>
      <c r="AI150" s="6">
        <f>IF((I148&lt;&gt;"")*(I152=""),IF((I148&lt;=$B$442)*((I149&gt;=$C$442)+(I149&lt;2/24)),1,0),0)</f>
        <v>0</v>
      </c>
      <c r="AJ150" s="6">
        <f>IF((J148&lt;&gt;"")*(J152=""),IF((J148&lt;=$B$442)*((J149&gt;=$C$442)+(J149&lt;2/24)),1,0),0)</f>
        <v>0</v>
      </c>
    </row>
    <row r="151" spans="1:36" hidden="1" x14ac:dyDescent="0.2">
      <c r="A151" s="39"/>
      <c r="B151" s="40"/>
      <c r="C151" s="15" t="s">
        <v>3</v>
      </c>
      <c r="D151" s="43"/>
      <c r="E151" s="43"/>
      <c r="F151" s="43"/>
      <c r="G151" s="43"/>
      <c r="H151" s="43"/>
      <c r="I151" s="43"/>
      <c r="J151" s="44"/>
      <c r="K151" s="18">
        <f>SUMIF(D152:J152,"",D151:J151)</f>
        <v>0</v>
      </c>
      <c r="L151" s="12">
        <f>SUM(D151:J151)</f>
        <v>0</v>
      </c>
      <c r="M151" s="24"/>
      <c r="N151" s="10">
        <f t="shared" ref="N151:T151" si="48">IF(D152="",D151,0)</f>
        <v>0</v>
      </c>
      <c r="O151" s="10">
        <f t="shared" si="48"/>
        <v>0</v>
      </c>
      <c r="P151" s="10">
        <f t="shared" si="48"/>
        <v>0</v>
      </c>
      <c r="Q151" s="10">
        <f t="shared" si="48"/>
        <v>0</v>
      </c>
      <c r="R151" s="10">
        <f t="shared" si="48"/>
        <v>0</v>
      </c>
      <c r="S151" s="10">
        <f t="shared" si="48"/>
        <v>0</v>
      </c>
      <c r="T151" s="10">
        <f t="shared" si="48"/>
        <v>0</v>
      </c>
      <c r="U151" s="10"/>
      <c r="V151" s="10">
        <f t="shared" ref="V151:AB151" si="49">D151</f>
        <v>0</v>
      </c>
      <c r="W151" s="10">
        <f t="shared" si="49"/>
        <v>0</v>
      </c>
      <c r="X151" s="10">
        <f t="shared" si="49"/>
        <v>0</v>
      </c>
      <c r="Y151" s="10">
        <f t="shared" si="49"/>
        <v>0</v>
      </c>
      <c r="Z151" s="10">
        <f t="shared" si="49"/>
        <v>0</v>
      </c>
      <c r="AA151" s="10">
        <f t="shared" si="49"/>
        <v>0</v>
      </c>
      <c r="AB151" s="10">
        <f t="shared" si="49"/>
        <v>0</v>
      </c>
      <c r="AD151" s="6">
        <f>IF((D148&lt;&gt;"")*(D152=""),IF((D148&lt;=$B$443)*((D149&gt;=$C$443)+(D149&lt;2/24)),1,0),0)</f>
        <v>0</v>
      </c>
      <c r="AE151" s="6">
        <f>IF((E148&lt;&gt;"")*(E152=""),IF((E148&lt;=$B$443)*((E149&gt;=$C$443)+(E149&lt;2/24)),1,0),0)</f>
        <v>0</v>
      </c>
      <c r="AF151" s="6">
        <f>IF((F148&lt;&gt;"")*(F152=""),IF((F148&lt;=$B$443)*((F149&gt;=$C$443)+(F149&lt;2/24)),1,0),0)</f>
        <v>0</v>
      </c>
      <c r="AG151" s="6">
        <f>IF((G148&lt;&gt;"")*(G152=""),IF((G148&lt;=$B$443)*((G149&gt;=$C$443)+(G149&lt;2/24)),1,0),0)</f>
        <v>0</v>
      </c>
      <c r="AH151" s="6">
        <f>IF((H148&lt;&gt;"")*(H152=""),IF((H148&lt;=$B$443)*((H149&gt;=$C$443)+(H149&lt;2/24)),1,0),0)</f>
        <v>0</v>
      </c>
      <c r="AI151" s="6">
        <f>IF((I148&lt;&gt;"")*(I152=""),IF((I148&lt;=$B$443)*((I149&gt;=$C$443)+(I149&lt;2/24)),1,0),0)</f>
        <v>0</v>
      </c>
      <c r="AJ151" s="6">
        <f>IF((J148&lt;&gt;"")*(J152=""),IF((J148&lt;=$B$443)*((J149&gt;=$C$443)+(J149&lt;2/24)),1,0),0)</f>
        <v>0</v>
      </c>
    </row>
    <row r="152" spans="1:36" hidden="1" x14ac:dyDescent="0.2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  <c r="N152" s="6"/>
      <c r="O152" s="6"/>
      <c r="P152" s="6"/>
      <c r="Q152" s="6"/>
      <c r="R152" s="6"/>
      <c r="S152" s="6"/>
      <c r="T152" s="6"/>
      <c r="U152" s="6"/>
      <c r="V152" s="20"/>
      <c r="W152" s="20"/>
      <c r="X152" s="20"/>
      <c r="Y152" s="20"/>
      <c r="Z152" s="20"/>
      <c r="AA152" s="20"/>
      <c r="AB152" s="20"/>
      <c r="AD152" s="6">
        <f>IF((D148&lt;&gt;"")*(D152=""),IF((D148&lt;=$B$444)*((D149&gt;=$C$444)+(D149&lt;2/24)),1,0),0)</f>
        <v>0</v>
      </c>
      <c r="AE152" s="6">
        <f>IF((E148&lt;&gt;"")*(E152=""),IF((E148&lt;=$B$444)*((E149&gt;=$C$444)+(E149&lt;2/24)),1,0),0)</f>
        <v>0</v>
      </c>
      <c r="AF152" s="6">
        <f>IF((F148&lt;&gt;"")*(F152=""),IF((F148&lt;=$B$444)*((F149&gt;=$C$444)+(F149&lt;2/24)),1,0),0)</f>
        <v>0</v>
      </c>
      <c r="AG152" s="6">
        <f>IF((G148&lt;&gt;"")*(G152=""),IF((G148&lt;=$B$444)*((G149&gt;=$C$444)+(G149&lt;2/24)),1,0),0)</f>
        <v>0</v>
      </c>
      <c r="AH152" s="6">
        <f>IF((H148&lt;&gt;"")*(H152=""),IF((H148&lt;=$B$444)*((H149&gt;=$C$444)+(H149&lt;2/24)),1,0),0)</f>
        <v>0</v>
      </c>
      <c r="AI152" s="6">
        <f>IF((I148&lt;&gt;"")*(I152=""),IF((I148&lt;=$B$444)*((I149&gt;=$C$444)+(I149&lt;2/24)),1,0),0)</f>
        <v>0</v>
      </c>
      <c r="AJ152" s="6">
        <f>IF((J148&lt;&gt;"")*(J152=""),IF((J148&lt;=$B$444)*((J149&gt;=$C$444)+(J149&lt;2/24)),1,0),0)</f>
        <v>0</v>
      </c>
    </row>
    <row r="153" spans="1:36" ht="13.5" hidden="1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  <c r="N153" s="6"/>
      <c r="O153" s="6"/>
      <c r="P153" s="6"/>
      <c r="Q153" s="6"/>
      <c r="R153" s="6"/>
      <c r="S153" s="6"/>
      <c r="T153" s="6"/>
      <c r="U153" s="6"/>
      <c r="V153" s="20"/>
      <c r="W153" s="20"/>
      <c r="X153" s="20"/>
      <c r="Y153" s="20"/>
      <c r="Z153" s="20"/>
      <c r="AA153" s="20"/>
      <c r="AB153" s="20"/>
      <c r="AD153" s="6"/>
      <c r="AE153" s="6"/>
      <c r="AF153" s="6"/>
      <c r="AG153" s="6"/>
      <c r="AH153" s="6"/>
      <c r="AI153" s="6"/>
      <c r="AJ153" s="6"/>
    </row>
    <row r="154" spans="1:36" hidden="1" x14ac:dyDescent="0.2">
      <c r="A154" s="37" t="s">
        <v>29</v>
      </c>
      <c r="B154" s="38" t="s">
        <v>30</v>
      </c>
      <c r="C154" s="14" t="s">
        <v>0</v>
      </c>
      <c r="D154" s="26"/>
      <c r="E154" s="26"/>
      <c r="F154" s="26"/>
      <c r="G154" s="26"/>
      <c r="H154" s="26"/>
      <c r="I154" s="26"/>
      <c r="J154" s="26"/>
      <c r="K154" s="16"/>
      <c r="L154" s="6"/>
      <c r="M154" s="21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D154" s="6">
        <f>IF((D154&lt;&gt;"")*(D158=""),IF((D154&lt;=$B$440)*((D155&gt;=$C$440)+(D155&lt;2/24)),1,0),0)</f>
        <v>0</v>
      </c>
      <c r="AE154" s="6">
        <f>IF((E154&lt;&gt;"")*(E158=""),IF((E154&lt;=$B$440)*((E155&gt;=$C$440)+(E155&lt;2/24)),1,0),0)</f>
        <v>0</v>
      </c>
      <c r="AF154" s="6">
        <f>IF((F154&lt;&gt;"")*(F158=""),IF((F154&lt;=$B$440)*((F155&gt;=$C$440)+(F155&lt;2/24)),1,0),0)</f>
        <v>0</v>
      </c>
      <c r="AG154" s="6">
        <f>IF((G154&lt;&gt;"")*(G158=""),IF((G154&lt;=$B$440)*((G155&gt;=$C$440)+(G155&lt;2/24)),1,0),0)</f>
        <v>0</v>
      </c>
      <c r="AH154" s="6">
        <f>IF((H154&lt;&gt;"")*(H158=""),IF((H154&lt;=$B$440)*((H155&gt;=$C$440)+(H155&lt;2/24)),1,0),0)</f>
        <v>0</v>
      </c>
      <c r="AI154" s="6">
        <f>IF((I154&lt;&gt;"")*(I158=""),IF((I154&lt;=$B$440)*((I155&gt;=$C$440)+(I155&lt;2/24)),1,0),0)</f>
        <v>0</v>
      </c>
      <c r="AJ154" s="6">
        <f>IF((J154&lt;&gt;"")*(J158=""),IF((J154&lt;=$B$440)*((J155&gt;=$C$440)+(J155&lt;2/24)),1,0),0)</f>
        <v>0</v>
      </c>
    </row>
    <row r="155" spans="1:36" hidden="1" x14ac:dyDescent="0.2">
      <c r="A155" s="39"/>
      <c r="B155" s="40"/>
      <c r="C155" s="15" t="s">
        <v>1</v>
      </c>
      <c r="D155" s="27"/>
      <c r="E155" s="27"/>
      <c r="F155" s="27"/>
      <c r="G155" s="27"/>
      <c r="H155" s="27"/>
      <c r="I155" s="27"/>
      <c r="J155" s="27"/>
      <c r="K155" s="17"/>
      <c r="L155" s="6"/>
      <c r="M155" s="21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D155" s="6">
        <f>IF((D154&lt;&gt;"")*(D158=""),IF((D154&lt;=$B$441)*((D155&gt;=$C$441)+(D155&lt;2/24)),1,0),0)</f>
        <v>0</v>
      </c>
      <c r="AE155" s="6">
        <f>IF((E154&lt;&gt;"")*(E158=""),IF((E154&lt;=$B$441)*((E155&gt;=$C$441)+(E155&lt;2/24)),1,0),0)</f>
        <v>0</v>
      </c>
      <c r="AF155" s="6">
        <f>IF((F154&lt;&gt;"")*(F158=""),IF((F154&lt;=$B$441)*((F155&gt;=$C$441)+(F155&lt;2/24)),1,0),0)</f>
        <v>0</v>
      </c>
      <c r="AG155" s="6">
        <f>IF((G154&lt;&gt;"")*(G158=""),IF((G154&lt;=$B$441)*((G155&gt;=$C$441)+(G155&lt;2/24)),1,0),0)</f>
        <v>0</v>
      </c>
      <c r="AH155" s="6">
        <f>IF((H154&lt;&gt;"")*(H158=""),IF((H154&lt;=$B$441)*((H155&gt;=$C$441)+(H155&lt;2/24)),1,0),0)</f>
        <v>0</v>
      </c>
      <c r="AI155" s="6">
        <f>IF((I154&lt;&gt;"")*(I158=""),IF((I154&lt;=$B$441)*((I155&gt;=$C$441)+(I155&lt;2/24)),1,0),0)</f>
        <v>0</v>
      </c>
      <c r="AJ155" s="6">
        <f>IF((J154&lt;&gt;"")*(J158=""),IF((J154&lt;=$B$441)*((J155&gt;=$C$441)+(J155&lt;2/24)),1,0),0)</f>
        <v>0</v>
      </c>
    </row>
    <row r="156" spans="1:36" hidden="1" x14ac:dyDescent="0.2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  <c r="L156" s="6"/>
      <c r="M156" s="21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D156" s="6">
        <f>IF((D154&lt;&gt;"")*(D158=""),IF((D154&lt;=$B$442)*((D155&gt;=$C$442)+(D155&lt;2/24)),1,0),0)</f>
        <v>0</v>
      </c>
      <c r="AE156" s="6">
        <f>IF((E154&lt;&gt;"")*(E158=""),IF((E154&lt;=$B$442)*((E155&gt;=$C$442)+(E155&lt;2/24)),1,0),0)</f>
        <v>0</v>
      </c>
      <c r="AF156" s="6">
        <f>IF((F154&lt;&gt;"")*(F158=""),IF((F154&lt;=$B$442)*((F155&gt;=$C$442)+(F155&lt;2/24)),1,0),0)</f>
        <v>0</v>
      </c>
      <c r="AG156" s="6">
        <f>IF((G154&lt;&gt;"")*(G158=""),IF((G154&lt;=$B$442)*((G155&gt;=$C$442)+(G155&lt;2/24)),1,0),0)</f>
        <v>0</v>
      </c>
      <c r="AH156" s="6">
        <f>IF((H154&lt;&gt;"")*(H158=""),IF((H154&lt;=$B$442)*((H155&gt;=$C$442)+(H155&lt;2/24)),1,0),0)</f>
        <v>0</v>
      </c>
      <c r="AI156" s="6">
        <f>IF((I154&lt;&gt;"")*(I158=""),IF((I154&lt;=$B$442)*((I155&gt;=$C$442)+(I155&lt;2/24)),1,0),0)</f>
        <v>0</v>
      </c>
      <c r="AJ156" s="6">
        <f>IF((J154&lt;&gt;"")*(J158=""),IF((J154&lt;=$B$442)*((J155&gt;=$C$442)+(J155&lt;2/24)),1,0),0)</f>
        <v>0</v>
      </c>
    </row>
    <row r="157" spans="1:36" hidden="1" x14ac:dyDescent="0.2">
      <c r="A157" s="39"/>
      <c r="B157" s="40"/>
      <c r="C157" s="15" t="s">
        <v>3</v>
      </c>
      <c r="D157" s="43"/>
      <c r="E157" s="43"/>
      <c r="F157" s="43"/>
      <c r="G157" s="43"/>
      <c r="H157" s="43"/>
      <c r="I157" s="43"/>
      <c r="J157" s="44"/>
      <c r="K157" s="18">
        <f>SUMIF(D158:J158,"",D157:J157)</f>
        <v>0</v>
      </c>
      <c r="L157" s="12">
        <f>SUM(D157:J157)</f>
        <v>0</v>
      </c>
      <c r="M157" s="24"/>
      <c r="N157" s="10">
        <f t="shared" ref="N157:T157" si="50">IF(D158="",D157,0)</f>
        <v>0</v>
      </c>
      <c r="O157" s="10">
        <f t="shared" si="50"/>
        <v>0</v>
      </c>
      <c r="P157" s="10">
        <f t="shared" si="50"/>
        <v>0</v>
      </c>
      <c r="Q157" s="10">
        <f t="shared" si="50"/>
        <v>0</v>
      </c>
      <c r="R157" s="10">
        <f t="shared" si="50"/>
        <v>0</v>
      </c>
      <c r="S157" s="10">
        <f t="shared" si="50"/>
        <v>0</v>
      </c>
      <c r="T157" s="10">
        <f t="shared" si="50"/>
        <v>0</v>
      </c>
      <c r="U157" s="10"/>
      <c r="V157" s="10">
        <f t="shared" ref="V157:AB157" si="51">D157</f>
        <v>0</v>
      </c>
      <c r="W157" s="10">
        <f t="shared" si="51"/>
        <v>0</v>
      </c>
      <c r="X157" s="10">
        <f t="shared" si="51"/>
        <v>0</v>
      </c>
      <c r="Y157" s="10">
        <f t="shared" si="51"/>
        <v>0</v>
      </c>
      <c r="Z157" s="10">
        <f t="shared" si="51"/>
        <v>0</v>
      </c>
      <c r="AA157" s="10">
        <f t="shared" si="51"/>
        <v>0</v>
      </c>
      <c r="AB157" s="10">
        <f t="shared" si="51"/>
        <v>0</v>
      </c>
      <c r="AD157" s="6">
        <f>IF((D154&lt;&gt;"")*(D158=""),IF((D154&lt;=$B$443)*((D155&gt;=$C$443)+(D155&lt;2/24)),1,0),0)</f>
        <v>0</v>
      </c>
      <c r="AE157" s="6">
        <f>IF((E154&lt;&gt;"")*(E158=""),IF((E154&lt;=$B$443)*((E155&gt;=$C$443)+(E155&lt;2/24)),1,0),0)</f>
        <v>0</v>
      </c>
      <c r="AF157" s="6">
        <f>IF((F154&lt;&gt;"")*(F158=""),IF((F154&lt;=$B$443)*((F155&gt;=$C$443)+(F155&lt;2/24)),1,0),0)</f>
        <v>0</v>
      </c>
      <c r="AG157" s="6">
        <f>IF((G154&lt;&gt;"")*(G158=""),IF((G154&lt;=$B$443)*((G155&gt;=$C$443)+(G155&lt;2/24)),1,0),0)</f>
        <v>0</v>
      </c>
      <c r="AH157" s="6">
        <f>IF((H154&lt;&gt;"")*(H158=""),IF((H154&lt;=$B$443)*((H155&gt;=$C$443)+(H155&lt;2/24)),1,0),0)</f>
        <v>0</v>
      </c>
      <c r="AI157" s="6">
        <f>IF((I154&lt;&gt;"")*(I158=""),IF((I154&lt;=$B$443)*((I155&gt;=$C$443)+(I155&lt;2/24)),1,0),0)</f>
        <v>0</v>
      </c>
      <c r="AJ157" s="6">
        <f>IF((J154&lt;&gt;"")*(J158=""),IF((J154&lt;=$B$443)*((J155&gt;=$C$443)+(J155&lt;2/24)),1,0),0)</f>
        <v>0</v>
      </c>
    </row>
    <row r="158" spans="1:36" hidden="1" x14ac:dyDescent="0.2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  <c r="N158" s="6"/>
      <c r="O158" s="6"/>
      <c r="P158" s="6"/>
      <c r="Q158" s="6"/>
      <c r="R158" s="6"/>
      <c r="S158" s="6"/>
      <c r="T158" s="6"/>
      <c r="U158" s="6"/>
      <c r="V158" s="20"/>
      <c r="W158" s="20"/>
      <c r="X158" s="20"/>
      <c r="Y158" s="20"/>
      <c r="Z158" s="20"/>
      <c r="AA158" s="20"/>
      <c r="AB158" s="20"/>
      <c r="AD158" s="6">
        <f>IF((D154&lt;&gt;"")*(D158=""),IF((D154&lt;=$B$444)*((D155&gt;=$C$444)+(D155&lt;2/24)),1,0),0)</f>
        <v>0</v>
      </c>
      <c r="AE158" s="6">
        <f>IF((E154&lt;&gt;"")*(E158=""),IF((E154&lt;=$B$444)*((E155&gt;=$C$444)+(E155&lt;2/24)),1,0),0)</f>
        <v>0</v>
      </c>
      <c r="AF158" s="6">
        <f>IF((F154&lt;&gt;"")*(F158=""),IF((F154&lt;=$B$444)*((F155&gt;=$C$444)+(F155&lt;2/24)),1,0),0)</f>
        <v>0</v>
      </c>
      <c r="AG158" s="6">
        <f>IF((G154&lt;&gt;"")*(G158=""),IF((G154&lt;=$B$444)*((G155&gt;=$C$444)+(G155&lt;2/24)),1,0),0)</f>
        <v>0</v>
      </c>
      <c r="AH158" s="6">
        <f>IF((H154&lt;&gt;"")*(H158=""),IF((H154&lt;=$B$444)*((H155&gt;=$C$444)+(H155&lt;2/24)),1,0),0)</f>
        <v>0</v>
      </c>
      <c r="AI158" s="6">
        <f>IF((I154&lt;&gt;"")*(I158=""),IF((I154&lt;=$B$444)*((I155&gt;=$C$444)+(I155&lt;2/24)),1,0),0)</f>
        <v>0</v>
      </c>
      <c r="AJ158" s="6">
        <f>IF((J154&lt;&gt;"")*(J158=""),IF((J154&lt;=$B$444)*((J155&gt;=$C$444)+(J155&lt;2/24)),1,0),0)</f>
        <v>0</v>
      </c>
    </row>
    <row r="159" spans="1:36" ht="13.5" hidden="1" thickBot="1" x14ac:dyDescent="0.25">
      <c r="A159" s="41"/>
      <c r="B159" s="42"/>
      <c r="C159" s="35" t="s">
        <v>28</v>
      </c>
      <c r="D159" s="36"/>
      <c r="E159" s="36"/>
      <c r="F159" s="36"/>
      <c r="G159" s="36"/>
      <c r="H159" s="36"/>
      <c r="I159" s="36"/>
      <c r="J159" s="36"/>
      <c r="K159" s="34"/>
      <c r="L159" s="6"/>
      <c r="M159" s="25"/>
      <c r="N159" s="6"/>
      <c r="O159" s="6"/>
      <c r="P159" s="6"/>
      <c r="Q159" s="6"/>
      <c r="R159" s="6"/>
      <c r="S159" s="6"/>
      <c r="T159" s="6"/>
      <c r="U159" s="6"/>
      <c r="V159" s="20"/>
      <c r="W159" s="20"/>
      <c r="X159" s="20"/>
      <c r="Y159" s="20"/>
      <c r="Z159" s="20"/>
      <c r="AA159" s="20"/>
      <c r="AB159" s="20"/>
      <c r="AD159" s="6"/>
      <c r="AE159" s="6"/>
      <c r="AF159" s="6"/>
      <c r="AG159" s="6"/>
      <c r="AH159" s="6"/>
      <c r="AI159" s="6"/>
      <c r="AJ159" s="6"/>
    </row>
    <row r="160" spans="1:36" hidden="1" x14ac:dyDescent="0.2">
      <c r="A160" s="37" t="s">
        <v>29</v>
      </c>
      <c r="B160" s="38" t="s">
        <v>30</v>
      </c>
      <c r="C160" s="14" t="s">
        <v>0</v>
      </c>
      <c r="D160" s="26"/>
      <c r="E160" s="26"/>
      <c r="F160" s="26"/>
      <c r="G160" s="26"/>
      <c r="H160" s="26"/>
      <c r="I160" s="26"/>
      <c r="J160" s="26"/>
      <c r="K160" s="16"/>
      <c r="L160" s="6"/>
      <c r="M160" s="21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D160" s="6">
        <f>IF((D160&lt;&gt;"")*(D164=""),IF((D160&lt;=$B$440)*((D161&gt;=$C$440)+(D161&lt;2/24)),1,0),0)</f>
        <v>0</v>
      </c>
      <c r="AE160" s="6">
        <f>IF((E160&lt;&gt;"")*(E164=""),IF((E160&lt;=$B$440)*((E161&gt;=$C$440)+(E161&lt;2/24)),1,0),0)</f>
        <v>0</v>
      </c>
      <c r="AF160" s="6">
        <f>IF((F160&lt;&gt;"")*(F164=""),IF((F160&lt;=$B$440)*((F161&gt;=$C$440)+(F161&lt;2/24)),1,0),0)</f>
        <v>0</v>
      </c>
      <c r="AG160" s="6">
        <f>IF((G160&lt;&gt;"")*(G164=""),IF((G160&lt;=$B$440)*((G161&gt;=$C$440)+(G161&lt;2/24)),1,0),0)</f>
        <v>0</v>
      </c>
      <c r="AH160" s="6">
        <f>IF((H160&lt;&gt;"")*(H164=""),IF((H160&lt;=$B$440)*((H161&gt;=$C$440)+(H161&lt;2/24)),1,0),0)</f>
        <v>0</v>
      </c>
      <c r="AI160" s="6">
        <f>IF((I160&lt;&gt;"")*(I164=""),IF((I160&lt;=$B$440)*((I161&gt;=$C$440)+(I161&lt;2/24)),1,0),0)</f>
        <v>0</v>
      </c>
      <c r="AJ160" s="6">
        <f>IF((J160&lt;&gt;"")*(J164=""),IF((J160&lt;=$B$440)*((J161&gt;=$C$440)+(J161&lt;2/24)),1,0),0)</f>
        <v>0</v>
      </c>
    </row>
    <row r="161" spans="1:36" hidden="1" x14ac:dyDescent="0.2">
      <c r="A161" s="39"/>
      <c r="B161" s="40"/>
      <c r="C161" s="15" t="s">
        <v>1</v>
      </c>
      <c r="D161" s="27"/>
      <c r="E161" s="27"/>
      <c r="F161" s="27"/>
      <c r="G161" s="27"/>
      <c r="H161" s="27"/>
      <c r="I161" s="27"/>
      <c r="J161" s="27"/>
      <c r="K161" s="17"/>
      <c r="L161" s="6"/>
      <c r="M161" s="21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D161" s="6">
        <f>IF((D160&lt;&gt;"")*(D164=""),IF((D160&lt;=$B$441)*((D161&gt;=$C$441)+(D161&lt;2/24)),1,0),0)</f>
        <v>0</v>
      </c>
      <c r="AE161" s="6">
        <f>IF((E160&lt;&gt;"")*(E164=""),IF((E160&lt;=$B$441)*((E161&gt;=$C$441)+(E161&lt;2/24)),1,0),0)</f>
        <v>0</v>
      </c>
      <c r="AF161" s="6">
        <f>IF((F160&lt;&gt;"")*(F164=""),IF((F160&lt;=$B$441)*((F161&gt;=$C$441)+(F161&lt;2/24)),1,0),0)</f>
        <v>0</v>
      </c>
      <c r="AG161" s="6">
        <f>IF((G160&lt;&gt;"")*(G164=""),IF((G160&lt;=$B$441)*((G161&gt;=$C$441)+(G161&lt;2/24)),1,0),0)</f>
        <v>0</v>
      </c>
      <c r="AH161" s="6">
        <f>IF((H160&lt;&gt;"")*(H164=""),IF((H160&lt;=$B$441)*((H161&gt;=$C$441)+(H161&lt;2/24)),1,0),0)</f>
        <v>0</v>
      </c>
      <c r="AI161" s="6">
        <f>IF((I160&lt;&gt;"")*(I164=""),IF((I160&lt;=$B$441)*((I161&gt;=$C$441)+(I161&lt;2/24)),1,0),0)</f>
        <v>0</v>
      </c>
      <c r="AJ161" s="6">
        <f>IF((J160&lt;&gt;"")*(J164=""),IF((J160&lt;=$B$441)*((J161&gt;=$C$441)+(J161&lt;2/24)),1,0),0)</f>
        <v>0</v>
      </c>
    </row>
    <row r="162" spans="1:36" hidden="1" x14ac:dyDescent="0.2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  <c r="L162" s="6"/>
      <c r="M162" s="21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D162" s="6">
        <f>IF((D160&lt;&gt;"")*(D164=""),IF((D160&lt;=$B$442)*((D161&gt;=$C$442)+(D161&lt;2/24)),1,0),0)</f>
        <v>0</v>
      </c>
      <c r="AE162" s="6">
        <f>IF((E160&lt;&gt;"")*(E164=""),IF((E160&lt;=$B$442)*((E161&gt;=$C$442)+(E161&lt;2/24)),1,0),0)</f>
        <v>0</v>
      </c>
      <c r="AF162" s="6">
        <f>IF((F160&lt;&gt;"")*(F164=""),IF((F160&lt;=$B$442)*((F161&gt;=$C$442)+(F161&lt;2/24)),1,0),0)</f>
        <v>0</v>
      </c>
      <c r="AG162" s="6">
        <f>IF((G160&lt;&gt;"")*(G164=""),IF((G160&lt;=$B$442)*((G161&gt;=$C$442)+(G161&lt;2/24)),1,0),0)</f>
        <v>0</v>
      </c>
      <c r="AH162" s="6">
        <f>IF((H160&lt;&gt;"")*(H164=""),IF((H160&lt;=$B$442)*((H161&gt;=$C$442)+(H161&lt;2/24)),1,0),0)</f>
        <v>0</v>
      </c>
      <c r="AI162" s="6">
        <f>IF((I160&lt;&gt;"")*(I164=""),IF((I160&lt;=$B$442)*((I161&gt;=$C$442)+(I161&lt;2/24)),1,0),0)</f>
        <v>0</v>
      </c>
      <c r="AJ162" s="6">
        <f>IF((J160&lt;&gt;"")*(J164=""),IF((J160&lt;=$B$442)*((J161&gt;=$C$442)+(J161&lt;2/24)),1,0),0)</f>
        <v>0</v>
      </c>
    </row>
    <row r="163" spans="1:36" hidden="1" x14ac:dyDescent="0.2">
      <c r="A163" s="39"/>
      <c r="B163" s="40"/>
      <c r="C163" s="15" t="s">
        <v>3</v>
      </c>
      <c r="D163" s="43"/>
      <c r="E163" s="43"/>
      <c r="F163" s="43"/>
      <c r="G163" s="43"/>
      <c r="H163" s="43"/>
      <c r="I163" s="43"/>
      <c r="J163" s="44"/>
      <c r="K163" s="18">
        <f>SUMIF(D164:J164,"",D163:J163)</f>
        <v>0</v>
      </c>
      <c r="L163" s="12">
        <f>SUM(D163:J163)</f>
        <v>0</v>
      </c>
      <c r="M163" s="24"/>
      <c r="N163" s="10">
        <f t="shared" ref="N163:T163" si="52">IF(D164="",D163,0)</f>
        <v>0</v>
      </c>
      <c r="O163" s="10">
        <f t="shared" si="52"/>
        <v>0</v>
      </c>
      <c r="P163" s="10">
        <f t="shared" si="52"/>
        <v>0</v>
      </c>
      <c r="Q163" s="10">
        <f t="shared" si="52"/>
        <v>0</v>
      </c>
      <c r="R163" s="10">
        <f t="shared" si="52"/>
        <v>0</v>
      </c>
      <c r="S163" s="10">
        <f t="shared" si="52"/>
        <v>0</v>
      </c>
      <c r="T163" s="10">
        <f t="shared" si="52"/>
        <v>0</v>
      </c>
      <c r="U163" s="10"/>
      <c r="V163" s="10">
        <f t="shared" ref="V163:AB163" si="53">D163</f>
        <v>0</v>
      </c>
      <c r="W163" s="10">
        <f t="shared" si="53"/>
        <v>0</v>
      </c>
      <c r="X163" s="10">
        <f t="shared" si="53"/>
        <v>0</v>
      </c>
      <c r="Y163" s="10">
        <f t="shared" si="53"/>
        <v>0</v>
      </c>
      <c r="Z163" s="10">
        <f t="shared" si="53"/>
        <v>0</v>
      </c>
      <c r="AA163" s="10">
        <f t="shared" si="53"/>
        <v>0</v>
      </c>
      <c r="AB163" s="10">
        <f t="shared" si="53"/>
        <v>0</v>
      </c>
      <c r="AD163" s="6">
        <f>IF((D160&lt;&gt;"")*(D164=""),IF((D160&lt;=$B$443)*((D161&gt;=$C$443)+(D161&lt;2/24)),1,0),0)</f>
        <v>0</v>
      </c>
      <c r="AE163" s="6">
        <f>IF((E160&lt;&gt;"")*(E164=""),IF((E160&lt;=$B$443)*((E161&gt;=$C$443)+(E161&lt;2/24)),1,0),0)</f>
        <v>0</v>
      </c>
      <c r="AF163" s="6">
        <f>IF((F160&lt;&gt;"")*(F164=""),IF((F160&lt;=$B$443)*((F161&gt;=$C$443)+(F161&lt;2/24)),1,0),0)</f>
        <v>0</v>
      </c>
      <c r="AG163" s="6">
        <f>IF((G160&lt;&gt;"")*(G164=""),IF((G160&lt;=$B$443)*((G161&gt;=$C$443)+(G161&lt;2/24)),1,0),0)</f>
        <v>0</v>
      </c>
      <c r="AH163" s="6">
        <f>IF((H160&lt;&gt;"")*(H164=""),IF((H160&lt;=$B$443)*((H161&gt;=$C$443)+(H161&lt;2/24)),1,0),0)</f>
        <v>0</v>
      </c>
      <c r="AI163" s="6">
        <f>IF((I160&lt;&gt;"")*(I164=""),IF((I160&lt;=$B$443)*((I161&gt;=$C$443)+(I161&lt;2/24)),1,0),0)</f>
        <v>0</v>
      </c>
      <c r="AJ163" s="6">
        <f>IF((J160&lt;&gt;"")*(J164=""),IF((J160&lt;=$B$443)*((J161&gt;=$C$443)+(J161&lt;2/24)),1,0),0)</f>
        <v>0</v>
      </c>
    </row>
    <row r="164" spans="1:36" hidden="1" x14ac:dyDescent="0.2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  <c r="N164" s="6"/>
      <c r="O164" s="6"/>
      <c r="P164" s="6"/>
      <c r="Q164" s="6"/>
      <c r="R164" s="6"/>
      <c r="S164" s="6"/>
      <c r="T164" s="6"/>
      <c r="U164" s="6"/>
      <c r="V164" s="20"/>
      <c r="W164" s="20"/>
      <c r="X164" s="20"/>
      <c r="Y164" s="20"/>
      <c r="Z164" s="20"/>
      <c r="AA164" s="20"/>
      <c r="AB164" s="20"/>
      <c r="AD164" s="6">
        <f>IF((D160&lt;&gt;"")*(D164=""),IF((D160&lt;=$B$444)*((D161&gt;=$C$444)+(D161&lt;2/24)),1,0),0)</f>
        <v>0</v>
      </c>
      <c r="AE164" s="6">
        <f>IF((E160&lt;&gt;"")*(E164=""),IF((E160&lt;=$B$444)*((E161&gt;=$C$444)+(E161&lt;2/24)),1,0),0)</f>
        <v>0</v>
      </c>
      <c r="AF164" s="6">
        <f>IF((F160&lt;&gt;"")*(F164=""),IF((F160&lt;=$B$444)*((F161&gt;=$C$444)+(F161&lt;2/24)),1,0),0)</f>
        <v>0</v>
      </c>
      <c r="AG164" s="6">
        <f>IF((G160&lt;&gt;"")*(G164=""),IF((G160&lt;=$B$444)*((G161&gt;=$C$444)+(G161&lt;2/24)),1,0),0)</f>
        <v>0</v>
      </c>
      <c r="AH164" s="6">
        <f>IF((H160&lt;&gt;"")*(H164=""),IF((H160&lt;=$B$444)*((H161&gt;=$C$444)+(H161&lt;2/24)),1,0),0)</f>
        <v>0</v>
      </c>
      <c r="AI164" s="6">
        <f>IF((I160&lt;&gt;"")*(I164=""),IF((I160&lt;=$B$444)*((I161&gt;=$C$444)+(I161&lt;2/24)),1,0),0)</f>
        <v>0</v>
      </c>
      <c r="AJ164" s="6">
        <f>IF((J160&lt;&gt;"")*(J164=""),IF((J160&lt;=$B$444)*((J161&gt;=$C$444)+(J161&lt;2/24)),1,0),0)</f>
        <v>0</v>
      </c>
    </row>
    <row r="165" spans="1:36" ht="13.5" hidden="1" thickBot="1" x14ac:dyDescent="0.25">
      <c r="A165" s="41"/>
      <c r="B165" s="42"/>
      <c r="C165" s="35" t="s">
        <v>28</v>
      </c>
      <c r="D165" s="36"/>
      <c r="E165" s="36"/>
      <c r="F165" s="36"/>
      <c r="G165" s="36"/>
      <c r="H165" s="36"/>
      <c r="I165" s="36"/>
      <c r="J165" s="36"/>
      <c r="K165" s="34"/>
      <c r="L165" s="6"/>
      <c r="M165" s="25"/>
      <c r="N165" s="6"/>
      <c r="O165" s="6"/>
      <c r="P165" s="6"/>
      <c r="Q165" s="6"/>
      <c r="R165" s="6"/>
      <c r="S165" s="6"/>
      <c r="T165" s="6"/>
      <c r="U165" s="6"/>
      <c r="V165" s="20"/>
      <c r="W165" s="20"/>
      <c r="X165" s="20"/>
      <c r="Y165" s="20"/>
      <c r="Z165" s="20"/>
      <c r="AA165" s="20"/>
      <c r="AB165" s="20"/>
      <c r="AD165" s="6"/>
      <c r="AE165" s="6"/>
      <c r="AF165" s="6"/>
      <c r="AG165" s="6"/>
      <c r="AH165" s="6"/>
      <c r="AI165" s="6"/>
      <c r="AJ165" s="6"/>
    </row>
    <row r="166" spans="1:36" hidden="1" x14ac:dyDescent="0.2">
      <c r="A166" s="37" t="s">
        <v>29</v>
      </c>
      <c r="B166" s="38" t="s">
        <v>30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  <c r="L166" s="6"/>
      <c r="M166" s="21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D166" s="6">
        <f>IF((D166&lt;&gt;"")*(D170=""),IF((D166&lt;=$B$440)*((D167&gt;=$C$440)+(D167&lt;2/24)),1,0),0)</f>
        <v>0</v>
      </c>
      <c r="AE166" s="6">
        <f>IF((E166&lt;&gt;"")*(E170=""),IF((E166&lt;=$B$440)*((E167&gt;=$C$440)+(E167&lt;2/24)),1,0),0)</f>
        <v>0</v>
      </c>
      <c r="AF166" s="6">
        <f>IF((F166&lt;&gt;"")*(F170=""),IF((F166&lt;=$B$440)*((F167&gt;=$C$440)+(F167&lt;2/24)),1,0),0)</f>
        <v>0</v>
      </c>
      <c r="AG166" s="6">
        <f>IF((G166&lt;&gt;"")*(G170=""),IF((G166&lt;=$B$440)*((G167&gt;=$C$440)+(G167&lt;2/24)),1,0),0)</f>
        <v>0</v>
      </c>
      <c r="AH166" s="6">
        <f>IF((H166&lt;&gt;"")*(H170=""),IF((H166&lt;=$B$440)*((H167&gt;=$C$440)+(H167&lt;2/24)),1,0),0)</f>
        <v>0</v>
      </c>
      <c r="AI166" s="6">
        <f>IF((I166&lt;&gt;"")*(I170=""),IF((I166&lt;=$B$440)*((I167&gt;=$C$440)+(I167&lt;2/24)),1,0),0)</f>
        <v>0</v>
      </c>
      <c r="AJ166" s="6">
        <f>IF((J166&lt;&gt;"")*(J170=""),IF((J166&lt;=$B$440)*((J167&gt;=$C$440)+(J167&lt;2/24)),1,0),0)</f>
        <v>0</v>
      </c>
    </row>
    <row r="167" spans="1:36" hidden="1" x14ac:dyDescent="0.2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  <c r="L167" s="6"/>
      <c r="M167" s="21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D167" s="6">
        <f>IF((D166&lt;&gt;"")*(D170=""),IF((D166&lt;=$B$441)*((D167&gt;=$C$441)+(D167&lt;2/24)),1,0),0)</f>
        <v>0</v>
      </c>
      <c r="AE167" s="6">
        <f>IF((E166&lt;&gt;"")*(E170=""),IF((E166&lt;=$B$441)*((E167&gt;=$C$441)+(E167&lt;2/24)),1,0),0)</f>
        <v>0</v>
      </c>
      <c r="AF167" s="6">
        <f>IF((F166&lt;&gt;"")*(F170=""),IF((F166&lt;=$B$441)*((F167&gt;=$C$441)+(F167&lt;2/24)),1,0),0)</f>
        <v>0</v>
      </c>
      <c r="AG167" s="6">
        <f>IF((G166&lt;&gt;"")*(G170=""),IF((G166&lt;=$B$441)*((G167&gt;=$C$441)+(G167&lt;2/24)),1,0),0)</f>
        <v>0</v>
      </c>
      <c r="AH167" s="6">
        <f>IF((H166&lt;&gt;"")*(H170=""),IF((H166&lt;=$B$441)*((H167&gt;=$C$441)+(H167&lt;2/24)),1,0),0)</f>
        <v>0</v>
      </c>
      <c r="AI167" s="6">
        <f>IF((I166&lt;&gt;"")*(I170=""),IF((I166&lt;=$B$441)*((I167&gt;=$C$441)+(I167&lt;2/24)),1,0),0)</f>
        <v>0</v>
      </c>
      <c r="AJ167" s="6">
        <f>IF((J166&lt;&gt;"")*(J170=""),IF((J166&lt;=$B$441)*((J167&gt;=$C$441)+(J167&lt;2/24)),1,0),0)</f>
        <v>0</v>
      </c>
    </row>
    <row r="168" spans="1:36" hidden="1" x14ac:dyDescent="0.2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D168" s="6">
        <f>IF((D166&lt;&gt;"")*(D170=""),IF((D166&lt;=$B$442)*((D167&gt;=$C$442)+(D167&lt;2/24)),1,0),0)</f>
        <v>0</v>
      </c>
      <c r="AE168" s="6">
        <f>IF((E166&lt;&gt;"")*(E170=""),IF((E166&lt;=$B$442)*((E167&gt;=$C$442)+(E167&lt;2/24)),1,0),0)</f>
        <v>0</v>
      </c>
      <c r="AF168" s="6">
        <f>IF((F166&lt;&gt;"")*(F170=""),IF((F166&lt;=$B$442)*((F167&gt;=$C$442)+(F167&lt;2/24)),1,0),0)</f>
        <v>0</v>
      </c>
      <c r="AG168" s="6">
        <f>IF((G166&lt;&gt;"")*(G170=""),IF((G166&lt;=$B$442)*((G167&gt;=$C$442)+(G167&lt;2/24)),1,0),0)</f>
        <v>0</v>
      </c>
      <c r="AH168" s="6">
        <f>IF((H166&lt;&gt;"")*(H170=""),IF((H166&lt;=$B$442)*((H167&gt;=$C$442)+(H167&lt;2/24)),1,0),0)</f>
        <v>0</v>
      </c>
      <c r="AI168" s="6">
        <f>IF((I166&lt;&gt;"")*(I170=""),IF((I166&lt;=$B$442)*((I167&gt;=$C$442)+(I167&lt;2/24)),1,0),0)</f>
        <v>0</v>
      </c>
      <c r="AJ168" s="6">
        <f>IF((J166&lt;&gt;"")*(J170=""),IF((J166&lt;=$B$442)*((J167&gt;=$C$442)+(J167&lt;2/24)),1,0),0)</f>
        <v>0</v>
      </c>
    </row>
    <row r="169" spans="1:36" hidden="1" x14ac:dyDescent="0.2">
      <c r="A169" s="39"/>
      <c r="B169" s="40"/>
      <c r="C169" s="15" t="s">
        <v>3</v>
      </c>
      <c r="D169" s="43"/>
      <c r="E169" s="43"/>
      <c r="F169" s="43"/>
      <c r="G169" s="43"/>
      <c r="H169" s="43"/>
      <c r="I169" s="43"/>
      <c r="J169" s="44"/>
      <c r="K169" s="18">
        <f>SUMIF(D170:J170,"",D169:J169)</f>
        <v>0</v>
      </c>
      <c r="L169" s="12">
        <f>SUM(D169:J169)</f>
        <v>0</v>
      </c>
      <c r="M169" s="24"/>
      <c r="N169" s="10">
        <f t="shared" ref="N169:T169" si="54">IF(D170="",D169,0)</f>
        <v>0</v>
      </c>
      <c r="O169" s="10">
        <f t="shared" si="54"/>
        <v>0</v>
      </c>
      <c r="P169" s="10">
        <f t="shared" si="54"/>
        <v>0</v>
      </c>
      <c r="Q169" s="10">
        <f t="shared" si="54"/>
        <v>0</v>
      </c>
      <c r="R169" s="10">
        <f t="shared" si="54"/>
        <v>0</v>
      </c>
      <c r="S169" s="10">
        <f t="shared" si="54"/>
        <v>0</v>
      </c>
      <c r="T169" s="10">
        <f t="shared" si="54"/>
        <v>0</v>
      </c>
      <c r="U169" s="10"/>
      <c r="V169" s="10">
        <f t="shared" ref="V169:AB169" si="55">D169</f>
        <v>0</v>
      </c>
      <c r="W169" s="10">
        <f t="shared" si="55"/>
        <v>0</v>
      </c>
      <c r="X169" s="10">
        <f t="shared" si="55"/>
        <v>0</v>
      </c>
      <c r="Y169" s="10">
        <f t="shared" si="55"/>
        <v>0</v>
      </c>
      <c r="Z169" s="10">
        <f t="shared" si="55"/>
        <v>0</v>
      </c>
      <c r="AA169" s="10">
        <f t="shared" si="55"/>
        <v>0</v>
      </c>
      <c r="AB169" s="10">
        <f t="shared" si="55"/>
        <v>0</v>
      </c>
      <c r="AD169" s="6">
        <f>IF((D166&lt;&gt;"")*(D170=""),IF((D166&lt;=$B$443)*((D167&gt;=$C$443)+(D167&lt;2/24)),1,0),0)</f>
        <v>0</v>
      </c>
      <c r="AE169" s="6">
        <f>IF((E166&lt;&gt;"")*(E170=""),IF((E166&lt;=$B$443)*((E167&gt;=$C$443)+(E167&lt;2/24)),1,0),0)</f>
        <v>0</v>
      </c>
      <c r="AF169" s="6">
        <f>IF((F166&lt;&gt;"")*(F170=""),IF((F166&lt;=$B$443)*((F167&gt;=$C$443)+(F167&lt;2/24)),1,0),0)</f>
        <v>0</v>
      </c>
      <c r="AG169" s="6">
        <f>IF((G166&lt;&gt;"")*(G170=""),IF((G166&lt;=$B$443)*((G167&gt;=$C$443)+(G167&lt;2/24)),1,0),0)</f>
        <v>0</v>
      </c>
      <c r="AH169" s="6">
        <f>IF((H166&lt;&gt;"")*(H170=""),IF((H166&lt;=$B$443)*((H167&gt;=$C$443)+(H167&lt;2/24)),1,0),0)</f>
        <v>0</v>
      </c>
      <c r="AI169" s="6">
        <f>IF((I166&lt;&gt;"")*(I170=""),IF((I166&lt;=$B$443)*((I167&gt;=$C$443)+(I167&lt;2/24)),1,0),0)</f>
        <v>0</v>
      </c>
      <c r="AJ169" s="6">
        <f>IF((J166&lt;&gt;"")*(J170=""),IF((J166&lt;=$B$443)*((J167&gt;=$C$443)+(J167&lt;2/24)),1,0),0)</f>
        <v>0</v>
      </c>
    </row>
    <row r="170" spans="1:36" hidden="1" x14ac:dyDescent="0.2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  <c r="N170" s="6"/>
      <c r="O170" s="6"/>
      <c r="P170" s="6"/>
      <c r="Q170" s="6"/>
      <c r="R170" s="6"/>
      <c r="S170" s="6"/>
      <c r="T170" s="6"/>
      <c r="U170" s="6"/>
      <c r="V170" s="20"/>
      <c r="W170" s="20"/>
      <c r="X170" s="20"/>
      <c r="Y170" s="20"/>
      <c r="Z170" s="20"/>
      <c r="AA170" s="20"/>
      <c r="AB170" s="20"/>
      <c r="AD170" s="6">
        <f>IF((D166&lt;&gt;"")*(D170=""),IF((D166&lt;=$B$444)*((D167&gt;=$C$444)+(D167&lt;2/24)),1,0),0)</f>
        <v>0</v>
      </c>
      <c r="AE170" s="6">
        <f>IF((E166&lt;&gt;"")*(E170=""),IF((E166&lt;=$B$444)*((E167&gt;=$C$444)+(E167&lt;2/24)),1,0),0)</f>
        <v>0</v>
      </c>
      <c r="AF170" s="6">
        <f>IF((F166&lt;&gt;"")*(F170=""),IF((F166&lt;=$B$444)*((F167&gt;=$C$444)+(F167&lt;2/24)),1,0),0)</f>
        <v>0</v>
      </c>
      <c r="AG170" s="6">
        <f>IF((G166&lt;&gt;"")*(G170=""),IF((G166&lt;=$B$444)*((G167&gt;=$C$444)+(G167&lt;2/24)),1,0),0)</f>
        <v>0</v>
      </c>
      <c r="AH170" s="6">
        <f>IF((H166&lt;&gt;"")*(H170=""),IF((H166&lt;=$B$444)*((H167&gt;=$C$444)+(H167&lt;2/24)),1,0),0)</f>
        <v>0</v>
      </c>
      <c r="AI170" s="6">
        <f>IF((I166&lt;&gt;"")*(I170=""),IF((I166&lt;=$B$444)*((I167&gt;=$C$444)+(I167&lt;2/24)),1,0),0)</f>
        <v>0</v>
      </c>
      <c r="AJ170" s="6">
        <f>IF((J166&lt;&gt;"")*(J170=""),IF((J166&lt;=$B$444)*((J167&gt;=$C$444)+(J167&lt;2/24)),1,0),0)</f>
        <v>0</v>
      </c>
    </row>
    <row r="171" spans="1:36" ht="13.5" hidden="1" thickBot="1" x14ac:dyDescent="0.25">
      <c r="A171" s="41"/>
      <c r="B171" s="42"/>
      <c r="C171" s="35" t="s">
        <v>28</v>
      </c>
      <c r="D171" s="36"/>
      <c r="E171" s="36"/>
      <c r="F171" s="36"/>
      <c r="G171" s="36"/>
      <c r="H171" s="36"/>
      <c r="I171" s="36"/>
      <c r="J171" s="36"/>
      <c r="K171" s="34"/>
      <c r="L171" s="6"/>
      <c r="M171" s="25"/>
      <c r="N171" s="6"/>
      <c r="O171" s="6"/>
      <c r="P171" s="6"/>
      <c r="Q171" s="6"/>
      <c r="R171" s="6"/>
      <c r="S171" s="6"/>
      <c r="T171" s="6"/>
      <c r="U171" s="6"/>
      <c r="V171" s="20"/>
      <c r="W171" s="20"/>
      <c r="X171" s="20"/>
      <c r="Y171" s="20"/>
      <c r="Z171" s="20"/>
      <c r="AA171" s="20"/>
      <c r="AB171" s="20"/>
      <c r="AD171" s="6"/>
      <c r="AE171" s="6"/>
      <c r="AF171" s="6"/>
      <c r="AG171" s="6"/>
      <c r="AH171" s="6"/>
      <c r="AI171" s="6"/>
      <c r="AJ171" s="6"/>
    </row>
    <row r="172" spans="1:36" hidden="1" x14ac:dyDescent="0.2">
      <c r="A172" s="37" t="s">
        <v>29</v>
      </c>
      <c r="B172" s="38" t="s">
        <v>30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  <c r="L172" s="6"/>
      <c r="M172" s="21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D172" s="6">
        <f>IF((D172&lt;&gt;"")*(D176=""),IF((D172&lt;=$B$440)*((D173&gt;=$C$440)+(D173&lt;2/24)),1,0),0)</f>
        <v>0</v>
      </c>
      <c r="AE172" s="6">
        <f>IF((E172&lt;&gt;"")*(E176=""),IF((E172&lt;=$B$440)*((E173&gt;=$C$440)+(E173&lt;2/24)),1,0),0)</f>
        <v>0</v>
      </c>
      <c r="AF172" s="6">
        <f>IF((F172&lt;&gt;"")*(F176=""),IF((F172&lt;=$B$440)*((F173&gt;=$C$440)+(F173&lt;2/24)),1,0),0)</f>
        <v>0</v>
      </c>
      <c r="AG172" s="6">
        <f>IF((G172&lt;&gt;"")*(G176=""),IF((G172&lt;=$B$440)*((G173&gt;=$C$440)+(G173&lt;2/24)),1,0),0)</f>
        <v>0</v>
      </c>
      <c r="AH172" s="6">
        <f>IF((H172&lt;&gt;"")*(H176=""),IF((H172&lt;=$B$440)*((H173&gt;=$C$440)+(H173&lt;2/24)),1,0),0)</f>
        <v>0</v>
      </c>
      <c r="AI172" s="6">
        <f>IF((I172&lt;&gt;"")*(I176=""),IF((I172&lt;=$B$440)*((I173&gt;=$C$440)+(I173&lt;2/24)),1,0),0)</f>
        <v>0</v>
      </c>
      <c r="AJ172" s="6">
        <f>IF((J172&lt;&gt;"")*(J176=""),IF((J172&lt;=$B$440)*((J173&gt;=$C$440)+(J173&lt;2/24)),1,0),0)</f>
        <v>0</v>
      </c>
    </row>
    <row r="173" spans="1:36" hidden="1" x14ac:dyDescent="0.2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  <c r="L173" s="6"/>
      <c r="M173" s="21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D173" s="6">
        <f>IF((D172&lt;&gt;"")*(D176=""),IF((D172&lt;=$B$441)*((D173&gt;=$C$441)+(D173&lt;2/24)),1,0),0)</f>
        <v>0</v>
      </c>
      <c r="AE173" s="6">
        <f>IF((E172&lt;&gt;"")*(E176=""),IF((E172&lt;=$B$441)*((E173&gt;=$C$441)+(E173&lt;2/24)),1,0),0)</f>
        <v>0</v>
      </c>
      <c r="AF173" s="6">
        <f>IF((F172&lt;&gt;"")*(F176=""),IF((F172&lt;=$B$441)*((F173&gt;=$C$441)+(F173&lt;2/24)),1,0),0)</f>
        <v>0</v>
      </c>
      <c r="AG173" s="6">
        <f>IF((G172&lt;&gt;"")*(G176=""),IF((G172&lt;=$B$441)*((G173&gt;=$C$441)+(G173&lt;2/24)),1,0),0)</f>
        <v>0</v>
      </c>
      <c r="AH173" s="6">
        <f>IF((H172&lt;&gt;"")*(H176=""),IF((H172&lt;=$B$441)*((H173&gt;=$C$441)+(H173&lt;2/24)),1,0),0)</f>
        <v>0</v>
      </c>
      <c r="AI173" s="6">
        <f>IF((I172&lt;&gt;"")*(I176=""),IF((I172&lt;=$B$441)*((I173&gt;=$C$441)+(I173&lt;2/24)),1,0),0)</f>
        <v>0</v>
      </c>
      <c r="AJ173" s="6">
        <f>IF((J172&lt;&gt;"")*(J176=""),IF((J172&lt;=$B$441)*((J173&gt;=$C$441)+(J173&lt;2/24)),1,0),0)</f>
        <v>0</v>
      </c>
    </row>
    <row r="174" spans="1:36" hidden="1" x14ac:dyDescent="0.2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D174" s="6">
        <f>IF((D172&lt;&gt;"")*(D176=""),IF((D172&lt;=$B$442)*((D173&gt;=$C$442)+(D173&lt;2/24)),1,0),0)</f>
        <v>0</v>
      </c>
      <c r="AE174" s="6">
        <f>IF((E172&lt;&gt;"")*(E176=""),IF((E172&lt;=$B$442)*((E173&gt;=$C$442)+(E173&lt;2/24)),1,0),0)</f>
        <v>0</v>
      </c>
      <c r="AF174" s="6">
        <f>IF((F172&lt;&gt;"")*(F176=""),IF((F172&lt;=$B$442)*((F173&gt;=$C$442)+(F173&lt;2/24)),1,0),0)</f>
        <v>0</v>
      </c>
      <c r="AG174" s="6">
        <f>IF((G172&lt;&gt;"")*(G176=""),IF((G172&lt;=$B$442)*((G173&gt;=$C$442)+(G173&lt;2/24)),1,0),0)</f>
        <v>0</v>
      </c>
      <c r="AH174" s="6">
        <f>IF((H172&lt;&gt;"")*(H176=""),IF((H172&lt;=$B$442)*((H173&gt;=$C$442)+(H173&lt;2/24)),1,0),0)</f>
        <v>0</v>
      </c>
      <c r="AI174" s="6">
        <f>IF((I172&lt;&gt;"")*(I176=""),IF((I172&lt;=$B$442)*((I173&gt;=$C$442)+(I173&lt;2/24)),1,0),0)</f>
        <v>0</v>
      </c>
      <c r="AJ174" s="6">
        <f>IF((J172&lt;&gt;"")*(J176=""),IF((J172&lt;=$B$442)*((J173&gt;=$C$442)+(J173&lt;2/24)),1,0),0)</f>
        <v>0</v>
      </c>
    </row>
    <row r="175" spans="1:36" hidden="1" x14ac:dyDescent="0.2">
      <c r="A175" s="39"/>
      <c r="B175" s="40"/>
      <c r="C175" s="15" t="s">
        <v>3</v>
      </c>
      <c r="D175" s="43"/>
      <c r="E175" s="43"/>
      <c r="F175" s="43"/>
      <c r="G175" s="43"/>
      <c r="H175" s="43"/>
      <c r="I175" s="43"/>
      <c r="J175" s="44"/>
      <c r="K175" s="18">
        <f>SUMIF(D176:J176,"",D175:J175)</f>
        <v>0</v>
      </c>
      <c r="L175" s="12">
        <f>SUM(D175:J175)</f>
        <v>0</v>
      </c>
      <c r="M175" s="24"/>
      <c r="N175" s="10">
        <f t="shared" ref="N175:T175" si="56">IF(D176="",D175,0)</f>
        <v>0</v>
      </c>
      <c r="O175" s="10">
        <f t="shared" si="56"/>
        <v>0</v>
      </c>
      <c r="P175" s="10">
        <f t="shared" si="56"/>
        <v>0</v>
      </c>
      <c r="Q175" s="10">
        <f t="shared" si="56"/>
        <v>0</v>
      </c>
      <c r="R175" s="10">
        <f t="shared" si="56"/>
        <v>0</v>
      </c>
      <c r="S175" s="10">
        <f t="shared" si="56"/>
        <v>0</v>
      </c>
      <c r="T175" s="10">
        <f t="shared" si="56"/>
        <v>0</v>
      </c>
      <c r="U175" s="10"/>
      <c r="V175" s="10">
        <f t="shared" ref="V175:AB175" si="57">D175</f>
        <v>0</v>
      </c>
      <c r="W175" s="10">
        <f t="shared" si="57"/>
        <v>0</v>
      </c>
      <c r="X175" s="10">
        <f t="shared" si="57"/>
        <v>0</v>
      </c>
      <c r="Y175" s="10">
        <f t="shared" si="57"/>
        <v>0</v>
      </c>
      <c r="Z175" s="10">
        <f t="shared" si="57"/>
        <v>0</v>
      </c>
      <c r="AA175" s="10">
        <f t="shared" si="57"/>
        <v>0</v>
      </c>
      <c r="AB175" s="10">
        <f t="shared" si="57"/>
        <v>0</v>
      </c>
      <c r="AD175" s="6">
        <f>IF((D172&lt;&gt;"")*(D176=""),IF((D172&lt;=$B$443)*((D173&gt;=$C$443)+(D173&lt;2/24)),1,0),0)</f>
        <v>0</v>
      </c>
      <c r="AE175" s="6">
        <f>IF((E172&lt;&gt;"")*(E176=""),IF((E172&lt;=$B$443)*((E173&gt;=$C$443)+(E173&lt;2/24)),1,0),0)</f>
        <v>0</v>
      </c>
      <c r="AF175" s="6">
        <f>IF((F172&lt;&gt;"")*(F176=""),IF((F172&lt;=$B$443)*((F173&gt;=$C$443)+(F173&lt;2/24)),1,0),0)</f>
        <v>0</v>
      </c>
      <c r="AG175" s="6">
        <f>IF((G172&lt;&gt;"")*(G176=""),IF((G172&lt;=$B$443)*((G173&gt;=$C$443)+(G173&lt;2/24)),1,0),0)</f>
        <v>0</v>
      </c>
      <c r="AH175" s="6">
        <f>IF((H172&lt;&gt;"")*(H176=""),IF((H172&lt;=$B$443)*((H173&gt;=$C$443)+(H173&lt;2/24)),1,0),0)</f>
        <v>0</v>
      </c>
      <c r="AI175" s="6">
        <f>IF((I172&lt;&gt;"")*(I176=""),IF((I172&lt;=$B$443)*((I173&gt;=$C$443)+(I173&lt;2/24)),1,0),0)</f>
        <v>0</v>
      </c>
      <c r="AJ175" s="6">
        <f>IF((J172&lt;&gt;"")*(J176=""),IF((J172&lt;=$B$443)*((J173&gt;=$C$443)+(J173&lt;2/24)),1,0),0)</f>
        <v>0</v>
      </c>
    </row>
    <row r="176" spans="1:36" hidden="1" x14ac:dyDescent="0.2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  <c r="N176" s="6"/>
      <c r="O176" s="6"/>
      <c r="P176" s="6"/>
      <c r="Q176" s="6"/>
      <c r="R176" s="6"/>
      <c r="S176" s="6"/>
      <c r="T176" s="6"/>
      <c r="U176" s="6"/>
      <c r="V176" s="20"/>
      <c r="W176" s="20"/>
      <c r="X176" s="20"/>
      <c r="Y176" s="20"/>
      <c r="Z176" s="20"/>
      <c r="AA176" s="20"/>
      <c r="AB176" s="20"/>
      <c r="AD176" s="6">
        <f>IF((D172&lt;&gt;"")*(D176=""),IF((D172&lt;=$B$444)*((D173&gt;=$C$444)+(D173&lt;2/24)),1,0),0)</f>
        <v>0</v>
      </c>
      <c r="AE176" s="6">
        <f>IF((E172&lt;&gt;"")*(E176=""),IF((E172&lt;=$B$444)*((E173&gt;=$C$444)+(E173&lt;2/24)),1,0),0)</f>
        <v>0</v>
      </c>
      <c r="AF176" s="6">
        <f>IF((F172&lt;&gt;"")*(F176=""),IF((F172&lt;=$B$444)*((F173&gt;=$C$444)+(F173&lt;2/24)),1,0),0)</f>
        <v>0</v>
      </c>
      <c r="AG176" s="6">
        <f>IF((G172&lt;&gt;"")*(G176=""),IF((G172&lt;=$B$444)*((G173&gt;=$C$444)+(G173&lt;2/24)),1,0),0)</f>
        <v>0</v>
      </c>
      <c r="AH176" s="6">
        <f>IF((H172&lt;&gt;"")*(H176=""),IF((H172&lt;=$B$444)*((H173&gt;=$C$444)+(H173&lt;2/24)),1,0),0)</f>
        <v>0</v>
      </c>
      <c r="AI176" s="6">
        <f>IF((I172&lt;&gt;"")*(I176=""),IF((I172&lt;=$B$444)*((I173&gt;=$C$444)+(I173&lt;2/24)),1,0),0)</f>
        <v>0</v>
      </c>
      <c r="AJ176" s="6">
        <f>IF((J172&lt;&gt;"")*(J176=""),IF((J172&lt;=$B$444)*((J173&gt;=$C$444)+(J173&lt;2/24)),1,0),0)</f>
        <v>0</v>
      </c>
    </row>
    <row r="177" spans="1:36" ht="13.5" hidden="1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36"/>
      <c r="I177" s="36"/>
      <c r="J177" s="36"/>
      <c r="K177" s="34"/>
      <c r="L177" s="6"/>
      <c r="M177" s="25"/>
      <c r="N177" s="6"/>
      <c r="O177" s="6"/>
      <c r="P177" s="6"/>
      <c r="Q177" s="6"/>
      <c r="R177" s="6"/>
      <c r="S177" s="6"/>
      <c r="T177" s="6"/>
      <c r="U177" s="6"/>
      <c r="V177" s="20"/>
      <c r="W177" s="20"/>
      <c r="X177" s="20"/>
      <c r="Y177" s="20"/>
      <c r="Z177" s="20"/>
      <c r="AA177" s="20"/>
      <c r="AB177" s="20"/>
      <c r="AD177" s="6"/>
      <c r="AE177" s="6"/>
      <c r="AF177" s="6"/>
      <c r="AG177" s="6"/>
      <c r="AH177" s="6"/>
      <c r="AI177" s="6"/>
      <c r="AJ177" s="6"/>
    </row>
    <row r="178" spans="1:36" hidden="1" x14ac:dyDescent="0.2">
      <c r="A178" s="37" t="s">
        <v>29</v>
      </c>
      <c r="B178" s="38" t="s">
        <v>30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  <c r="L178" s="6"/>
      <c r="M178" s="21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D178" s="6">
        <f>IF((D178&lt;&gt;"")*(D182=""),IF((D178&lt;=$B$440)*((D179&gt;=$C$440)+(D179&lt;2/24)),1,0),0)</f>
        <v>0</v>
      </c>
      <c r="AE178" s="6">
        <f>IF((E178&lt;&gt;"")*(E182=""),IF((E178&lt;=$B$440)*((E179&gt;=$C$440)+(E179&lt;2/24)),1,0),0)</f>
        <v>0</v>
      </c>
      <c r="AF178" s="6">
        <f>IF((F178&lt;&gt;"")*(F182=""),IF((F178&lt;=$B$440)*((F179&gt;=$C$440)+(F179&lt;2/24)),1,0),0)</f>
        <v>0</v>
      </c>
      <c r="AG178" s="6">
        <f>IF((G178&lt;&gt;"")*(G182=""),IF((G178&lt;=$B$440)*((G179&gt;=$C$440)+(G179&lt;2/24)),1,0),0)</f>
        <v>0</v>
      </c>
      <c r="AH178" s="6">
        <f>IF((H178&lt;&gt;"")*(H182=""),IF((H178&lt;=$B$440)*((H179&gt;=$C$440)+(H179&lt;2/24)),1,0),0)</f>
        <v>0</v>
      </c>
      <c r="AI178" s="6">
        <f>IF((I178&lt;&gt;"")*(I182=""),IF((I178&lt;=$B$440)*((I179&gt;=$C$440)+(I179&lt;2/24)),1,0),0)</f>
        <v>0</v>
      </c>
      <c r="AJ178" s="6">
        <f>IF((J178&lt;&gt;"")*(J182=""),IF((J178&lt;=$B$440)*((J179&gt;=$C$440)+(J179&lt;2/24)),1,0),0)</f>
        <v>0</v>
      </c>
    </row>
    <row r="179" spans="1:36" hidden="1" x14ac:dyDescent="0.2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  <c r="L179" s="6"/>
      <c r="M179" s="21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D179" s="6">
        <f>IF((D178&lt;&gt;"")*(D182=""),IF((D178&lt;=$B$441)*((D179&gt;=$C$441)+(D179&lt;2/24)),1,0),0)</f>
        <v>0</v>
      </c>
      <c r="AE179" s="6">
        <f>IF((E178&lt;&gt;"")*(E182=""),IF((E178&lt;=$B$441)*((E179&gt;=$C$441)+(E179&lt;2/24)),1,0),0)</f>
        <v>0</v>
      </c>
      <c r="AF179" s="6">
        <f>IF((F178&lt;&gt;"")*(F182=""),IF((F178&lt;=$B$441)*((F179&gt;=$C$441)+(F179&lt;2/24)),1,0),0)</f>
        <v>0</v>
      </c>
      <c r="AG179" s="6">
        <f>IF((G178&lt;&gt;"")*(G182=""),IF((G178&lt;=$B$441)*((G179&gt;=$C$441)+(G179&lt;2/24)),1,0),0)</f>
        <v>0</v>
      </c>
      <c r="AH179" s="6">
        <f>IF((H178&lt;&gt;"")*(H182=""),IF((H178&lt;=$B$441)*((H179&gt;=$C$441)+(H179&lt;2/24)),1,0),0)</f>
        <v>0</v>
      </c>
      <c r="AI179" s="6">
        <f>IF((I178&lt;&gt;"")*(I182=""),IF((I178&lt;=$B$441)*((I179&gt;=$C$441)+(I179&lt;2/24)),1,0),0)</f>
        <v>0</v>
      </c>
      <c r="AJ179" s="6">
        <f>IF((J178&lt;&gt;"")*(J182=""),IF((J178&lt;=$B$441)*((J179&gt;=$C$441)+(J179&lt;2/24)),1,0),0)</f>
        <v>0</v>
      </c>
    </row>
    <row r="180" spans="1:36" hidden="1" x14ac:dyDescent="0.2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D180" s="6">
        <f>IF((D178&lt;&gt;"")*(D182=""),IF((D178&lt;=$B$442)*((D179&gt;=$C$442)+(D179&lt;2/24)),1,0),0)</f>
        <v>0</v>
      </c>
      <c r="AE180" s="6">
        <f>IF((E178&lt;&gt;"")*(E182=""),IF((E178&lt;=$B$442)*((E179&gt;=$C$442)+(E179&lt;2/24)),1,0),0)</f>
        <v>0</v>
      </c>
      <c r="AF180" s="6">
        <f>IF((F178&lt;&gt;"")*(F182=""),IF((F178&lt;=$B$442)*((F179&gt;=$C$442)+(F179&lt;2/24)),1,0),0)</f>
        <v>0</v>
      </c>
      <c r="AG180" s="6">
        <f>IF((G178&lt;&gt;"")*(G182=""),IF((G178&lt;=$B$442)*((G179&gt;=$C$442)+(G179&lt;2/24)),1,0),0)</f>
        <v>0</v>
      </c>
      <c r="AH180" s="6">
        <f>IF((H178&lt;&gt;"")*(H182=""),IF((H178&lt;=$B$442)*((H179&gt;=$C$442)+(H179&lt;2/24)),1,0),0)</f>
        <v>0</v>
      </c>
      <c r="AI180" s="6">
        <f>IF((I178&lt;&gt;"")*(I182=""),IF((I178&lt;=$B$442)*((I179&gt;=$C$442)+(I179&lt;2/24)),1,0),0)</f>
        <v>0</v>
      </c>
      <c r="AJ180" s="6">
        <f>IF((J178&lt;&gt;"")*(J182=""),IF((J178&lt;=$B$442)*((J179&gt;=$C$442)+(J179&lt;2/24)),1,0),0)</f>
        <v>0</v>
      </c>
    </row>
    <row r="181" spans="1:36" hidden="1" x14ac:dyDescent="0.2">
      <c r="A181" s="39"/>
      <c r="B181" s="40"/>
      <c r="C181" s="15" t="s">
        <v>3</v>
      </c>
      <c r="D181" s="43"/>
      <c r="E181" s="43"/>
      <c r="F181" s="43"/>
      <c r="G181" s="43"/>
      <c r="H181" s="43"/>
      <c r="I181" s="43"/>
      <c r="J181" s="44"/>
      <c r="K181" s="18">
        <f>SUMIF(D182:J182,"",D181:J181)</f>
        <v>0</v>
      </c>
      <c r="L181" s="12">
        <f>SUM(D181:J181)</f>
        <v>0</v>
      </c>
      <c r="M181" s="24"/>
      <c r="N181" s="10">
        <f t="shared" ref="N181:T181" si="58">IF(D182="",D181,0)</f>
        <v>0</v>
      </c>
      <c r="O181" s="10">
        <f t="shared" si="58"/>
        <v>0</v>
      </c>
      <c r="P181" s="10">
        <f t="shared" si="58"/>
        <v>0</v>
      </c>
      <c r="Q181" s="10">
        <f t="shared" si="58"/>
        <v>0</v>
      </c>
      <c r="R181" s="10">
        <f t="shared" si="58"/>
        <v>0</v>
      </c>
      <c r="S181" s="10">
        <f t="shared" si="58"/>
        <v>0</v>
      </c>
      <c r="T181" s="10">
        <f t="shared" si="58"/>
        <v>0</v>
      </c>
      <c r="U181" s="10"/>
      <c r="V181" s="10">
        <f t="shared" ref="V181:AB181" si="59">D181</f>
        <v>0</v>
      </c>
      <c r="W181" s="10">
        <f t="shared" si="59"/>
        <v>0</v>
      </c>
      <c r="X181" s="10">
        <f t="shared" si="59"/>
        <v>0</v>
      </c>
      <c r="Y181" s="10">
        <f t="shared" si="59"/>
        <v>0</v>
      </c>
      <c r="Z181" s="10">
        <f t="shared" si="59"/>
        <v>0</v>
      </c>
      <c r="AA181" s="10">
        <f t="shared" si="59"/>
        <v>0</v>
      </c>
      <c r="AB181" s="10">
        <f t="shared" si="59"/>
        <v>0</v>
      </c>
      <c r="AD181" s="6">
        <f>IF((D178&lt;&gt;"")*(D182=""),IF((D178&lt;=$B$443)*((D179&gt;=$C$443)+(D179&lt;2/24)),1,0),0)</f>
        <v>0</v>
      </c>
      <c r="AE181" s="6">
        <f>IF((E178&lt;&gt;"")*(E182=""),IF((E178&lt;=$B$443)*((E179&gt;=$C$443)+(E179&lt;2/24)),1,0),0)</f>
        <v>0</v>
      </c>
      <c r="AF181" s="6">
        <f>IF((F178&lt;&gt;"")*(F182=""),IF((F178&lt;=$B$443)*((F179&gt;=$C$443)+(F179&lt;2/24)),1,0),0)</f>
        <v>0</v>
      </c>
      <c r="AG181" s="6">
        <f>IF((G178&lt;&gt;"")*(G182=""),IF((G178&lt;=$B$443)*((G179&gt;=$C$443)+(G179&lt;2/24)),1,0),0)</f>
        <v>0</v>
      </c>
      <c r="AH181" s="6">
        <f>IF((H178&lt;&gt;"")*(H182=""),IF((H178&lt;=$B$443)*((H179&gt;=$C$443)+(H179&lt;2/24)),1,0),0)</f>
        <v>0</v>
      </c>
      <c r="AI181" s="6">
        <f>IF((I178&lt;&gt;"")*(I182=""),IF((I178&lt;=$B$443)*((I179&gt;=$C$443)+(I179&lt;2/24)),1,0),0)</f>
        <v>0</v>
      </c>
      <c r="AJ181" s="6">
        <f>IF((J178&lt;&gt;"")*(J182=""),IF((J178&lt;=$B$443)*((J179&gt;=$C$443)+(J179&lt;2/24)),1,0),0)</f>
        <v>0</v>
      </c>
    </row>
    <row r="182" spans="1:36" hidden="1" x14ac:dyDescent="0.2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  <c r="N182" s="6"/>
      <c r="O182" s="6"/>
      <c r="P182" s="6"/>
      <c r="Q182" s="6"/>
      <c r="R182" s="6"/>
      <c r="S182" s="6"/>
      <c r="T182" s="6"/>
      <c r="U182" s="6"/>
      <c r="V182" s="20"/>
      <c r="W182" s="20"/>
      <c r="X182" s="20"/>
      <c r="Y182" s="20"/>
      <c r="Z182" s="20"/>
      <c r="AA182" s="20"/>
      <c r="AB182" s="20"/>
      <c r="AD182" s="6">
        <f>IF((D178&lt;&gt;"")*(D182=""),IF((D178&lt;=$B$444)*((D179&gt;=$C$444)+(D179&lt;2/24)),1,0),0)</f>
        <v>0</v>
      </c>
      <c r="AE182" s="6">
        <f>IF((E178&lt;&gt;"")*(E182=""),IF((E178&lt;=$B$444)*((E179&gt;=$C$444)+(E179&lt;2/24)),1,0),0)</f>
        <v>0</v>
      </c>
      <c r="AF182" s="6">
        <f>IF((F178&lt;&gt;"")*(F182=""),IF((F178&lt;=$B$444)*((F179&gt;=$C$444)+(F179&lt;2/24)),1,0),0)</f>
        <v>0</v>
      </c>
      <c r="AG182" s="6">
        <f>IF((G178&lt;&gt;"")*(G182=""),IF((G178&lt;=$B$444)*((G179&gt;=$C$444)+(G179&lt;2/24)),1,0),0)</f>
        <v>0</v>
      </c>
      <c r="AH182" s="6">
        <f>IF((H178&lt;&gt;"")*(H182=""),IF((H178&lt;=$B$444)*((H179&gt;=$C$444)+(H179&lt;2/24)),1,0),0)</f>
        <v>0</v>
      </c>
      <c r="AI182" s="6">
        <f>IF((I178&lt;&gt;"")*(I182=""),IF((I178&lt;=$B$444)*((I179&gt;=$C$444)+(I179&lt;2/24)),1,0),0)</f>
        <v>0</v>
      </c>
      <c r="AJ182" s="6">
        <f>IF((J178&lt;&gt;"")*(J182=""),IF((J178&lt;=$B$444)*((J179&gt;=$C$444)+(J179&lt;2/24)),1,0),0)</f>
        <v>0</v>
      </c>
    </row>
    <row r="183" spans="1:36" ht="13.5" hidden="1" thickBot="1" x14ac:dyDescent="0.25">
      <c r="A183" s="41"/>
      <c r="B183" s="42"/>
      <c r="C183" s="35" t="s">
        <v>28</v>
      </c>
      <c r="D183" s="36"/>
      <c r="E183" s="36"/>
      <c r="F183" s="36"/>
      <c r="G183" s="36"/>
      <c r="H183" s="36"/>
      <c r="I183" s="36"/>
      <c r="J183" s="36"/>
      <c r="K183" s="34"/>
      <c r="L183" s="6"/>
      <c r="M183" s="25"/>
      <c r="N183" s="6"/>
      <c r="O183" s="6"/>
      <c r="P183" s="6"/>
      <c r="Q183" s="6"/>
      <c r="R183" s="6"/>
      <c r="S183" s="6"/>
      <c r="T183" s="6"/>
      <c r="U183" s="6"/>
      <c r="V183" s="20"/>
      <c r="W183" s="20"/>
      <c r="X183" s="20"/>
      <c r="Y183" s="20"/>
      <c r="Z183" s="20"/>
      <c r="AA183" s="20"/>
      <c r="AB183" s="20"/>
      <c r="AD183" s="6"/>
      <c r="AE183" s="6"/>
      <c r="AF183" s="6"/>
      <c r="AG183" s="6"/>
      <c r="AH183" s="6"/>
      <c r="AI183" s="6"/>
      <c r="AJ183" s="6"/>
    </row>
    <row r="184" spans="1:36" hidden="1" x14ac:dyDescent="0.2">
      <c r="A184" s="37" t="s">
        <v>29</v>
      </c>
      <c r="B184" s="38" t="s">
        <v>30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  <c r="L184" s="6"/>
      <c r="M184" s="21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D184" s="6">
        <f>IF((D184&lt;&gt;"")*(D188=""),IF((D184&lt;=$B$440)*((D185&gt;=$C$440)+(D185&lt;2/24)),1,0),0)</f>
        <v>0</v>
      </c>
      <c r="AE184" s="6">
        <f>IF((E184&lt;&gt;"")*(E188=""),IF((E184&lt;=$B$440)*((E185&gt;=$C$440)+(E185&lt;2/24)),1,0),0)</f>
        <v>0</v>
      </c>
      <c r="AF184" s="6">
        <f>IF((F184&lt;&gt;"")*(F188=""),IF((F184&lt;=$B$440)*((F185&gt;=$C$440)+(F185&lt;2/24)),1,0),0)</f>
        <v>0</v>
      </c>
      <c r="AG184" s="6">
        <f>IF((G184&lt;&gt;"")*(G188=""),IF((G184&lt;=$B$440)*((G185&gt;=$C$440)+(G185&lt;2/24)),1,0),0)</f>
        <v>0</v>
      </c>
      <c r="AH184" s="6">
        <f>IF((H184&lt;&gt;"")*(H188=""),IF((H184&lt;=$B$440)*((H185&gt;=$C$440)+(H185&lt;2/24)),1,0),0)</f>
        <v>0</v>
      </c>
      <c r="AI184" s="6">
        <f>IF((I184&lt;&gt;"")*(I188=""),IF((I184&lt;=$B$440)*((I185&gt;=$C$440)+(I185&lt;2/24)),1,0),0)</f>
        <v>0</v>
      </c>
      <c r="AJ184" s="6">
        <f>IF((J184&lt;&gt;"")*(J188=""),IF((J184&lt;=$B$440)*((J185&gt;=$C$440)+(J185&lt;2/24)),1,0),0)</f>
        <v>0</v>
      </c>
    </row>
    <row r="185" spans="1:36" hidden="1" x14ac:dyDescent="0.2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  <c r="L185" s="6"/>
      <c r="M185" s="21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D185" s="6">
        <f>IF((D184&lt;&gt;"")*(D188=""),IF((D184&lt;=$B$441)*((D185&gt;=$C$441)+(D185&lt;2/24)),1,0),0)</f>
        <v>0</v>
      </c>
      <c r="AE185" s="6">
        <f>IF((E184&lt;&gt;"")*(E188=""),IF((E184&lt;=$B$441)*((E185&gt;=$C$441)+(E185&lt;2/24)),1,0),0)</f>
        <v>0</v>
      </c>
      <c r="AF185" s="6">
        <f>IF((F184&lt;&gt;"")*(F188=""),IF((F184&lt;=$B$441)*((F185&gt;=$C$441)+(F185&lt;2/24)),1,0),0)</f>
        <v>0</v>
      </c>
      <c r="AG185" s="6">
        <f>IF((G184&lt;&gt;"")*(G188=""),IF((G184&lt;=$B$441)*((G185&gt;=$C$441)+(G185&lt;2/24)),1,0),0)</f>
        <v>0</v>
      </c>
      <c r="AH185" s="6">
        <f>IF((H184&lt;&gt;"")*(H188=""),IF((H184&lt;=$B$441)*((H185&gt;=$C$441)+(H185&lt;2/24)),1,0),0)</f>
        <v>0</v>
      </c>
      <c r="AI185" s="6">
        <f>IF((I184&lt;&gt;"")*(I188=""),IF((I184&lt;=$B$441)*((I185&gt;=$C$441)+(I185&lt;2/24)),1,0),0)</f>
        <v>0</v>
      </c>
      <c r="AJ185" s="6">
        <f>IF((J184&lt;&gt;"")*(J188=""),IF((J184&lt;=$B$441)*((J185&gt;=$C$441)+(J185&lt;2/24)),1,0),0)</f>
        <v>0</v>
      </c>
    </row>
    <row r="186" spans="1:36" hidden="1" x14ac:dyDescent="0.2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  <c r="L186" s="6"/>
      <c r="M186" s="21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D186" s="6">
        <f>IF((D184&lt;&gt;"")*(D188=""),IF((D184&lt;=$B$442)*((D185&gt;=$C$442)+(D185&lt;2/24)),1,0),0)</f>
        <v>0</v>
      </c>
      <c r="AE186" s="6">
        <f>IF((E184&lt;&gt;"")*(E188=""),IF((E184&lt;=$B$442)*((E185&gt;=$C$442)+(E185&lt;2/24)),1,0),0)</f>
        <v>0</v>
      </c>
      <c r="AF186" s="6">
        <f>IF((F184&lt;&gt;"")*(F188=""),IF((F184&lt;=$B$442)*((F185&gt;=$C$442)+(F185&lt;2/24)),1,0),0)</f>
        <v>0</v>
      </c>
      <c r="AG186" s="6">
        <f>IF((G184&lt;&gt;"")*(G188=""),IF((G184&lt;=$B$442)*((G185&gt;=$C$442)+(G185&lt;2/24)),1,0),0)</f>
        <v>0</v>
      </c>
      <c r="AH186" s="6">
        <f>IF((H184&lt;&gt;"")*(H188=""),IF((H184&lt;=$B$442)*((H185&gt;=$C$442)+(H185&lt;2/24)),1,0),0)</f>
        <v>0</v>
      </c>
      <c r="AI186" s="6">
        <f>IF((I184&lt;&gt;"")*(I188=""),IF((I184&lt;=$B$442)*((I185&gt;=$C$442)+(I185&lt;2/24)),1,0),0)</f>
        <v>0</v>
      </c>
      <c r="AJ186" s="6">
        <f>IF((J184&lt;&gt;"")*(J188=""),IF((J184&lt;=$B$442)*((J185&gt;=$C$442)+(J185&lt;2/24)),1,0),0)</f>
        <v>0</v>
      </c>
    </row>
    <row r="187" spans="1:36" hidden="1" x14ac:dyDescent="0.2">
      <c r="A187" s="39"/>
      <c r="B187" s="40"/>
      <c r="C187" s="15" t="s">
        <v>3</v>
      </c>
      <c r="D187" s="43"/>
      <c r="E187" s="43"/>
      <c r="F187" s="43"/>
      <c r="G187" s="43"/>
      <c r="H187" s="43"/>
      <c r="I187" s="43"/>
      <c r="J187" s="44"/>
      <c r="K187" s="18">
        <f>SUMIF(D188:J188,"",D187:J187)</f>
        <v>0</v>
      </c>
      <c r="L187" s="12">
        <f>SUM(D187:J187)</f>
        <v>0</v>
      </c>
      <c r="M187" s="24"/>
      <c r="N187" s="10">
        <f t="shared" ref="N187:T187" si="60">IF(D188="",D187,0)</f>
        <v>0</v>
      </c>
      <c r="O187" s="10">
        <f t="shared" si="60"/>
        <v>0</v>
      </c>
      <c r="P187" s="10">
        <f t="shared" si="60"/>
        <v>0</v>
      </c>
      <c r="Q187" s="10">
        <f t="shared" si="60"/>
        <v>0</v>
      </c>
      <c r="R187" s="10">
        <f t="shared" si="60"/>
        <v>0</v>
      </c>
      <c r="S187" s="10">
        <f t="shared" si="60"/>
        <v>0</v>
      </c>
      <c r="T187" s="10">
        <f t="shared" si="60"/>
        <v>0</v>
      </c>
      <c r="U187" s="10"/>
      <c r="V187" s="10">
        <f t="shared" ref="V187:AB187" si="61">D187</f>
        <v>0</v>
      </c>
      <c r="W187" s="10">
        <f t="shared" si="61"/>
        <v>0</v>
      </c>
      <c r="X187" s="10">
        <f t="shared" si="61"/>
        <v>0</v>
      </c>
      <c r="Y187" s="10">
        <f t="shared" si="61"/>
        <v>0</v>
      </c>
      <c r="Z187" s="10">
        <f t="shared" si="61"/>
        <v>0</v>
      </c>
      <c r="AA187" s="10">
        <f t="shared" si="61"/>
        <v>0</v>
      </c>
      <c r="AB187" s="10">
        <f t="shared" si="61"/>
        <v>0</v>
      </c>
      <c r="AD187" s="6">
        <f>IF((D184&lt;&gt;"")*(D188=""),IF((D184&lt;=$B$443)*((D185&gt;=$C$443)+(D185&lt;2/24)),1,0),0)</f>
        <v>0</v>
      </c>
      <c r="AE187" s="6">
        <f>IF((E184&lt;&gt;"")*(E188=""),IF((E184&lt;=$B$443)*((E185&gt;=$C$443)+(E185&lt;2/24)),1,0),0)</f>
        <v>0</v>
      </c>
      <c r="AF187" s="6">
        <f>IF((F184&lt;&gt;"")*(F188=""),IF((F184&lt;=$B$443)*((F185&gt;=$C$443)+(F185&lt;2/24)),1,0),0)</f>
        <v>0</v>
      </c>
      <c r="AG187" s="6">
        <f>IF((G184&lt;&gt;"")*(G188=""),IF((G184&lt;=$B$443)*((G185&gt;=$C$443)+(G185&lt;2/24)),1,0),0)</f>
        <v>0</v>
      </c>
      <c r="AH187" s="6">
        <f>IF((H184&lt;&gt;"")*(H188=""),IF((H184&lt;=$B$443)*((H185&gt;=$C$443)+(H185&lt;2/24)),1,0),0)</f>
        <v>0</v>
      </c>
      <c r="AI187" s="6">
        <f>IF((I184&lt;&gt;"")*(I188=""),IF((I184&lt;=$B$443)*((I185&gt;=$C$443)+(I185&lt;2/24)),1,0),0)</f>
        <v>0</v>
      </c>
      <c r="AJ187" s="6">
        <f>IF((J184&lt;&gt;"")*(J188=""),IF((J184&lt;=$B$443)*((J185&gt;=$C$443)+(J185&lt;2/24)),1,0),0)</f>
        <v>0</v>
      </c>
    </row>
    <row r="188" spans="1:36" hidden="1" x14ac:dyDescent="0.2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  <c r="N188" s="6"/>
      <c r="O188" s="6"/>
      <c r="P188" s="6"/>
      <c r="Q188" s="6"/>
      <c r="R188" s="6"/>
      <c r="S188" s="6"/>
      <c r="T188" s="6"/>
      <c r="U188" s="6"/>
      <c r="V188" s="20"/>
      <c r="W188" s="20"/>
      <c r="X188" s="20"/>
      <c r="Y188" s="20"/>
      <c r="Z188" s="20"/>
      <c r="AA188" s="20"/>
      <c r="AB188" s="20"/>
      <c r="AD188" s="6">
        <f>IF((D184&lt;&gt;"")*(D188=""),IF((D184&lt;=$B$444)*((D185&gt;=$C$444)+(D185&lt;2/24)),1,0),0)</f>
        <v>0</v>
      </c>
      <c r="AE188" s="6">
        <f>IF((E184&lt;&gt;"")*(E188=""),IF((E184&lt;=$B$444)*((E185&gt;=$C$444)+(E185&lt;2/24)),1,0),0)</f>
        <v>0</v>
      </c>
      <c r="AF188" s="6">
        <f>IF((F184&lt;&gt;"")*(F188=""),IF((F184&lt;=$B$444)*((F185&gt;=$C$444)+(F185&lt;2/24)),1,0),0)</f>
        <v>0</v>
      </c>
      <c r="AG188" s="6">
        <f>IF((G184&lt;&gt;"")*(G188=""),IF((G184&lt;=$B$444)*((G185&gt;=$C$444)+(G185&lt;2/24)),1,0),0)</f>
        <v>0</v>
      </c>
      <c r="AH188" s="6">
        <f>IF((H184&lt;&gt;"")*(H188=""),IF((H184&lt;=$B$444)*((H185&gt;=$C$444)+(H185&lt;2/24)),1,0),0)</f>
        <v>0</v>
      </c>
      <c r="AI188" s="6">
        <f>IF((I184&lt;&gt;"")*(I188=""),IF((I184&lt;=$B$444)*((I185&gt;=$C$444)+(I185&lt;2/24)),1,0),0)</f>
        <v>0</v>
      </c>
      <c r="AJ188" s="6">
        <f>IF((J184&lt;&gt;"")*(J188=""),IF((J184&lt;=$B$444)*((J185&gt;=$C$444)+(J185&lt;2/24)),1,0),0)</f>
        <v>0</v>
      </c>
    </row>
    <row r="189" spans="1:36" ht="13.5" hidden="1" thickBot="1" x14ac:dyDescent="0.25">
      <c r="A189" s="41"/>
      <c r="B189" s="42"/>
      <c r="C189" s="35" t="s">
        <v>28</v>
      </c>
      <c r="D189" s="36"/>
      <c r="E189" s="36"/>
      <c r="F189" s="36"/>
      <c r="G189" s="36"/>
      <c r="H189" s="36"/>
      <c r="I189" s="36"/>
      <c r="J189" s="36"/>
      <c r="K189" s="34"/>
      <c r="L189" s="6"/>
      <c r="M189" s="25"/>
      <c r="N189" s="6"/>
      <c r="O189" s="6"/>
      <c r="P189" s="6"/>
      <c r="Q189" s="6"/>
      <c r="R189" s="6"/>
      <c r="S189" s="6"/>
      <c r="T189" s="6"/>
      <c r="U189" s="6"/>
      <c r="V189" s="20"/>
      <c r="W189" s="20"/>
      <c r="X189" s="20"/>
      <c r="Y189" s="20"/>
      <c r="Z189" s="20"/>
      <c r="AA189" s="20"/>
      <c r="AB189" s="20"/>
      <c r="AD189" s="6"/>
      <c r="AE189" s="6"/>
      <c r="AF189" s="6"/>
      <c r="AG189" s="6"/>
      <c r="AH189" s="6"/>
      <c r="AI189" s="6"/>
      <c r="AJ189" s="6"/>
    </row>
    <row r="190" spans="1:36" hidden="1" x14ac:dyDescent="0.2">
      <c r="A190" s="37" t="s">
        <v>29</v>
      </c>
      <c r="B190" s="38" t="s">
        <v>30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  <c r="L190" s="6"/>
      <c r="M190" s="21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D190" s="6">
        <f>IF((D190&lt;&gt;"")*(D194=""),IF((D190&lt;=$B$440)*((D191&gt;=$C$440)+(D191&lt;2/24)),1,0),0)</f>
        <v>0</v>
      </c>
      <c r="AE190" s="6">
        <f>IF((E190&lt;&gt;"")*(E194=""),IF((E190&lt;=$B$440)*((E191&gt;=$C$440)+(E191&lt;2/24)),1,0),0)</f>
        <v>0</v>
      </c>
      <c r="AF190" s="6">
        <f>IF((F190&lt;&gt;"")*(F194=""),IF((F190&lt;=$B$440)*((F191&gt;=$C$440)+(F191&lt;2/24)),1,0),0)</f>
        <v>0</v>
      </c>
      <c r="AG190" s="6">
        <f>IF((G190&lt;&gt;"")*(G194=""),IF((G190&lt;=$B$440)*((G191&gt;=$C$440)+(G191&lt;2/24)),1,0),0)</f>
        <v>0</v>
      </c>
      <c r="AH190" s="6">
        <f>IF((H190&lt;&gt;"")*(H194=""),IF((H190&lt;=$B$440)*((H191&gt;=$C$440)+(H191&lt;2/24)),1,0),0)</f>
        <v>0</v>
      </c>
      <c r="AI190" s="6">
        <f>IF((I190&lt;&gt;"")*(I194=""),IF((I190&lt;=$B$440)*((I191&gt;=$C$440)+(I191&lt;2/24)),1,0),0)</f>
        <v>0</v>
      </c>
      <c r="AJ190" s="6">
        <f>IF((J190&lt;&gt;"")*(J194=""),IF((J190&lt;=$B$440)*((J191&gt;=$C$440)+(J191&lt;2/24)),1,0),0)</f>
        <v>0</v>
      </c>
    </row>
    <row r="191" spans="1:36" hidden="1" x14ac:dyDescent="0.2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  <c r="L191" s="6"/>
      <c r="M191" s="21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D191" s="6">
        <f>IF((D190&lt;&gt;"")*(D194=""),IF((D190&lt;=$B$441)*((D191&gt;=$C$441)+(D191&lt;2/24)),1,0),0)</f>
        <v>0</v>
      </c>
      <c r="AE191" s="6">
        <f>IF((E190&lt;&gt;"")*(E194=""),IF((E190&lt;=$B$441)*((E191&gt;=$C$441)+(E191&lt;2/24)),1,0),0)</f>
        <v>0</v>
      </c>
      <c r="AF191" s="6">
        <f>IF((F190&lt;&gt;"")*(F194=""),IF((F190&lt;=$B$441)*((F191&gt;=$C$441)+(F191&lt;2/24)),1,0),0)</f>
        <v>0</v>
      </c>
      <c r="AG191" s="6">
        <f>IF((G190&lt;&gt;"")*(G194=""),IF((G190&lt;=$B$441)*((G191&gt;=$C$441)+(G191&lt;2/24)),1,0),0)</f>
        <v>0</v>
      </c>
      <c r="AH191" s="6">
        <f>IF((H190&lt;&gt;"")*(H194=""),IF((H190&lt;=$B$441)*((H191&gt;=$C$441)+(H191&lt;2/24)),1,0),0)</f>
        <v>0</v>
      </c>
      <c r="AI191" s="6">
        <f>IF((I190&lt;&gt;"")*(I194=""),IF((I190&lt;=$B$441)*((I191&gt;=$C$441)+(I191&lt;2/24)),1,0),0)</f>
        <v>0</v>
      </c>
      <c r="AJ191" s="6">
        <f>IF((J190&lt;&gt;"")*(J194=""),IF((J190&lt;=$B$441)*((J191&gt;=$C$441)+(J191&lt;2/24)),1,0),0)</f>
        <v>0</v>
      </c>
    </row>
    <row r="192" spans="1:36" hidden="1" x14ac:dyDescent="0.2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  <c r="L192" s="6"/>
      <c r="M192" s="21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D192" s="6">
        <f>IF((D190&lt;&gt;"")*(D194=""),IF((D190&lt;=$B$442)*((D191&gt;=$C$442)+(D191&lt;2/24)),1,0),0)</f>
        <v>0</v>
      </c>
      <c r="AE192" s="6">
        <f>IF((E190&lt;&gt;"")*(E194=""),IF((E190&lt;=$B$442)*((E191&gt;=$C$442)+(E191&lt;2/24)),1,0),0)</f>
        <v>0</v>
      </c>
      <c r="AF192" s="6">
        <f>IF((F190&lt;&gt;"")*(F194=""),IF((F190&lt;=$B$442)*((F191&gt;=$C$442)+(F191&lt;2/24)),1,0),0)</f>
        <v>0</v>
      </c>
      <c r="AG192" s="6">
        <f>IF((G190&lt;&gt;"")*(G194=""),IF((G190&lt;=$B$442)*((G191&gt;=$C$442)+(G191&lt;2/24)),1,0),0)</f>
        <v>0</v>
      </c>
      <c r="AH192" s="6">
        <f>IF((H190&lt;&gt;"")*(H194=""),IF((H190&lt;=$B$442)*((H191&gt;=$C$442)+(H191&lt;2/24)),1,0),0)</f>
        <v>0</v>
      </c>
      <c r="AI192" s="6">
        <f>IF((I190&lt;&gt;"")*(I194=""),IF((I190&lt;=$B$442)*((I191&gt;=$C$442)+(I191&lt;2/24)),1,0),0)</f>
        <v>0</v>
      </c>
      <c r="AJ192" s="6">
        <f>IF((J190&lt;&gt;"")*(J194=""),IF((J190&lt;=$B$442)*((J191&gt;=$C$442)+(J191&lt;2/24)),1,0),0)</f>
        <v>0</v>
      </c>
    </row>
    <row r="193" spans="1:36" hidden="1" x14ac:dyDescent="0.2">
      <c r="A193" s="39"/>
      <c r="B193" s="40"/>
      <c r="C193" s="15" t="s">
        <v>3</v>
      </c>
      <c r="D193" s="43"/>
      <c r="E193" s="43"/>
      <c r="F193" s="43"/>
      <c r="G193" s="43"/>
      <c r="H193" s="43"/>
      <c r="I193" s="43"/>
      <c r="J193" s="44"/>
      <c r="K193" s="18">
        <f>SUMIF(D194:J194,"",D193:J193)</f>
        <v>0</v>
      </c>
      <c r="L193" s="12">
        <f>SUM(D193:J193)</f>
        <v>0</v>
      </c>
      <c r="M193" s="24"/>
      <c r="N193" s="10">
        <f t="shared" ref="N193:T193" si="62">IF(D194="",D193,0)</f>
        <v>0</v>
      </c>
      <c r="O193" s="10">
        <f t="shared" si="62"/>
        <v>0</v>
      </c>
      <c r="P193" s="10">
        <f t="shared" si="62"/>
        <v>0</v>
      </c>
      <c r="Q193" s="10">
        <f t="shared" si="62"/>
        <v>0</v>
      </c>
      <c r="R193" s="10">
        <f t="shared" si="62"/>
        <v>0</v>
      </c>
      <c r="S193" s="10">
        <f t="shared" si="62"/>
        <v>0</v>
      </c>
      <c r="T193" s="10">
        <f t="shared" si="62"/>
        <v>0</v>
      </c>
      <c r="U193" s="10"/>
      <c r="V193" s="10">
        <f t="shared" ref="V193:AB193" si="63">D193</f>
        <v>0</v>
      </c>
      <c r="W193" s="10">
        <f t="shared" si="63"/>
        <v>0</v>
      </c>
      <c r="X193" s="10">
        <f t="shared" si="63"/>
        <v>0</v>
      </c>
      <c r="Y193" s="10">
        <f t="shared" si="63"/>
        <v>0</v>
      </c>
      <c r="Z193" s="10">
        <f t="shared" si="63"/>
        <v>0</v>
      </c>
      <c r="AA193" s="10">
        <f t="shared" si="63"/>
        <v>0</v>
      </c>
      <c r="AB193" s="10">
        <f t="shared" si="63"/>
        <v>0</v>
      </c>
      <c r="AD193" s="6">
        <f>IF((D190&lt;&gt;"")*(D194=""),IF((D190&lt;=$B$443)*((D191&gt;=$C$443)+(D191&lt;2/24)),1,0),0)</f>
        <v>0</v>
      </c>
      <c r="AE193" s="6">
        <f>IF((E190&lt;&gt;"")*(E194=""),IF((E190&lt;=$B$443)*((E191&gt;=$C$443)+(E191&lt;2/24)),1,0),0)</f>
        <v>0</v>
      </c>
      <c r="AF193" s="6">
        <f>IF((F190&lt;&gt;"")*(F194=""),IF((F190&lt;=$B$443)*((F191&gt;=$C$443)+(F191&lt;2/24)),1,0),0)</f>
        <v>0</v>
      </c>
      <c r="AG193" s="6">
        <f>IF((G190&lt;&gt;"")*(G194=""),IF((G190&lt;=$B$443)*((G191&gt;=$C$443)+(G191&lt;2/24)),1,0),0)</f>
        <v>0</v>
      </c>
      <c r="AH193" s="6">
        <f>IF((H190&lt;&gt;"")*(H194=""),IF((H190&lt;=$B$443)*((H191&gt;=$C$443)+(H191&lt;2/24)),1,0),0)</f>
        <v>0</v>
      </c>
      <c r="AI193" s="6">
        <f>IF((I190&lt;&gt;"")*(I194=""),IF((I190&lt;=$B$443)*((I191&gt;=$C$443)+(I191&lt;2/24)),1,0),0)</f>
        <v>0</v>
      </c>
      <c r="AJ193" s="6">
        <f>IF((J190&lt;&gt;"")*(J194=""),IF((J190&lt;=$B$443)*((J191&gt;=$C$443)+(J191&lt;2/24)),1,0),0)</f>
        <v>0</v>
      </c>
    </row>
    <row r="194" spans="1:36" hidden="1" x14ac:dyDescent="0.2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  <c r="N194" s="6"/>
      <c r="O194" s="6"/>
      <c r="P194" s="6"/>
      <c r="Q194" s="6"/>
      <c r="R194" s="6"/>
      <c r="S194" s="6"/>
      <c r="T194" s="6"/>
      <c r="U194" s="6"/>
      <c r="V194" s="20"/>
      <c r="W194" s="20"/>
      <c r="X194" s="20"/>
      <c r="Y194" s="20"/>
      <c r="Z194" s="20"/>
      <c r="AA194" s="20"/>
      <c r="AB194" s="20"/>
      <c r="AD194" s="6">
        <f>IF((D190&lt;&gt;"")*(D194=""),IF((D190&lt;=$B$444)*((D191&gt;=$C$444)+(D191&lt;2/24)),1,0),0)</f>
        <v>0</v>
      </c>
      <c r="AE194" s="6">
        <f>IF((E190&lt;&gt;"")*(E194=""),IF((E190&lt;=$B$444)*((E191&gt;=$C$444)+(E191&lt;2/24)),1,0),0)</f>
        <v>0</v>
      </c>
      <c r="AF194" s="6">
        <f>IF((F190&lt;&gt;"")*(F194=""),IF((F190&lt;=$B$444)*((F191&gt;=$C$444)+(F191&lt;2/24)),1,0),0)</f>
        <v>0</v>
      </c>
      <c r="AG194" s="6">
        <f>IF((G190&lt;&gt;"")*(G194=""),IF((G190&lt;=$B$444)*((G191&gt;=$C$444)+(G191&lt;2/24)),1,0),0)</f>
        <v>0</v>
      </c>
      <c r="AH194" s="6">
        <f>IF((H190&lt;&gt;"")*(H194=""),IF((H190&lt;=$B$444)*((H191&gt;=$C$444)+(H191&lt;2/24)),1,0),0)</f>
        <v>0</v>
      </c>
      <c r="AI194" s="6">
        <f>IF((I190&lt;&gt;"")*(I194=""),IF((I190&lt;=$B$444)*((I191&gt;=$C$444)+(I191&lt;2/24)),1,0),0)</f>
        <v>0</v>
      </c>
      <c r="AJ194" s="6">
        <f>IF((J190&lt;&gt;"")*(J194=""),IF((J190&lt;=$B$444)*((J191&gt;=$C$444)+(J191&lt;2/24)),1,0),0)</f>
        <v>0</v>
      </c>
    </row>
    <row r="195" spans="1:36" ht="13.5" hidden="1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  <c r="N195" s="6"/>
      <c r="O195" s="6"/>
      <c r="P195" s="6"/>
      <c r="Q195" s="6"/>
      <c r="R195" s="6"/>
      <c r="S195" s="6"/>
      <c r="T195" s="6"/>
      <c r="U195" s="6"/>
      <c r="V195" s="20"/>
      <c r="W195" s="20"/>
      <c r="X195" s="20"/>
      <c r="Y195" s="20"/>
      <c r="Z195" s="20"/>
      <c r="AA195" s="20"/>
      <c r="AB195" s="20"/>
      <c r="AD195" s="6"/>
      <c r="AE195" s="6"/>
      <c r="AF195" s="6"/>
      <c r="AG195" s="6"/>
      <c r="AH195" s="6"/>
      <c r="AI195" s="6"/>
      <c r="AJ195" s="6"/>
    </row>
    <row r="196" spans="1:36" hidden="1" x14ac:dyDescent="0.2">
      <c r="A196" s="37" t="s">
        <v>29</v>
      </c>
      <c r="B196" s="38" t="s">
        <v>30</v>
      </c>
      <c r="C196" s="14" t="s">
        <v>0</v>
      </c>
      <c r="D196" s="26"/>
      <c r="E196" s="26"/>
      <c r="F196" s="26"/>
      <c r="G196" s="26"/>
      <c r="H196" s="26"/>
      <c r="I196" s="26"/>
      <c r="J196" s="26"/>
      <c r="K196" s="16"/>
      <c r="L196" s="6"/>
      <c r="M196" s="21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D196" s="6">
        <f>IF((D196&lt;&gt;"")*(D200=""),IF((D196&lt;=$B$440)*((D197&gt;=$C$440)+(D197&lt;2/24)),1,0),0)</f>
        <v>0</v>
      </c>
      <c r="AE196" s="6">
        <f>IF((E196&lt;&gt;"")*(E200=""),IF((E196&lt;=$B$440)*((E197&gt;=$C$440)+(E197&lt;2/24)),1,0),0)</f>
        <v>0</v>
      </c>
      <c r="AF196" s="6">
        <f>IF((F196&lt;&gt;"")*(F200=""),IF((F196&lt;=$B$440)*((F197&gt;=$C$440)+(F197&lt;2/24)),1,0),0)</f>
        <v>0</v>
      </c>
      <c r="AG196" s="6">
        <f>IF((G196&lt;&gt;"")*(G200=""),IF((G196&lt;=$B$440)*((G197&gt;=$C$440)+(G197&lt;2/24)),1,0),0)</f>
        <v>0</v>
      </c>
      <c r="AH196" s="6">
        <f>IF((H196&lt;&gt;"")*(H200=""),IF((H196&lt;=$B$440)*((H197&gt;=$C$440)+(H197&lt;2/24)),1,0),0)</f>
        <v>0</v>
      </c>
      <c r="AI196" s="6">
        <f>IF((I196&lt;&gt;"")*(I200=""),IF((I196&lt;=$B$440)*((I197&gt;=$C$440)+(I197&lt;2/24)),1,0),0)</f>
        <v>0</v>
      </c>
      <c r="AJ196" s="6">
        <f>IF((J196&lt;&gt;"")*(J200=""),IF((J196&lt;=$B$440)*((J197&gt;=$C$440)+(J197&lt;2/24)),1,0),0)</f>
        <v>0</v>
      </c>
    </row>
    <row r="197" spans="1:36" hidden="1" x14ac:dyDescent="0.2">
      <c r="A197" s="39"/>
      <c r="B197" s="40"/>
      <c r="C197" s="15" t="s">
        <v>1</v>
      </c>
      <c r="D197" s="27"/>
      <c r="E197" s="27"/>
      <c r="F197" s="27"/>
      <c r="G197" s="27"/>
      <c r="H197" s="27"/>
      <c r="I197" s="27"/>
      <c r="J197" s="27"/>
      <c r="K197" s="17"/>
      <c r="L197" s="6"/>
      <c r="M197" s="21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D197" s="6">
        <f>IF((D196&lt;&gt;"")*(D200=""),IF((D196&lt;=$B$441)*((D197&gt;=$C$441)+(D197&lt;2/24)),1,0),0)</f>
        <v>0</v>
      </c>
      <c r="AE197" s="6">
        <f>IF((E196&lt;&gt;"")*(E200=""),IF((E196&lt;=$B$441)*((E197&gt;=$C$441)+(E197&lt;2/24)),1,0),0)</f>
        <v>0</v>
      </c>
      <c r="AF197" s="6">
        <f>IF((F196&lt;&gt;"")*(F200=""),IF((F196&lt;=$B$441)*((F197&gt;=$C$441)+(F197&lt;2/24)),1,0),0)</f>
        <v>0</v>
      </c>
      <c r="AG197" s="6">
        <f>IF((G196&lt;&gt;"")*(G200=""),IF((G196&lt;=$B$441)*((G197&gt;=$C$441)+(G197&lt;2/24)),1,0),0)</f>
        <v>0</v>
      </c>
      <c r="AH197" s="6">
        <f>IF((H196&lt;&gt;"")*(H200=""),IF((H196&lt;=$B$441)*((H197&gt;=$C$441)+(H197&lt;2/24)),1,0),0)</f>
        <v>0</v>
      </c>
      <c r="AI197" s="6">
        <f>IF((I196&lt;&gt;"")*(I200=""),IF((I196&lt;=$B$441)*((I197&gt;=$C$441)+(I197&lt;2/24)),1,0),0)</f>
        <v>0</v>
      </c>
      <c r="AJ197" s="6">
        <f>IF((J196&lt;&gt;"")*(J200=""),IF((J196&lt;=$B$441)*((J197&gt;=$C$441)+(J197&lt;2/24)),1,0),0)</f>
        <v>0</v>
      </c>
    </row>
    <row r="198" spans="1:36" hidden="1" x14ac:dyDescent="0.2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  <c r="L198" s="6"/>
      <c r="M198" s="21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D198" s="6">
        <f>IF((D196&lt;&gt;"")*(D200=""),IF((D196&lt;=$B$442)*((D197&gt;=$C$442)+(D197&lt;2/24)),1,0),0)</f>
        <v>0</v>
      </c>
      <c r="AE198" s="6">
        <f>IF((E196&lt;&gt;"")*(E200=""),IF((E196&lt;=$B$442)*((E197&gt;=$C$442)+(E197&lt;2/24)),1,0),0)</f>
        <v>0</v>
      </c>
      <c r="AF198" s="6">
        <f>IF((F196&lt;&gt;"")*(F200=""),IF((F196&lt;=$B$442)*((F197&gt;=$C$442)+(F197&lt;2/24)),1,0),0)</f>
        <v>0</v>
      </c>
      <c r="AG198" s="6">
        <f>IF((G196&lt;&gt;"")*(G200=""),IF((G196&lt;=$B$442)*((G197&gt;=$C$442)+(G197&lt;2/24)),1,0),0)</f>
        <v>0</v>
      </c>
      <c r="AH198" s="6">
        <f>IF((H196&lt;&gt;"")*(H200=""),IF((H196&lt;=$B$442)*((H197&gt;=$C$442)+(H197&lt;2/24)),1,0),0)</f>
        <v>0</v>
      </c>
      <c r="AI198" s="6">
        <f>IF((I196&lt;&gt;"")*(I200=""),IF((I196&lt;=$B$442)*((I197&gt;=$C$442)+(I197&lt;2/24)),1,0),0)</f>
        <v>0</v>
      </c>
      <c r="AJ198" s="6">
        <f>IF((J196&lt;&gt;"")*(J200=""),IF((J196&lt;=$B$442)*((J197&gt;=$C$442)+(J197&lt;2/24)),1,0),0)</f>
        <v>0</v>
      </c>
    </row>
    <row r="199" spans="1:36" hidden="1" x14ac:dyDescent="0.2">
      <c r="A199" s="39"/>
      <c r="B199" s="40"/>
      <c r="C199" s="15" t="s">
        <v>3</v>
      </c>
      <c r="D199" s="43"/>
      <c r="E199" s="43"/>
      <c r="F199" s="43"/>
      <c r="G199" s="43"/>
      <c r="H199" s="43"/>
      <c r="I199" s="43"/>
      <c r="J199" s="44"/>
      <c r="K199" s="18">
        <f>SUMIF(D200:J200,"",D199:J199)</f>
        <v>0</v>
      </c>
      <c r="L199" s="12">
        <f>SUM(D199:J199)</f>
        <v>0</v>
      </c>
      <c r="M199" s="24"/>
      <c r="N199" s="10">
        <f t="shared" ref="N199:T199" si="64">IF(D200="",D199,0)</f>
        <v>0</v>
      </c>
      <c r="O199" s="10">
        <f t="shared" si="64"/>
        <v>0</v>
      </c>
      <c r="P199" s="10">
        <f t="shared" si="64"/>
        <v>0</v>
      </c>
      <c r="Q199" s="10">
        <f t="shared" si="64"/>
        <v>0</v>
      </c>
      <c r="R199" s="10">
        <f t="shared" si="64"/>
        <v>0</v>
      </c>
      <c r="S199" s="10">
        <f t="shared" si="64"/>
        <v>0</v>
      </c>
      <c r="T199" s="10">
        <f t="shared" si="64"/>
        <v>0</v>
      </c>
      <c r="U199" s="10"/>
      <c r="V199" s="10">
        <f t="shared" ref="V199:AB199" si="65">D199</f>
        <v>0</v>
      </c>
      <c r="W199" s="10">
        <f t="shared" si="65"/>
        <v>0</v>
      </c>
      <c r="X199" s="10">
        <f t="shared" si="65"/>
        <v>0</v>
      </c>
      <c r="Y199" s="10">
        <f t="shared" si="65"/>
        <v>0</v>
      </c>
      <c r="Z199" s="10">
        <f t="shared" si="65"/>
        <v>0</v>
      </c>
      <c r="AA199" s="10">
        <f t="shared" si="65"/>
        <v>0</v>
      </c>
      <c r="AB199" s="10">
        <f t="shared" si="65"/>
        <v>0</v>
      </c>
      <c r="AD199" s="6">
        <f>IF((D196&lt;&gt;"")*(D200=""),IF((D196&lt;=$B$443)*((D197&gt;=$C$443)+(D197&lt;2/24)),1,0),0)</f>
        <v>0</v>
      </c>
      <c r="AE199" s="6">
        <f>IF((E196&lt;&gt;"")*(E200=""),IF((E196&lt;=$B$443)*((E197&gt;=$C$443)+(E197&lt;2/24)),1,0),0)</f>
        <v>0</v>
      </c>
      <c r="AF199" s="6">
        <f>IF((F196&lt;&gt;"")*(F200=""),IF((F196&lt;=$B$443)*((F197&gt;=$C$443)+(F197&lt;2/24)),1,0),0)</f>
        <v>0</v>
      </c>
      <c r="AG199" s="6">
        <f>IF((G196&lt;&gt;"")*(G200=""),IF((G196&lt;=$B$443)*((G197&gt;=$C$443)+(G197&lt;2/24)),1,0),0)</f>
        <v>0</v>
      </c>
      <c r="AH199" s="6">
        <f>IF((H196&lt;&gt;"")*(H200=""),IF((H196&lt;=$B$443)*((H197&gt;=$C$443)+(H197&lt;2/24)),1,0),0)</f>
        <v>0</v>
      </c>
      <c r="AI199" s="6">
        <f>IF((I196&lt;&gt;"")*(I200=""),IF((I196&lt;=$B$443)*((I197&gt;=$C$443)+(I197&lt;2/24)),1,0),0)</f>
        <v>0</v>
      </c>
      <c r="AJ199" s="6">
        <f>IF((J196&lt;&gt;"")*(J200=""),IF((J196&lt;=$B$443)*((J197&gt;=$C$443)+(J197&lt;2/24)),1,0),0)</f>
        <v>0</v>
      </c>
    </row>
    <row r="200" spans="1:36" hidden="1" x14ac:dyDescent="0.2">
      <c r="A200" s="39"/>
      <c r="B200" s="40"/>
      <c r="C200" s="32" t="s">
        <v>4</v>
      </c>
      <c r="D200" s="33"/>
      <c r="E200" s="33"/>
      <c r="F200" s="33"/>
      <c r="G200" s="33"/>
      <c r="H200" s="33"/>
      <c r="I200" s="33"/>
      <c r="J200" s="33"/>
      <c r="K200" s="17"/>
      <c r="L200" s="6"/>
      <c r="M200" s="25"/>
      <c r="N200" s="6"/>
      <c r="O200" s="6"/>
      <c r="P200" s="6"/>
      <c r="Q200" s="6"/>
      <c r="R200" s="6"/>
      <c r="S200" s="6"/>
      <c r="T200" s="6"/>
      <c r="U200" s="6"/>
      <c r="V200" s="20"/>
      <c r="W200" s="20"/>
      <c r="X200" s="20"/>
      <c r="Y200" s="20"/>
      <c r="Z200" s="20"/>
      <c r="AA200" s="20"/>
      <c r="AB200" s="20"/>
      <c r="AD200" s="6">
        <f>IF((D196&lt;&gt;"")*(D200=""),IF((D196&lt;=$B$444)*((D197&gt;=$C$444)+(D197&lt;2/24)),1,0),0)</f>
        <v>0</v>
      </c>
      <c r="AE200" s="6">
        <f>IF((E196&lt;&gt;"")*(E200=""),IF((E196&lt;=$B$444)*((E197&gt;=$C$444)+(E197&lt;2/24)),1,0),0)</f>
        <v>0</v>
      </c>
      <c r="AF200" s="6">
        <f>IF((F196&lt;&gt;"")*(F200=""),IF((F196&lt;=$B$444)*((F197&gt;=$C$444)+(F197&lt;2/24)),1,0),0)</f>
        <v>0</v>
      </c>
      <c r="AG200" s="6">
        <f>IF((G196&lt;&gt;"")*(G200=""),IF((G196&lt;=$B$444)*((G197&gt;=$C$444)+(G197&lt;2/24)),1,0),0)</f>
        <v>0</v>
      </c>
      <c r="AH200" s="6">
        <f>IF((H196&lt;&gt;"")*(H200=""),IF((H196&lt;=$B$444)*((H197&gt;=$C$444)+(H197&lt;2/24)),1,0),0)</f>
        <v>0</v>
      </c>
      <c r="AI200" s="6">
        <f>IF((I196&lt;&gt;"")*(I200=""),IF((I196&lt;=$B$444)*((I197&gt;=$C$444)+(I197&lt;2/24)),1,0),0)</f>
        <v>0</v>
      </c>
      <c r="AJ200" s="6">
        <f>IF((J196&lt;&gt;"")*(J200=""),IF((J196&lt;=$B$444)*((J197&gt;=$C$444)+(J197&lt;2/24)),1,0),0)</f>
        <v>0</v>
      </c>
    </row>
    <row r="201" spans="1:36" ht="13.5" hidden="1" thickBot="1" x14ac:dyDescent="0.25">
      <c r="A201" s="41"/>
      <c r="B201" s="42"/>
      <c r="C201" s="35" t="s">
        <v>28</v>
      </c>
      <c r="D201" s="36"/>
      <c r="E201" s="36"/>
      <c r="F201" s="36"/>
      <c r="G201" s="36"/>
      <c r="H201" s="36"/>
      <c r="I201" s="36"/>
      <c r="J201" s="36"/>
      <c r="K201" s="34"/>
      <c r="L201" s="6"/>
      <c r="M201" s="25"/>
      <c r="N201" s="6"/>
      <c r="O201" s="6"/>
      <c r="P201" s="6"/>
      <c r="Q201" s="6"/>
      <c r="R201" s="6"/>
      <c r="S201" s="6"/>
      <c r="T201" s="6"/>
      <c r="U201" s="6"/>
      <c r="V201" s="20"/>
      <c r="W201" s="20"/>
      <c r="X201" s="20"/>
      <c r="Y201" s="20"/>
      <c r="Z201" s="20"/>
      <c r="AA201" s="20"/>
      <c r="AB201" s="20"/>
      <c r="AD201" s="6"/>
      <c r="AE201" s="6"/>
      <c r="AF201" s="6"/>
      <c r="AG201" s="6"/>
      <c r="AH201" s="6"/>
      <c r="AI201" s="6"/>
      <c r="AJ201" s="6"/>
    </row>
    <row r="202" spans="1:36" hidden="1" x14ac:dyDescent="0.2">
      <c r="A202" s="37" t="s">
        <v>29</v>
      </c>
      <c r="B202" s="38" t="s">
        <v>30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  <c r="L202" s="6"/>
      <c r="M202" s="21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D202" s="6">
        <f>IF((D202&lt;&gt;"")*(D206=""),IF((D202&lt;=$B$440)*((D203&gt;=$C$440)+(D203&lt;2/24)),1,0),0)</f>
        <v>0</v>
      </c>
      <c r="AE202" s="6">
        <f>IF((E202&lt;&gt;"")*(E206=""),IF((E202&lt;=$B$440)*((E203&gt;=$C$440)+(E203&lt;2/24)),1,0),0)</f>
        <v>0</v>
      </c>
      <c r="AF202" s="6">
        <f>IF((F202&lt;&gt;"")*(F206=""),IF((F202&lt;=$B$440)*((F203&gt;=$C$440)+(F203&lt;2/24)),1,0),0)</f>
        <v>0</v>
      </c>
      <c r="AG202" s="6">
        <f>IF((G202&lt;&gt;"")*(G206=""),IF((G202&lt;=$B$440)*((G203&gt;=$C$440)+(G203&lt;2/24)),1,0),0)</f>
        <v>0</v>
      </c>
      <c r="AH202" s="6">
        <f>IF((H202&lt;&gt;"")*(H206=""),IF((H202&lt;=$B$440)*((H203&gt;=$C$440)+(H203&lt;2/24)),1,0),0)</f>
        <v>0</v>
      </c>
      <c r="AI202" s="6">
        <f>IF((I202&lt;&gt;"")*(I206=""),IF((I202&lt;=$B$440)*((I203&gt;=$C$440)+(I203&lt;2/24)),1,0),0)</f>
        <v>0</v>
      </c>
      <c r="AJ202" s="6">
        <f>IF((J202&lt;&gt;"")*(J206=""),IF((J202&lt;=$B$440)*((J203&gt;=$C$440)+(J203&lt;2/24)),1,0),0)</f>
        <v>0</v>
      </c>
    </row>
    <row r="203" spans="1:36" hidden="1" x14ac:dyDescent="0.2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  <c r="L203" s="6"/>
      <c r="M203" s="21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D203" s="6">
        <f>IF((D202&lt;&gt;"")*(D206=""),IF((D202&lt;=$B$441)*((D203&gt;=$C$441)+(D203&lt;2/24)),1,0),0)</f>
        <v>0</v>
      </c>
      <c r="AE203" s="6">
        <f>IF((E202&lt;&gt;"")*(E206=""),IF((E202&lt;=$B$441)*((E203&gt;=$C$441)+(E203&lt;2/24)),1,0),0)</f>
        <v>0</v>
      </c>
      <c r="AF203" s="6">
        <f>IF((F202&lt;&gt;"")*(F206=""),IF((F202&lt;=$B$441)*((F203&gt;=$C$441)+(F203&lt;2/24)),1,0),0)</f>
        <v>0</v>
      </c>
      <c r="AG203" s="6">
        <f>IF((G202&lt;&gt;"")*(G206=""),IF((G202&lt;=$B$441)*((G203&gt;=$C$441)+(G203&lt;2/24)),1,0),0)</f>
        <v>0</v>
      </c>
      <c r="AH203" s="6">
        <f>IF((H202&lt;&gt;"")*(H206=""),IF((H202&lt;=$B$441)*((H203&gt;=$C$441)+(H203&lt;2/24)),1,0),0)</f>
        <v>0</v>
      </c>
      <c r="AI203" s="6">
        <f>IF((I202&lt;&gt;"")*(I206=""),IF((I202&lt;=$B$441)*((I203&gt;=$C$441)+(I203&lt;2/24)),1,0),0)</f>
        <v>0</v>
      </c>
      <c r="AJ203" s="6">
        <f>IF((J202&lt;&gt;"")*(J206=""),IF((J202&lt;=$B$441)*((J203&gt;=$C$441)+(J203&lt;2/24)),1,0),0)</f>
        <v>0</v>
      </c>
    </row>
    <row r="204" spans="1:36" hidden="1" x14ac:dyDescent="0.2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  <c r="L204" s="6"/>
      <c r="M204" s="21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D204" s="6">
        <f>IF((D202&lt;&gt;"")*(D206=""),IF((D202&lt;=$B$442)*((D203&gt;=$C$442)+(D203&lt;2/24)),1,0),0)</f>
        <v>0</v>
      </c>
      <c r="AE204" s="6">
        <f>IF((E202&lt;&gt;"")*(E206=""),IF((E202&lt;=$B$442)*((E203&gt;=$C$442)+(E203&lt;2/24)),1,0),0)</f>
        <v>0</v>
      </c>
      <c r="AF204" s="6">
        <f>IF((F202&lt;&gt;"")*(F206=""),IF((F202&lt;=$B$442)*((F203&gt;=$C$442)+(F203&lt;2/24)),1,0),0)</f>
        <v>0</v>
      </c>
      <c r="AG204" s="6">
        <f>IF((G202&lt;&gt;"")*(G206=""),IF((G202&lt;=$B$442)*((G203&gt;=$C$442)+(G203&lt;2/24)),1,0),0)</f>
        <v>0</v>
      </c>
      <c r="AH204" s="6">
        <f>IF((H202&lt;&gt;"")*(H206=""),IF((H202&lt;=$B$442)*((H203&gt;=$C$442)+(H203&lt;2/24)),1,0),0)</f>
        <v>0</v>
      </c>
      <c r="AI204" s="6">
        <f>IF((I202&lt;&gt;"")*(I206=""),IF((I202&lt;=$B$442)*((I203&gt;=$C$442)+(I203&lt;2/24)),1,0),0)</f>
        <v>0</v>
      </c>
      <c r="AJ204" s="6">
        <f>IF((J202&lt;&gt;"")*(J206=""),IF((J202&lt;=$B$442)*((J203&gt;=$C$442)+(J203&lt;2/24)),1,0),0)</f>
        <v>0</v>
      </c>
    </row>
    <row r="205" spans="1:36" hidden="1" x14ac:dyDescent="0.2">
      <c r="A205" s="39"/>
      <c r="B205" s="40"/>
      <c r="C205" s="15" t="s">
        <v>3</v>
      </c>
      <c r="D205" s="43"/>
      <c r="E205" s="43"/>
      <c r="F205" s="43"/>
      <c r="G205" s="43"/>
      <c r="H205" s="43"/>
      <c r="I205" s="43"/>
      <c r="J205" s="44"/>
      <c r="K205" s="18">
        <f>SUMIF(D206:J206,"",D205:J205)</f>
        <v>0</v>
      </c>
      <c r="L205" s="12">
        <f>SUM(D205:J205)</f>
        <v>0</v>
      </c>
      <c r="M205" s="24"/>
      <c r="N205" s="10">
        <f t="shared" ref="N205:T205" si="66">IF(D206="",D205,0)</f>
        <v>0</v>
      </c>
      <c r="O205" s="10">
        <f t="shared" si="66"/>
        <v>0</v>
      </c>
      <c r="P205" s="10">
        <f t="shared" si="66"/>
        <v>0</v>
      </c>
      <c r="Q205" s="10">
        <f t="shared" si="66"/>
        <v>0</v>
      </c>
      <c r="R205" s="10">
        <f t="shared" si="66"/>
        <v>0</v>
      </c>
      <c r="S205" s="10">
        <f t="shared" si="66"/>
        <v>0</v>
      </c>
      <c r="T205" s="10">
        <f t="shared" si="66"/>
        <v>0</v>
      </c>
      <c r="U205" s="10"/>
      <c r="V205" s="10">
        <f t="shared" ref="V205:AB205" si="67">D205</f>
        <v>0</v>
      </c>
      <c r="W205" s="10">
        <f t="shared" si="67"/>
        <v>0</v>
      </c>
      <c r="X205" s="10">
        <f t="shared" si="67"/>
        <v>0</v>
      </c>
      <c r="Y205" s="10">
        <f t="shared" si="67"/>
        <v>0</v>
      </c>
      <c r="Z205" s="10">
        <f t="shared" si="67"/>
        <v>0</v>
      </c>
      <c r="AA205" s="10">
        <f t="shared" si="67"/>
        <v>0</v>
      </c>
      <c r="AB205" s="10">
        <f t="shared" si="67"/>
        <v>0</v>
      </c>
      <c r="AD205" s="6">
        <f>IF((D202&lt;&gt;"")*(D206=""),IF((D202&lt;=$B$443)*((D203&gt;=$C$443)+(D203&lt;2/24)),1,0),0)</f>
        <v>0</v>
      </c>
      <c r="AE205" s="6">
        <f>IF((E202&lt;&gt;"")*(E206=""),IF((E202&lt;=$B$443)*((E203&gt;=$C$443)+(E203&lt;2/24)),1,0),0)</f>
        <v>0</v>
      </c>
      <c r="AF205" s="6">
        <f>IF((F202&lt;&gt;"")*(F206=""),IF((F202&lt;=$B$443)*((F203&gt;=$C$443)+(F203&lt;2/24)),1,0),0)</f>
        <v>0</v>
      </c>
      <c r="AG205" s="6">
        <f>IF((G202&lt;&gt;"")*(G206=""),IF((G202&lt;=$B$443)*((G203&gt;=$C$443)+(G203&lt;2/24)),1,0),0)</f>
        <v>0</v>
      </c>
      <c r="AH205" s="6">
        <f>IF((H202&lt;&gt;"")*(H206=""),IF((H202&lt;=$B$443)*((H203&gt;=$C$443)+(H203&lt;2/24)),1,0),0)</f>
        <v>0</v>
      </c>
      <c r="AI205" s="6">
        <f>IF((I202&lt;&gt;"")*(I206=""),IF((I202&lt;=$B$443)*((I203&gt;=$C$443)+(I203&lt;2/24)),1,0),0)</f>
        <v>0</v>
      </c>
      <c r="AJ205" s="6">
        <f>IF((J202&lt;&gt;"")*(J206=""),IF((J202&lt;=$B$443)*((J203&gt;=$C$443)+(J203&lt;2/24)),1,0),0)</f>
        <v>0</v>
      </c>
    </row>
    <row r="206" spans="1:36" hidden="1" x14ac:dyDescent="0.2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  <c r="N206" s="6"/>
      <c r="O206" s="6"/>
      <c r="P206" s="6"/>
      <c r="Q206" s="6"/>
      <c r="R206" s="6"/>
      <c r="S206" s="6"/>
      <c r="T206" s="6"/>
      <c r="U206" s="6"/>
      <c r="V206" s="20"/>
      <c r="W206" s="20"/>
      <c r="X206" s="20"/>
      <c r="Y206" s="20"/>
      <c r="Z206" s="20"/>
      <c r="AA206" s="20"/>
      <c r="AB206" s="20"/>
      <c r="AD206" s="6">
        <f>IF((D202&lt;&gt;"")*(D206=""),IF((D202&lt;=$B$444)*((D203&gt;=$C$444)+(D203&lt;2/24)),1,0),0)</f>
        <v>0</v>
      </c>
      <c r="AE206" s="6">
        <f>IF((E202&lt;&gt;"")*(E206=""),IF((E202&lt;=$B$444)*((E203&gt;=$C$444)+(E203&lt;2/24)),1,0),0)</f>
        <v>0</v>
      </c>
      <c r="AF206" s="6">
        <f>IF((F202&lt;&gt;"")*(F206=""),IF((F202&lt;=$B$444)*((F203&gt;=$C$444)+(F203&lt;2/24)),1,0),0)</f>
        <v>0</v>
      </c>
      <c r="AG206" s="6">
        <f>IF((G202&lt;&gt;"")*(G206=""),IF((G202&lt;=$B$444)*((G203&gt;=$C$444)+(G203&lt;2/24)),1,0),0)</f>
        <v>0</v>
      </c>
      <c r="AH206" s="6">
        <f>IF((H202&lt;&gt;"")*(H206=""),IF((H202&lt;=$B$444)*((H203&gt;=$C$444)+(H203&lt;2/24)),1,0),0)</f>
        <v>0</v>
      </c>
      <c r="AI206" s="6">
        <f>IF((I202&lt;&gt;"")*(I206=""),IF((I202&lt;=$B$444)*((I203&gt;=$C$444)+(I203&lt;2/24)),1,0),0)</f>
        <v>0</v>
      </c>
      <c r="AJ206" s="6">
        <f>IF((J202&lt;&gt;"")*(J206=""),IF((J202&lt;=$B$444)*((J203&gt;=$C$444)+(J203&lt;2/24)),1,0),0)</f>
        <v>0</v>
      </c>
    </row>
    <row r="207" spans="1:36" ht="13.5" hidden="1" thickBot="1" x14ac:dyDescent="0.25">
      <c r="A207" s="41"/>
      <c r="B207" s="42"/>
      <c r="C207" s="35" t="s">
        <v>28</v>
      </c>
      <c r="D207" s="36"/>
      <c r="E207" s="36"/>
      <c r="F207" s="36"/>
      <c r="G207" s="36"/>
      <c r="H207" s="36"/>
      <c r="I207" s="36"/>
      <c r="J207" s="36"/>
      <c r="K207" s="34"/>
      <c r="L207" s="6"/>
      <c r="M207" s="25"/>
      <c r="N207" s="6"/>
      <c r="O207" s="6"/>
      <c r="P207" s="6"/>
      <c r="Q207" s="6"/>
      <c r="R207" s="6"/>
      <c r="S207" s="6"/>
      <c r="T207" s="6"/>
      <c r="U207" s="6"/>
      <c r="V207" s="20"/>
      <c r="W207" s="20"/>
      <c r="X207" s="20"/>
      <c r="Y207" s="20"/>
      <c r="Z207" s="20"/>
      <c r="AA207" s="20"/>
      <c r="AB207" s="20"/>
      <c r="AD207" s="6"/>
      <c r="AE207" s="6"/>
      <c r="AF207" s="6"/>
      <c r="AG207" s="6"/>
      <c r="AH207" s="6"/>
      <c r="AI207" s="6"/>
      <c r="AJ207" s="6"/>
    </row>
    <row r="208" spans="1:36" hidden="1" x14ac:dyDescent="0.2">
      <c r="A208" s="37" t="s">
        <v>29</v>
      </c>
      <c r="B208" s="38" t="s">
        <v>30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  <c r="L208" s="6"/>
      <c r="M208" s="21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D208" s="6">
        <f>IF((D208&lt;&gt;"")*(D212=""),IF((D208&lt;=$B$440)*((D209&gt;=$C$440)+(D209&lt;2/24)),1,0),0)</f>
        <v>0</v>
      </c>
      <c r="AE208" s="6">
        <f>IF((E208&lt;&gt;"")*(E212=""),IF((E208&lt;=$B$440)*((E209&gt;=$C$440)+(E209&lt;2/24)),1,0),0)</f>
        <v>0</v>
      </c>
      <c r="AF208" s="6">
        <f>IF((F208&lt;&gt;"")*(F212=""),IF((F208&lt;=$B$440)*((F209&gt;=$C$440)+(F209&lt;2/24)),1,0),0)</f>
        <v>0</v>
      </c>
      <c r="AG208" s="6">
        <f>IF((G208&lt;&gt;"")*(G212=""),IF((G208&lt;=$B$440)*((G209&gt;=$C$440)+(G209&lt;2/24)),1,0),0)</f>
        <v>0</v>
      </c>
      <c r="AH208" s="6">
        <f>IF((H208&lt;&gt;"")*(H212=""),IF((H208&lt;=$B$440)*((H209&gt;=$C$440)+(H209&lt;2/24)),1,0),0)</f>
        <v>0</v>
      </c>
      <c r="AI208" s="6">
        <f>IF((I208&lt;&gt;"")*(I212=""),IF((I208&lt;=$B$440)*((I209&gt;=$C$440)+(I209&lt;2/24)),1,0),0)</f>
        <v>0</v>
      </c>
      <c r="AJ208" s="6">
        <f>IF((J208&lt;&gt;"")*(J212=""),IF((J208&lt;=$B$440)*((J209&gt;=$C$440)+(J209&lt;2/24)),1,0),0)</f>
        <v>0</v>
      </c>
    </row>
    <row r="209" spans="1:36" hidden="1" x14ac:dyDescent="0.2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  <c r="L209" s="6"/>
      <c r="M209" s="21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D209" s="6">
        <f>IF((D208&lt;&gt;"")*(D212=""),IF((D208&lt;=$B$441)*((D209&gt;=$C$441)+(D209&lt;2/24)),1,0),0)</f>
        <v>0</v>
      </c>
      <c r="AE209" s="6">
        <f>IF((E208&lt;&gt;"")*(E212=""),IF((E208&lt;=$B$441)*((E209&gt;=$C$441)+(E209&lt;2/24)),1,0),0)</f>
        <v>0</v>
      </c>
      <c r="AF209" s="6">
        <f>IF((F208&lt;&gt;"")*(F212=""),IF((F208&lt;=$B$441)*((F209&gt;=$C$441)+(F209&lt;2/24)),1,0),0)</f>
        <v>0</v>
      </c>
      <c r="AG209" s="6">
        <f>IF((G208&lt;&gt;"")*(G212=""),IF((G208&lt;=$B$441)*((G209&gt;=$C$441)+(G209&lt;2/24)),1,0),0)</f>
        <v>0</v>
      </c>
      <c r="AH209" s="6">
        <f>IF((H208&lt;&gt;"")*(H212=""),IF((H208&lt;=$B$441)*((H209&gt;=$C$441)+(H209&lt;2/24)),1,0),0)</f>
        <v>0</v>
      </c>
      <c r="AI209" s="6">
        <f>IF((I208&lt;&gt;"")*(I212=""),IF((I208&lt;=$B$441)*((I209&gt;=$C$441)+(I209&lt;2/24)),1,0),0)</f>
        <v>0</v>
      </c>
      <c r="AJ209" s="6">
        <f>IF((J208&lt;&gt;"")*(J212=""),IF((J208&lt;=$B$441)*((J209&gt;=$C$441)+(J209&lt;2/24)),1,0),0)</f>
        <v>0</v>
      </c>
    </row>
    <row r="210" spans="1:36" hidden="1" x14ac:dyDescent="0.2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  <c r="L210" s="6"/>
      <c r="M210" s="21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D210" s="6">
        <f>IF((D208&lt;&gt;"")*(D212=""),IF((D208&lt;=$B$442)*((D209&gt;=$C$442)+(D209&lt;2/24)),1,0),0)</f>
        <v>0</v>
      </c>
      <c r="AE210" s="6">
        <f>IF((E208&lt;&gt;"")*(E212=""),IF((E208&lt;=$B$442)*((E209&gt;=$C$442)+(E209&lt;2/24)),1,0),0)</f>
        <v>0</v>
      </c>
      <c r="AF210" s="6">
        <f>IF((F208&lt;&gt;"")*(F212=""),IF((F208&lt;=$B$442)*((F209&gt;=$C$442)+(F209&lt;2/24)),1,0),0)</f>
        <v>0</v>
      </c>
      <c r="AG210" s="6">
        <f>IF((G208&lt;&gt;"")*(G212=""),IF((G208&lt;=$B$442)*((G209&gt;=$C$442)+(G209&lt;2/24)),1,0),0)</f>
        <v>0</v>
      </c>
      <c r="AH210" s="6">
        <f>IF((H208&lt;&gt;"")*(H212=""),IF((H208&lt;=$B$442)*((H209&gt;=$C$442)+(H209&lt;2/24)),1,0),0)</f>
        <v>0</v>
      </c>
      <c r="AI210" s="6">
        <f>IF((I208&lt;&gt;"")*(I212=""),IF((I208&lt;=$B$442)*((I209&gt;=$C$442)+(I209&lt;2/24)),1,0),0)</f>
        <v>0</v>
      </c>
      <c r="AJ210" s="6">
        <f>IF((J208&lt;&gt;"")*(J212=""),IF((J208&lt;=$B$442)*((J209&gt;=$C$442)+(J209&lt;2/24)),1,0),0)</f>
        <v>0</v>
      </c>
    </row>
    <row r="211" spans="1:36" hidden="1" x14ac:dyDescent="0.2">
      <c r="A211" s="39"/>
      <c r="B211" s="40"/>
      <c r="C211" s="15" t="s">
        <v>3</v>
      </c>
      <c r="D211" s="43"/>
      <c r="E211" s="43"/>
      <c r="F211" s="43"/>
      <c r="G211" s="43"/>
      <c r="H211" s="43"/>
      <c r="I211" s="43"/>
      <c r="J211" s="44"/>
      <c r="K211" s="18">
        <f>SUMIF(D212:J212,"",D211:J211)</f>
        <v>0</v>
      </c>
      <c r="L211" s="12">
        <f>SUM(D211:J211)</f>
        <v>0</v>
      </c>
      <c r="M211" s="24"/>
      <c r="N211" s="10">
        <f t="shared" ref="N211:T211" si="68">IF(D212="",D211,0)</f>
        <v>0</v>
      </c>
      <c r="O211" s="10">
        <f t="shared" si="68"/>
        <v>0</v>
      </c>
      <c r="P211" s="10">
        <f t="shared" si="68"/>
        <v>0</v>
      </c>
      <c r="Q211" s="10">
        <f t="shared" si="68"/>
        <v>0</v>
      </c>
      <c r="R211" s="10">
        <f t="shared" si="68"/>
        <v>0</v>
      </c>
      <c r="S211" s="10">
        <f t="shared" si="68"/>
        <v>0</v>
      </c>
      <c r="T211" s="10">
        <f t="shared" si="68"/>
        <v>0</v>
      </c>
      <c r="U211" s="10"/>
      <c r="V211" s="10">
        <f t="shared" ref="V211:AB211" si="69">D211</f>
        <v>0</v>
      </c>
      <c r="W211" s="10">
        <f t="shared" si="69"/>
        <v>0</v>
      </c>
      <c r="X211" s="10">
        <f t="shared" si="69"/>
        <v>0</v>
      </c>
      <c r="Y211" s="10">
        <f t="shared" si="69"/>
        <v>0</v>
      </c>
      <c r="Z211" s="10">
        <f t="shared" si="69"/>
        <v>0</v>
      </c>
      <c r="AA211" s="10">
        <f t="shared" si="69"/>
        <v>0</v>
      </c>
      <c r="AB211" s="10">
        <f t="shared" si="69"/>
        <v>0</v>
      </c>
      <c r="AD211" s="6">
        <f>IF((D208&lt;&gt;"")*(D212=""),IF((D208&lt;=$B$443)*((D209&gt;=$C$443)+(D209&lt;2/24)),1,0),0)</f>
        <v>0</v>
      </c>
      <c r="AE211" s="6">
        <f>IF((E208&lt;&gt;"")*(E212=""),IF((E208&lt;=$B$443)*((E209&gt;=$C$443)+(E209&lt;2/24)),1,0),0)</f>
        <v>0</v>
      </c>
      <c r="AF211" s="6">
        <f>IF((F208&lt;&gt;"")*(F212=""),IF((F208&lt;=$B$443)*((F209&gt;=$C$443)+(F209&lt;2/24)),1,0),0)</f>
        <v>0</v>
      </c>
      <c r="AG211" s="6">
        <f>IF((G208&lt;&gt;"")*(G212=""),IF((G208&lt;=$B$443)*((G209&gt;=$C$443)+(G209&lt;2/24)),1,0),0)</f>
        <v>0</v>
      </c>
      <c r="AH211" s="6">
        <f>IF((H208&lt;&gt;"")*(H212=""),IF((H208&lt;=$B$443)*((H209&gt;=$C$443)+(H209&lt;2/24)),1,0),0)</f>
        <v>0</v>
      </c>
      <c r="AI211" s="6">
        <f>IF((I208&lt;&gt;"")*(I212=""),IF((I208&lt;=$B$443)*((I209&gt;=$C$443)+(I209&lt;2/24)),1,0),0)</f>
        <v>0</v>
      </c>
      <c r="AJ211" s="6">
        <f>IF((J208&lt;&gt;"")*(J212=""),IF((J208&lt;=$B$443)*((J209&gt;=$C$443)+(J209&lt;2/24)),1,0),0)</f>
        <v>0</v>
      </c>
    </row>
    <row r="212" spans="1:36" hidden="1" x14ac:dyDescent="0.2">
      <c r="A212" s="39"/>
      <c r="B212" s="40"/>
      <c r="C212" s="32" t="s">
        <v>4</v>
      </c>
      <c r="D212" s="33"/>
      <c r="E212" s="33"/>
      <c r="F212" s="33"/>
      <c r="G212" s="33"/>
      <c r="H212" s="33"/>
      <c r="I212" s="33"/>
      <c r="J212" s="33"/>
      <c r="K212" s="17"/>
      <c r="L212" s="6"/>
      <c r="M212" s="25"/>
      <c r="N212" s="6"/>
      <c r="O212" s="6"/>
      <c r="P212" s="6"/>
      <c r="Q212" s="6"/>
      <c r="R212" s="6"/>
      <c r="S212" s="6"/>
      <c r="T212" s="6"/>
      <c r="U212" s="6"/>
      <c r="V212" s="20"/>
      <c r="W212" s="20"/>
      <c r="X212" s="20"/>
      <c r="Y212" s="20"/>
      <c r="Z212" s="20"/>
      <c r="AA212" s="20"/>
      <c r="AB212" s="20"/>
      <c r="AD212" s="6">
        <f>IF((D208&lt;&gt;"")*(D212=""),IF((D208&lt;=$B$444)*((D209&gt;=$C$444)+(D209&lt;2/24)),1,0),0)</f>
        <v>0</v>
      </c>
      <c r="AE212" s="6">
        <f>IF((E208&lt;&gt;"")*(E212=""),IF((E208&lt;=$B$444)*((E209&gt;=$C$444)+(E209&lt;2/24)),1,0),0)</f>
        <v>0</v>
      </c>
      <c r="AF212" s="6">
        <f>IF((F208&lt;&gt;"")*(F212=""),IF((F208&lt;=$B$444)*((F209&gt;=$C$444)+(F209&lt;2/24)),1,0),0)</f>
        <v>0</v>
      </c>
      <c r="AG212" s="6">
        <f>IF((G208&lt;&gt;"")*(G212=""),IF((G208&lt;=$B$444)*((G209&gt;=$C$444)+(G209&lt;2/24)),1,0),0)</f>
        <v>0</v>
      </c>
      <c r="AH212" s="6">
        <f>IF((H208&lt;&gt;"")*(H212=""),IF((H208&lt;=$B$444)*((H209&gt;=$C$444)+(H209&lt;2/24)),1,0),0)</f>
        <v>0</v>
      </c>
      <c r="AI212" s="6">
        <f>IF((I208&lt;&gt;"")*(I212=""),IF((I208&lt;=$B$444)*((I209&gt;=$C$444)+(I209&lt;2/24)),1,0),0)</f>
        <v>0</v>
      </c>
      <c r="AJ212" s="6">
        <f>IF((J208&lt;&gt;"")*(J212=""),IF((J208&lt;=$B$444)*((J209&gt;=$C$444)+(J209&lt;2/24)),1,0),0)</f>
        <v>0</v>
      </c>
    </row>
    <row r="213" spans="1:36" ht="13.5" hidden="1" thickBot="1" x14ac:dyDescent="0.25">
      <c r="A213" s="41"/>
      <c r="B213" s="42"/>
      <c r="C213" s="35" t="s">
        <v>28</v>
      </c>
      <c r="D213" s="36"/>
      <c r="E213" s="36"/>
      <c r="F213" s="36"/>
      <c r="G213" s="36"/>
      <c r="H213" s="36"/>
      <c r="I213" s="36"/>
      <c r="J213" s="36"/>
      <c r="K213" s="34"/>
      <c r="L213" s="6"/>
      <c r="M213" s="25"/>
      <c r="N213" s="6"/>
      <c r="O213" s="6"/>
      <c r="P213" s="6"/>
      <c r="Q213" s="6"/>
      <c r="R213" s="6"/>
      <c r="S213" s="6"/>
      <c r="T213" s="6"/>
      <c r="U213" s="6"/>
      <c r="V213" s="20"/>
      <c r="W213" s="20"/>
      <c r="X213" s="20"/>
      <c r="Y213" s="20"/>
      <c r="Z213" s="20"/>
      <c r="AA213" s="20"/>
      <c r="AB213" s="20"/>
      <c r="AD213" s="6"/>
      <c r="AE213" s="6"/>
      <c r="AF213" s="6"/>
      <c r="AG213" s="6"/>
      <c r="AH213" s="6"/>
      <c r="AI213" s="6"/>
      <c r="AJ213" s="6"/>
    </row>
    <row r="214" spans="1:36" hidden="1" x14ac:dyDescent="0.2">
      <c r="A214" s="37" t="s">
        <v>29</v>
      </c>
      <c r="B214" s="38" t="s">
        <v>30</v>
      </c>
      <c r="C214" s="14" t="s">
        <v>0</v>
      </c>
      <c r="D214" s="26"/>
      <c r="E214" s="26"/>
      <c r="F214" s="26"/>
      <c r="G214" s="26"/>
      <c r="H214" s="26"/>
      <c r="I214" s="26"/>
      <c r="J214" s="26"/>
      <c r="K214" s="16"/>
      <c r="L214" s="6"/>
      <c r="M214" s="21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D214" s="6">
        <f>IF((D214&lt;&gt;"")*(D218=""),IF((D214&lt;=$B$440)*((D215&gt;=$C$440)+(D215&lt;2/24)),1,0),0)</f>
        <v>0</v>
      </c>
      <c r="AE214" s="6">
        <f>IF((E214&lt;&gt;"")*(E218=""),IF((E214&lt;=$B$440)*((E215&gt;=$C$440)+(E215&lt;2/24)),1,0),0)</f>
        <v>0</v>
      </c>
      <c r="AF214" s="6">
        <f>IF((F214&lt;&gt;"")*(F218=""),IF((F214&lt;=$B$440)*((F215&gt;=$C$440)+(F215&lt;2/24)),1,0),0)</f>
        <v>0</v>
      </c>
      <c r="AG214" s="6">
        <f>IF((G214&lt;&gt;"")*(G218=""),IF((G214&lt;=$B$440)*((G215&gt;=$C$440)+(G215&lt;2/24)),1,0),0)</f>
        <v>0</v>
      </c>
      <c r="AH214" s="6">
        <f>IF((H214&lt;&gt;"")*(H218=""),IF((H214&lt;=$B$440)*((H215&gt;=$C$440)+(H215&lt;2/24)),1,0),0)</f>
        <v>0</v>
      </c>
      <c r="AI214" s="6">
        <f>IF((I214&lt;&gt;"")*(I218=""),IF((I214&lt;=$B$440)*((I215&gt;=$C$440)+(I215&lt;2/24)),1,0),0)</f>
        <v>0</v>
      </c>
      <c r="AJ214" s="6">
        <f>IF((J214&lt;&gt;"")*(J218=""),IF((J214&lt;=$B$440)*((J215&gt;=$C$440)+(J215&lt;2/24)),1,0),0)</f>
        <v>0</v>
      </c>
    </row>
    <row r="215" spans="1:36" hidden="1" x14ac:dyDescent="0.2">
      <c r="A215" s="39"/>
      <c r="B215" s="40"/>
      <c r="C215" s="15" t="s">
        <v>1</v>
      </c>
      <c r="D215" s="27"/>
      <c r="E215" s="27"/>
      <c r="F215" s="27"/>
      <c r="G215" s="27"/>
      <c r="H215" s="27"/>
      <c r="I215" s="27"/>
      <c r="J215" s="27"/>
      <c r="K215" s="17"/>
      <c r="L215" s="6"/>
      <c r="M215" s="21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D215" s="6">
        <f>IF((D214&lt;&gt;"")*(D218=""),IF((D214&lt;=$B$441)*((D215&gt;=$C$441)+(D215&lt;2/24)),1,0),0)</f>
        <v>0</v>
      </c>
      <c r="AE215" s="6">
        <f>IF((E214&lt;&gt;"")*(E218=""),IF((E214&lt;=$B$441)*((E215&gt;=$C$441)+(E215&lt;2/24)),1,0),0)</f>
        <v>0</v>
      </c>
      <c r="AF215" s="6">
        <f>IF((F214&lt;&gt;"")*(F218=""),IF((F214&lt;=$B$441)*((F215&gt;=$C$441)+(F215&lt;2/24)),1,0),0)</f>
        <v>0</v>
      </c>
      <c r="AG215" s="6">
        <f>IF((G214&lt;&gt;"")*(G218=""),IF((G214&lt;=$B$441)*((G215&gt;=$C$441)+(G215&lt;2/24)),1,0),0)</f>
        <v>0</v>
      </c>
      <c r="AH215" s="6">
        <f>IF((H214&lt;&gt;"")*(H218=""),IF((H214&lt;=$B$441)*((H215&gt;=$C$441)+(H215&lt;2/24)),1,0),0)</f>
        <v>0</v>
      </c>
      <c r="AI215" s="6">
        <f>IF((I214&lt;&gt;"")*(I218=""),IF((I214&lt;=$B$441)*((I215&gt;=$C$441)+(I215&lt;2/24)),1,0),0)</f>
        <v>0</v>
      </c>
      <c r="AJ215" s="6">
        <f>IF((J214&lt;&gt;"")*(J218=""),IF((J214&lt;=$B$441)*((J215&gt;=$C$441)+(J215&lt;2/24)),1,0),0)</f>
        <v>0</v>
      </c>
    </row>
    <row r="216" spans="1:36" hidden="1" x14ac:dyDescent="0.2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  <c r="L216" s="6"/>
      <c r="M216" s="21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D216" s="6">
        <f>IF((D214&lt;&gt;"")*(D218=""),IF((D214&lt;=$B$442)*((D215&gt;=$C$442)+(D215&lt;2/24)),1,0),0)</f>
        <v>0</v>
      </c>
      <c r="AE216" s="6">
        <f>IF((E214&lt;&gt;"")*(E218=""),IF((E214&lt;=$B$442)*((E215&gt;=$C$442)+(E215&lt;2/24)),1,0),0)</f>
        <v>0</v>
      </c>
      <c r="AF216" s="6">
        <f>IF((F214&lt;&gt;"")*(F218=""),IF((F214&lt;=$B$442)*((F215&gt;=$C$442)+(F215&lt;2/24)),1,0),0)</f>
        <v>0</v>
      </c>
      <c r="AG216" s="6">
        <f>IF((G214&lt;&gt;"")*(G218=""),IF((G214&lt;=$B$442)*((G215&gt;=$C$442)+(G215&lt;2/24)),1,0),0)</f>
        <v>0</v>
      </c>
      <c r="AH216" s="6">
        <f>IF((H214&lt;&gt;"")*(H218=""),IF((H214&lt;=$B$442)*((H215&gt;=$C$442)+(H215&lt;2/24)),1,0),0)</f>
        <v>0</v>
      </c>
      <c r="AI216" s="6">
        <f>IF((I214&lt;&gt;"")*(I218=""),IF((I214&lt;=$B$442)*((I215&gt;=$C$442)+(I215&lt;2/24)),1,0),0)</f>
        <v>0</v>
      </c>
      <c r="AJ216" s="6">
        <f>IF((J214&lt;&gt;"")*(J218=""),IF((J214&lt;=$B$442)*((J215&gt;=$C$442)+(J215&lt;2/24)),1,0),0)</f>
        <v>0</v>
      </c>
    </row>
    <row r="217" spans="1:36" hidden="1" x14ac:dyDescent="0.2">
      <c r="A217" s="39"/>
      <c r="B217" s="40"/>
      <c r="C217" s="15" t="s">
        <v>3</v>
      </c>
      <c r="D217" s="43"/>
      <c r="E217" s="43"/>
      <c r="F217" s="43"/>
      <c r="G217" s="43"/>
      <c r="H217" s="43"/>
      <c r="I217" s="43"/>
      <c r="J217" s="44"/>
      <c r="K217" s="18">
        <f>SUMIF(D218:J218,"",D217:J217)</f>
        <v>0</v>
      </c>
      <c r="L217" s="12">
        <f>SUM(D217:J217)</f>
        <v>0</v>
      </c>
      <c r="M217" s="24"/>
      <c r="N217" s="10">
        <f t="shared" ref="N217:T217" si="70">IF(D218="",D217,0)</f>
        <v>0</v>
      </c>
      <c r="O217" s="10">
        <f t="shared" si="70"/>
        <v>0</v>
      </c>
      <c r="P217" s="10">
        <f t="shared" si="70"/>
        <v>0</v>
      </c>
      <c r="Q217" s="10">
        <f t="shared" si="70"/>
        <v>0</v>
      </c>
      <c r="R217" s="10">
        <f t="shared" si="70"/>
        <v>0</v>
      </c>
      <c r="S217" s="10">
        <f t="shared" si="70"/>
        <v>0</v>
      </c>
      <c r="T217" s="10">
        <f t="shared" si="70"/>
        <v>0</v>
      </c>
      <c r="U217" s="10"/>
      <c r="V217" s="10">
        <f t="shared" ref="V217:AB217" si="71">D217</f>
        <v>0</v>
      </c>
      <c r="W217" s="10">
        <f t="shared" si="71"/>
        <v>0</v>
      </c>
      <c r="X217" s="10">
        <f t="shared" si="71"/>
        <v>0</v>
      </c>
      <c r="Y217" s="10">
        <f t="shared" si="71"/>
        <v>0</v>
      </c>
      <c r="Z217" s="10">
        <f t="shared" si="71"/>
        <v>0</v>
      </c>
      <c r="AA217" s="10">
        <f t="shared" si="71"/>
        <v>0</v>
      </c>
      <c r="AB217" s="10">
        <f t="shared" si="71"/>
        <v>0</v>
      </c>
      <c r="AD217" s="6">
        <f>IF((D214&lt;&gt;"")*(D218=""),IF((D214&lt;=$B$443)*((D215&gt;=$C$443)+(D215&lt;2/24)),1,0),0)</f>
        <v>0</v>
      </c>
      <c r="AE217" s="6">
        <f>IF((E214&lt;&gt;"")*(E218=""),IF((E214&lt;=$B$443)*((E215&gt;=$C$443)+(E215&lt;2/24)),1,0),0)</f>
        <v>0</v>
      </c>
      <c r="AF217" s="6">
        <f>IF((F214&lt;&gt;"")*(F218=""),IF((F214&lt;=$B$443)*((F215&gt;=$C$443)+(F215&lt;2/24)),1,0),0)</f>
        <v>0</v>
      </c>
      <c r="AG217" s="6">
        <f>IF((G214&lt;&gt;"")*(G218=""),IF((G214&lt;=$B$443)*((G215&gt;=$C$443)+(G215&lt;2/24)),1,0),0)</f>
        <v>0</v>
      </c>
      <c r="AH217" s="6">
        <f>IF((H214&lt;&gt;"")*(H218=""),IF((H214&lt;=$B$443)*((H215&gt;=$C$443)+(H215&lt;2/24)),1,0),0)</f>
        <v>0</v>
      </c>
      <c r="AI217" s="6">
        <f>IF((I214&lt;&gt;"")*(I218=""),IF((I214&lt;=$B$443)*((I215&gt;=$C$443)+(I215&lt;2/24)),1,0),0)</f>
        <v>0</v>
      </c>
      <c r="AJ217" s="6">
        <f>IF((J214&lt;&gt;"")*(J218=""),IF((J214&lt;=$B$443)*((J215&gt;=$C$443)+(J215&lt;2/24)),1,0),0)</f>
        <v>0</v>
      </c>
    </row>
    <row r="218" spans="1:36" hidden="1" x14ac:dyDescent="0.2">
      <c r="A218" s="39"/>
      <c r="B218" s="40"/>
      <c r="C218" s="32" t="s">
        <v>4</v>
      </c>
      <c r="D218" s="33"/>
      <c r="E218" s="33"/>
      <c r="F218" s="33"/>
      <c r="G218" s="33"/>
      <c r="H218" s="33"/>
      <c r="I218" s="33"/>
      <c r="J218" s="33"/>
      <c r="K218" s="17"/>
      <c r="L218" s="6"/>
      <c r="M218" s="25"/>
      <c r="N218" s="6"/>
      <c r="O218" s="6"/>
      <c r="P218" s="6"/>
      <c r="Q218" s="6"/>
      <c r="R218" s="6"/>
      <c r="S218" s="6"/>
      <c r="T218" s="6"/>
      <c r="U218" s="6"/>
      <c r="V218" s="20"/>
      <c r="W218" s="20"/>
      <c r="X218" s="20"/>
      <c r="Y218" s="20"/>
      <c r="Z218" s="20"/>
      <c r="AA218" s="20"/>
      <c r="AB218" s="20"/>
      <c r="AD218" s="6">
        <f>IF((D214&lt;&gt;"")*(D218=""),IF((D214&lt;=$B$444)*((D215&gt;=$C$444)+(D215&lt;2/24)),1,0),0)</f>
        <v>0</v>
      </c>
      <c r="AE218" s="6">
        <f>IF((E214&lt;&gt;"")*(E218=""),IF((E214&lt;=$B$444)*((E215&gt;=$C$444)+(E215&lt;2/24)),1,0),0)</f>
        <v>0</v>
      </c>
      <c r="AF218" s="6">
        <f>IF((F214&lt;&gt;"")*(F218=""),IF((F214&lt;=$B$444)*((F215&gt;=$C$444)+(F215&lt;2/24)),1,0),0)</f>
        <v>0</v>
      </c>
      <c r="AG218" s="6">
        <f>IF((G214&lt;&gt;"")*(G218=""),IF((G214&lt;=$B$444)*((G215&gt;=$C$444)+(G215&lt;2/24)),1,0),0)</f>
        <v>0</v>
      </c>
      <c r="AH218" s="6">
        <f>IF((H214&lt;&gt;"")*(H218=""),IF((H214&lt;=$B$444)*((H215&gt;=$C$444)+(H215&lt;2/24)),1,0),0)</f>
        <v>0</v>
      </c>
      <c r="AI218" s="6">
        <f>IF((I214&lt;&gt;"")*(I218=""),IF((I214&lt;=$B$444)*((I215&gt;=$C$444)+(I215&lt;2/24)),1,0),0)</f>
        <v>0</v>
      </c>
      <c r="AJ218" s="6">
        <f>IF((J214&lt;&gt;"")*(J218=""),IF((J214&lt;=$B$444)*((J215&gt;=$C$444)+(J215&lt;2/24)),1,0),0)</f>
        <v>0</v>
      </c>
    </row>
    <row r="219" spans="1:36" ht="13.5" hidden="1" thickBot="1" x14ac:dyDescent="0.25">
      <c r="A219" s="41"/>
      <c r="B219" s="42"/>
      <c r="C219" s="35" t="s">
        <v>28</v>
      </c>
      <c r="D219" s="36"/>
      <c r="E219" s="36"/>
      <c r="F219" s="36"/>
      <c r="G219" s="36"/>
      <c r="H219" s="36"/>
      <c r="I219" s="36"/>
      <c r="J219" s="36"/>
      <c r="K219" s="34"/>
      <c r="L219" s="6"/>
      <c r="M219" s="25"/>
      <c r="N219" s="6"/>
      <c r="O219" s="6"/>
      <c r="P219" s="6"/>
      <c r="Q219" s="6"/>
      <c r="R219" s="6"/>
      <c r="S219" s="6"/>
      <c r="T219" s="6"/>
      <c r="U219" s="6"/>
      <c r="V219" s="20"/>
      <c r="W219" s="20"/>
      <c r="X219" s="20"/>
      <c r="Y219" s="20"/>
      <c r="Z219" s="20"/>
      <c r="AA219" s="20"/>
      <c r="AB219" s="20"/>
      <c r="AD219" s="6"/>
      <c r="AE219" s="6"/>
      <c r="AF219" s="6"/>
      <c r="AG219" s="6"/>
      <c r="AH219" s="6"/>
      <c r="AI219" s="6"/>
      <c r="AJ219" s="6"/>
    </row>
    <row r="220" spans="1:36" hidden="1" x14ac:dyDescent="0.2">
      <c r="A220" s="37" t="s">
        <v>29</v>
      </c>
      <c r="B220" s="38" t="s">
        <v>30</v>
      </c>
      <c r="C220" s="14" t="s">
        <v>0</v>
      </c>
      <c r="D220" s="26"/>
      <c r="E220" s="26"/>
      <c r="F220" s="26"/>
      <c r="G220" s="26"/>
      <c r="H220" s="26"/>
      <c r="I220" s="26"/>
      <c r="J220" s="26"/>
      <c r="K220" s="16"/>
      <c r="L220" s="6"/>
      <c r="M220" s="21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D220" s="6">
        <f>IF((D220&lt;&gt;"")*(D224=""),IF((D220&lt;=$B$440)*((D221&gt;=$C$440)+(D221&lt;2/24)),1,0),0)</f>
        <v>0</v>
      </c>
      <c r="AE220" s="6">
        <f>IF((E220&lt;&gt;"")*(E224=""),IF((E220&lt;=$B$440)*((E221&gt;=$C$440)+(E221&lt;2/24)),1,0),0)</f>
        <v>0</v>
      </c>
      <c r="AF220" s="6">
        <f>IF((F220&lt;&gt;"")*(F224=""),IF((F220&lt;=$B$440)*((F221&gt;=$C$440)+(F221&lt;2/24)),1,0),0)</f>
        <v>0</v>
      </c>
      <c r="AG220" s="6">
        <f>IF((G220&lt;&gt;"")*(G224=""),IF((G220&lt;=$B$440)*((G221&gt;=$C$440)+(G221&lt;2/24)),1,0),0)</f>
        <v>0</v>
      </c>
      <c r="AH220" s="6">
        <f>IF((H220&lt;&gt;"")*(H224=""),IF((H220&lt;=$B$440)*((H221&gt;=$C$440)+(H221&lt;2/24)),1,0),0)</f>
        <v>0</v>
      </c>
      <c r="AI220" s="6">
        <f>IF((I220&lt;&gt;"")*(I224=""),IF((I220&lt;=$B$440)*((I221&gt;=$C$440)+(I221&lt;2/24)),1,0),0)</f>
        <v>0</v>
      </c>
      <c r="AJ220" s="6">
        <f>IF((J220&lt;&gt;"")*(J224=""),IF((J220&lt;=$B$440)*((J221&gt;=$C$440)+(J221&lt;2/24)),1,0),0)</f>
        <v>0</v>
      </c>
    </row>
    <row r="221" spans="1:36" hidden="1" x14ac:dyDescent="0.2">
      <c r="A221" s="39"/>
      <c r="B221" s="40"/>
      <c r="C221" s="15" t="s">
        <v>1</v>
      </c>
      <c r="D221" s="27"/>
      <c r="E221" s="27"/>
      <c r="F221" s="27"/>
      <c r="G221" s="27"/>
      <c r="H221" s="27"/>
      <c r="I221" s="27"/>
      <c r="J221" s="27"/>
      <c r="K221" s="17"/>
      <c r="L221" s="6"/>
      <c r="M221" s="21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D221" s="6">
        <f>IF((D220&lt;&gt;"")*(D224=""),IF((D220&lt;=$B$441)*((D221&gt;=$C$441)+(D221&lt;2/24)),1,0),0)</f>
        <v>0</v>
      </c>
      <c r="AE221" s="6">
        <f>IF((E220&lt;&gt;"")*(E224=""),IF((E220&lt;=$B$441)*((E221&gt;=$C$441)+(E221&lt;2/24)),1,0),0)</f>
        <v>0</v>
      </c>
      <c r="AF221" s="6">
        <f>IF((F220&lt;&gt;"")*(F224=""),IF((F220&lt;=$B$441)*((F221&gt;=$C$441)+(F221&lt;2/24)),1,0),0)</f>
        <v>0</v>
      </c>
      <c r="AG221" s="6">
        <f>IF((G220&lt;&gt;"")*(G224=""),IF((G220&lt;=$B$441)*((G221&gt;=$C$441)+(G221&lt;2/24)),1,0),0)</f>
        <v>0</v>
      </c>
      <c r="AH221" s="6">
        <f>IF((H220&lt;&gt;"")*(H224=""),IF((H220&lt;=$B$441)*((H221&gt;=$C$441)+(H221&lt;2/24)),1,0),0)</f>
        <v>0</v>
      </c>
      <c r="AI221" s="6">
        <f>IF((I220&lt;&gt;"")*(I224=""),IF((I220&lt;=$B$441)*((I221&gt;=$C$441)+(I221&lt;2/24)),1,0),0)</f>
        <v>0</v>
      </c>
      <c r="AJ221" s="6">
        <f>IF((J220&lt;&gt;"")*(J224=""),IF((J220&lt;=$B$441)*((J221&gt;=$C$441)+(J221&lt;2/24)),1,0),0)</f>
        <v>0</v>
      </c>
    </row>
    <row r="222" spans="1:36" hidden="1" x14ac:dyDescent="0.2">
      <c r="A222" s="39"/>
      <c r="B222" s="40"/>
      <c r="C222" s="15" t="s">
        <v>2</v>
      </c>
      <c r="D222" s="4"/>
      <c r="E222" s="4"/>
      <c r="F222" s="4"/>
      <c r="G222" s="4"/>
      <c r="H222" s="4"/>
      <c r="I222" s="4"/>
      <c r="J222" s="4"/>
      <c r="K222" s="17"/>
      <c r="L222" s="6"/>
      <c r="M222" s="21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D222" s="6">
        <f>IF((D220&lt;&gt;"")*(D224=""),IF((D220&lt;=$B$442)*((D221&gt;=$C$442)+(D221&lt;2/24)),1,0),0)</f>
        <v>0</v>
      </c>
      <c r="AE222" s="6">
        <f>IF((E220&lt;&gt;"")*(E224=""),IF((E220&lt;=$B$442)*((E221&gt;=$C$442)+(E221&lt;2/24)),1,0),0)</f>
        <v>0</v>
      </c>
      <c r="AF222" s="6">
        <f>IF((F220&lt;&gt;"")*(F224=""),IF((F220&lt;=$B$442)*((F221&gt;=$C$442)+(F221&lt;2/24)),1,0),0)</f>
        <v>0</v>
      </c>
      <c r="AG222" s="6">
        <f>IF((G220&lt;&gt;"")*(G224=""),IF((G220&lt;=$B$442)*((G221&gt;=$C$442)+(G221&lt;2/24)),1,0),0)</f>
        <v>0</v>
      </c>
      <c r="AH222" s="6">
        <f>IF((H220&lt;&gt;"")*(H224=""),IF((H220&lt;=$B$442)*((H221&gt;=$C$442)+(H221&lt;2/24)),1,0),0)</f>
        <v>0</v>
      </c>
      <c r="AI222" s="6">
        <f>IF((I220&lt;&gt;"")*(I224=""),IF((I220&lt;=$B$442)*((I221&gt;=$C$442)+(I221&lt;2/24)),1,0),0)</f>
        <v>0</v>
      </c>
      <c r="AJ222" s="6">
        <f>IF((J220&lt;&gt;"")*(J224=""),IF((J220&lt;=$B$442)*((J221&gt;=$C$442)+(J221&lt;2/24)),1,0),0)</f>
        <v>0</v>
      </c>
    </row>
    <row r="223" spans="1:36" hidden="1" x14ac:dyDescent="0.2">
      <c r="A223" s="39"/>
      <c r="B223" s="40"/>
      <c r="C223" s="15" t="s">
        <v>3</v>
      </c>
      <c r="D223" s="43"/>
      <c r="E223" s="43"/>
      <c r="F223" s="43"/>
      <c r="G223" s="43"/>
      <c r="H223" s="43"/>
      <c r="I223" s="43"/>
      <c r="J223" s="44"/>
      <c r="K223" s="18">
        <f>SUMIF(D224:J224,"",D223:J223)</f>
        <v>0</v>
      </c>
      <c r="L223" s="12">
        <f>SUM(D223:J223)</f>
        <v>0</v>
      </c>
      <c r="M223" s="24"/>
      <c r="N223" s="10">
        <f t="shared" ref="N223:T223" si="72">IF(D224="",D223,0)</f>
        <v>0</v>
      </c>
      <c r="O223" s="10">
        <f t="shared" si="72"/>
        <v>0</v>
      </c>
      <c r="P223" s="10">
        <f t="shared" si="72"/>
        <v>0</v>
      </c>
      <c r="Q223" s="10">
        <f t="shared" si="72"/>
        <v>0</v>
      </c>
      <c r="R223" s="10">
        <f t="shared" si="72"/>
        <v>0</v>
      </c>
      <c r="S223" s="10">
        <f t="shared" si="72"/>
        <v>0</v>
      </c>
      <c r="T223" s="10">
        <f t="shared" si="72"/>
        <v>0</v>
      </c>
      <c r="U223" s="10"/>
      <c r="V223" s="10">
        <f t="shared" ref="V223:AB223" si="73">D223</f>
        <v>0</v>
      </c>
      <c r="W223" s="10">
        <f t="shared" si="73"/>
        <v>0</v>
      </c>
      <c r="X223" s="10">
        <f t="shared" si="73"/>
        <v>0</v>
      </c>
      <c r="Y223" s="10">
        <f t="shared" si="73"/>
        <v>0</v>
      </c>
      <c r="Z223" s="10">
        <f t="shared" si="73"/>
        <v>0</v>
      </c>
      <c r="AA223" s="10">
        <f t="shared" si="73"/>
        <v>0</v>
      </c>
      <c r="AB223" s="10">
        <f t="shared" si="73"/>
        <v>0</v>
      </c>
      <c r="AD223" s="6">
        <f>IF((D220&lt;&gt;"")*(D224=""),IF((D220&lt;=$B$443)*((D221&gt;=$C$443)+(D221&lt;2/24)),1,0),0)</f>
        <v>0</v>
      </c>
      <c r="AE223" s="6">
        <f>IF((E220&lt;&gt;"")*(E224=""),IF((E220&lt;=$B$443)*((E221&gt;=$C$443)+(E221&lt;2/24)),1,0),0)</f>
        <v>0</v>
      </c>
      <c r="AF223" s="6">
        <f>IF((F220&lt;&gt;"")*(F224=""),IF((F220&lt;=$B$443)*((F221&gt;=$C$443)+(F221&lt;2/24)),1,0),0)</f>
        <v>0</v>
      </c>
      <c r="AG223" s="6">
        <f>IF((G220&lt;&gt;"")*(G224=""),IF((G220&lt;=$B$443)*((G221&gt;=$C$443)+(G221&lt;2/24)),1,0),0)</f>
        <v>0</v>
      </c>
      <c r="AH223" s="6">
        <f>IF((H220&lt;&gt;"")*(H224=""),IF((H220&lt;=$B$443)*((H221&gt;=$C$443)+(H221&lt;2/24)),1,0),0)</f>
        <v>0</v>
      </c>
      <c r="AI223" s="6">
        <f>IF((I220&lt;&gt;"")*(I224=""),IF((I220&lt;=$B$443)*((I221&gt;=$C$443)+(I221&lt;2/24)),1,0),0)</f>
        <v>0</v>
      </c>
      <c r="AJ223" s="6">
        <f>IF((J220&lt;&gt;"")*(J224=""),IF((J220&lt;=$B$443)*((J221&gt;=$C$443)+(J221&lt;2/24)),1,0),0)</f>
        <v>0</v>
      </c>
    </row>
    <row r="224" spans="1:36" hidden="1" x14ac:dyDescent="0.2">
      <c r="A224" s="39"/>
      <c r="B224" s="40"/>
      <c r="C224" s="32" t="s">
        <v>4</v>
      </c>
      <c r="D224" s="33"/>
      <c r="E224" s="33"/>
      <c r="F224" s="33"/>
      <c r="G224" s="33"/>
      <c r="H224" s="33"/>
      <c r="I224" s="33"/>
      <c r="J224" s="33"/>
      <c r="K224" s="17"/>
      <c r="L224" s="6"/>
      <c r="M224" s="25"/>
      <c r="N224" s="6"/>
      <c r="O224" s="6"/>
      <c r="P224" s="6"/>
      <c r="Q224" s="6"/>
      <c r="R224" s="6"/>
      <c r="S224" s="6"/>
      <c r="T224" s="6"/>
      <c r="U224" s="6"/>
      <c r="V224" s="20"/>
      <c r="W224" s="20"/>
      <c r="X224" s="20"/>
      <c r="Y224" s="20"/>
      <c r="Z224" s="20"/>
      <c r="AA224" s="20"/>
      <c r="AB224" s="20"/>
      <c r="AD224" s="6">
        <f>IF((D220&lt;&gt;"")*(D224=""),IF((D220&lt;=$B$444)*((D221&gt;=$C$444)+(D221&lt;2/24)),1,0),0)</f>
        <v>0</v>
      </c>
      <c r="AE224" s="6">
        <f>IF((E220&lt;&gt;"")*(E224=""),IF((E220&lt;=$B$444)*((E221&gt;=$C$444)+(E221&lt;2/24)),1,0),0)</f>
        <v>0</v>
      </c>
      <c r="AF224" s="6">
        <f>IF((F220&lt;&gt;"")*(F224=""),IF((F220&lt;=$B$444)*((F221&gt;=$C$444)+(F221&lt;2/24)),1,0),0)</f>
        <v>0</v>
      </c>
      <c r="AG224" s="6">
        <f>IF((G220&lt;&gt;"")*(G224=""),IF((G220&lt;=$B$444)*((G221&gt;=$C$444)+(G221&lt;2/24)),1,0),0)</f>
        <v>0</v>
      </c>
      <c r="AH224" s="6">
        <f>IF((H220&lt;&gt;"")*(H224=""),IF((H220&lt;=$B$444)*((H221&gt;=$C$444)+(H221&lt;2/24)),1,0),0)</f>
        <v>0</v>
      </c>
      <c r="AI224" s="6">
        <f>IF((I220&lt;&gt;"")*(I224=""),IF((I220&lt;=$B$444)*((I221&gt;=$C$444)+(I221&lt;2/24)),1,0),0)</f>
        <v>0</v>
      </c>
      <c r="AJ224" s="6">
        <f>IF((J220&lt;&gt;"")*(J224=""),IF((J220&lt;=$B$444)*((J221&gt;=$C$444)+(J221&lt;2/24)),1,0),0)</f>
        <v>0</v>
      </c>
    </row>
    <row r="225" spans="1:36" ht="13.5" hidden="1" thickBot="1" x14ac:dyDescent="0.25">
      <c r="A225" s="41"/>
      <c r="B225" s="42"/>
      <c r="C225" s="35" t="s">
        <v>28</v>
      </c>
      <c r="D225" s="36"/>
      <c r="E225" s="36"/>
      <c r="F225" s="36"/>
      <c r="G225" s="36"/>
      <c r="H225" s="36"/>
      <c r="I225" s="36"/>
      <c r="J225" s="36"/>
      <c r="K225" s="34"/>
      <c r="L225" s="6"/>
      <c r="M225" s="25"/>
      <c r="N225" s="6"/>
      <c r="O225" s="6"/>
      <c r="P225" s="6"/>
      <c r="Q225" s="6"/>
      <c r="R225" s="6"/>
      <c r="S225" s="6"/>
      <c r="T225" s="6"/>
      <c r="U225" s="6"/>
      <c r="V225" s="20"/>
      <c r="W225" s="20"/>
      <c r="X225" s="20"/>
      <c r="Y225" s="20"/>
      <c r="Z225" s="20"/>
      <c r="AA225" s="20"/>
      <c r="AB225" s="20"/>
      <c r="AD225" s="6"/>
      <c r="AE225" s="6"/>
      <c r="AF225" s="6"/>
      <c r="AG225" s="6"/>
      <c r="AH225" s="6"/>
      <c r="AI225" s="6"/>
      <c r="AJ225" s="6"/>
    </row>
    <row r="226" spans="1:36" hidden="1" x14ac:dyDescent="0.2">
      <c r="A226" s="37" t="s">
        <v>29</v>
      </c>
      <c r="B226" s="38" t="s">
        <v>30</v>
      </c>
      <c r="C226" s="14" t="s">
        <v>0</v>
      </c>
      <c r="D226" s="26"/>
      <c r="E226" s="26"/>
      <c r="F226" s="26"/>
      <c r="G226" s="26"/>
      <c r="H226" s="26"/>
      <c r="I226" s="26"/>
      <c r="J226" s="26"/>
      <c r="K226" s="16"/>
      <c r="L226" s="6"/>
      <c r="M226" s="21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D226" s="6">
        <f>IF((D226&lt;&gt;"")*(D230=""),IF((D226&lt;=$B$440)*((D227&gt;=$C$440)+(D227&lt;2/24)),1,0),0)</f>
        <v>0</v>
      </c>
      <c r="AE226" s="6">
        <f>IF((E226&lt;&gt;"")*(E230=""),IF((E226&lt;=$B$440)*((E227&gt;=$C$440)+(E227&lt;2/24)),1,0),0)</f>
        <v>0</v>
      </c>
      <c r="AF226" s="6">
        <f>IF((F226&lt;&gt;"")*(F230=""),IF((F226&lt;=$B$440)*((F227&gt;=$C$440)+(F227&lt;2/24)),1,0),0)</f>
        <v>0</v>
      </c>
      <c r="AG226" s="6">
        <f>IF((G226&lt;&gt;"")*(G230=""),IF((G226&lt;=$B$440)*((G227&gt;=$C$440)+(G227&lt;2/24)),1,0),0)</f>
        <v>0</v>
      </c>
      <c r="AH226" s="6">
        <f>IF((H226&lt;&gt;"")*(H230=""),IF((H226&lt;=$B$440)*((H227&gt;=$C$440)+(H227&lt;2/24)),1,0),0)</f>
        <v>0</v>
      </c>
      <c r="AI226" s="6">
        <f>IF((I226&lt;&gt;"")*(I230=""),IF((I226&lt;=$B$440)*((I227&gt;=$C$440)+(I227&lt;2/24)),1,0),0)</f>
        <v>0</v>
      </c>
      <c r="AJ226" s="6">
        <f>IF((J226&lt;&gt;"")*(J230=""),IF((J226&lt;=$B$440)*((J227&gt;=$C$440)+(J227&lt;2/24)),1,0),0)</f>
        <v>0</v>
      </c>
    </row>
    <row r="227" spans="1:36" hidden="1" x14ac:dyDescent="0.2">
      <c r="A227" s="39"/>
      <c r="B227" s="40"/>
      <c r="C227" s="15" t="s">
        <v>1</v>
      </c>
      <c r="D227" s="27"/>
      <c r="E227" s="27"/>
      <c r="F227" s="27"/>
      <c r="G227" s="27"/>
      <c r="H227" s="27"/>
      <c r="I227" s="27"/>
      <c r="J227" s="27"/>
      <c r="K227" s="17"/>
      <c r="L227" s="6"/>
      <c r="M227" s="21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D227" s="6">
        <f>IF((D226&lt;&gt;"")*(D230=""),IF((D226&lt;=$B$441)*((D227&gt;=$C$441)+(D227&lt;2/24)),1,0),0)</f>
        <v>0</v>
      </c>
      <c r="AE227" s="6">
        <f>IF((E226&lt;&gt;"")*(E230=""),IF((E226&lt;=$B$441)*((E227&gt;=$C$441)+(E227&lt;2/24)),1,0),0)</f>
        <v>0</v>
      </c>
      <c r="AF227" s="6">
        <f>IF((F226&lt;&gt;"")*(F230=""),IF((F226&lt;=$B$441)*((F227&gt;=$C$441)+(F227&lt;2/24)),1,0),0)</f>
        <v>0</v>
      </c>
      <c r="AG227" s="6">
        <f>IF((G226&lt;&gt;"")*(G230=""),IF((G226&lt;=$B$441)*((G227&gt;=$C$441)+(G227&lt;2/24)),1,0),0)</f>
        <v>0</v>
      </c>
      <c r="AH227" s="6">
        <f>IF((H226&lt;&gt;"")*(H230=""),IF((H226&lt;=$B$441)*((H227&gt;=$C$441)+(H227&lt;2/24)),1,0),0)</f>
        <v>0</v>
      </c>
      <c r="AI227" s="6">
        <f>IF((I226&lt;&gt;"")*(I230=""),IF((I226&lt;=$B$441)*((I227&gt;=$C$441)+(I227&lt;2/24)),1,0),0)</f>
        <v>0</v>
      </c>
      <c r="AJ227" s="6">
        <f>IF((J226&lt;&gt;"")*(J230=""),IF((J226&lt;=$B$441)*((J227&gt;=$C$441)+(J227&lt;2/24)),1,0),0)</f>
        <v>0</v>
      </c>
    </row>
    <row r="228" spans="1:36" hidden="1" x14ac:dyDescent="0.2">
      <c r="A228" s="39"/>
      <c r="B228" s="40"/>
      <c r="C228" s="15" t="s">
        <v>2</v>
      </c>
      <c r="D228" s="4"/>
      <c r="E228" s="4"/>
      <c r="F228" s="4"/>
      <c r="G228" s="4"/>
      <c r="H228" s="4"/>
      <c r="I228" s="4"/>
      <c r="J228" s="4"/>
      <c r="K228" s="17"/>
      <c r="L228" s="6"/>
      <c r="M228" s="21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D228" s="6">
        <f>IF((D226&lt;&gt;"")*(D230=""),IF((D226&lt;=$B$442)*((D227&gt;=$C$442)+(D227&lt;2/24)),1,0),0)</f>
        <v>0</v>
      </c>
      <c r="AE228" s="6">
        <f>IF((E226&lt;&gt;"")*(E230=""),IF((E226&lt;=$B$442)*((E227&gt;=$C$442)+(E227&lt;2/24)),1,0),0)</f>
        <v>0</v>
      </c>
      <c r="AF228" s="6">
        <f>IF((F226&lt;&gt;"")*(F230=""),IF((F226&lt;=$B$442)*((F227&gt;=$C$442)+(F227&lt;2/24)),1,0),0)</f>
        <v>0</v>
      </c>
      <c r="AG228" s="6">
        <f>IF((G226&lt;&gt;"")*(G230=""),IF((G226&lt;=$B$442)*((G227&gt;=$C$442)+(G227&lt;2/24)),1,0),0)</f>
        <v>0</v>
      </c>
      <c r="AH228" s="6">
        <f>IF((H226&lt;&gt;"")*(H230=""),IF((H226&lt;=$B$442)*((H227&gt;=$C$442)+(H227&lt;2/24)),1,0),0)</f>
        <v>0</v>
      </c>
      <c r="AI228" s="6">
        <f>IF((I226&lt;&gt;"")*(I230=""),IF((I226&lt;=$B$442)*((I227&gt;=$C$442)+(I227&lt;2/24)),1,0),0)</f>
        <v>0</v>
      </c>
      <c r="AJ228" s="6">
        <f>IF((J226&lt;&gt;"")*(J230=""),IF((J226&lt;=$B$442)*((J227&gt;=$C$442)+(J227&lt;2/24)),1,0),0)</f>
        <v>0</v>
      </c>
    </row>
    <row r="229" spans="1:36" hidden="1" x14ac:dyDescent="0.2">
      <c r="A229" s="39"/>
      <c r="B229" s="40"/>
      <c r="C229" s="15" t="s">
        <v>3</v>
      </c>
      <c r="D229" s="43"/>
      <c r="E229" s="43"/>
      <c r="F229" s="43"/>
      <c r="G229" s="43"/>
      <c r="H229" s="43"/>
      <c r="I229" s="43"/>
      <c r="J229" s="44"/>
      <c r="K229" s="18">
        <f>SUMIF(D230:J230,"",D229:J229)</f>
        <v>0</v>
      </c>
      <c r="L229" s="12">
        <f>SUM(D229:J229)</f>
        <v>0</v>
      </c>
      <c r="M229" s="24"/>
      <c r="N229" s="10">
        <f t="shared" ref="N229:T229" si="74">IF(D230="",D229,0)</f>
        <v>0</v>
      </c>
      <c r="O229" s="10">
        <f t="shared" si="74"/>
        <v>0</v>
      </c>
      <c r="P229" s="10">
        <f t="shared" si="74"/>
        <v>0</v>
      </c>
      <c r="Q229" s="10">
        <f t="shared" si="74"/>
        <v>0</v>
      </c>
      <c r="R229" s="10">
        <f t="shared" si="74"/>
        <v>0</v>
      </c>
      <c r="S229" s="10">
        <f t="shared" si="74"/>
        <v>0</v>
      </c>
      <c r="T229" s="10">
        <f t="shared" si="74"/>
        <v>0</v>
      </c>
      <c r="U229" s="10"/>
      <c r="V229" s="10">
        <f t="shared" ref="V229:AB229" si="75">D229</f>
        <v>0</v>
      </c>
      <c r="W229" s="10">
        <f t="shared" si="75"/>
        <v>0</v>
      </c>
      <c r="X229" s="10">
        <f t="shared" si="75"/>
        <v>0</v>
      </c>
      <c r="Y229" s="10">
        <f t="shared" si="75"/>
        <v>0</v>
      </c>
      <c r="Z229" s="10">
        <f t="shared" si="75"/>
        <v>0</v>
      </c>
      <c r="AA229" s="10">
        <f t="shared" si="75"/>
        <v>0</v>
      </c>
      <c r="AB229" s="10">
        <f t="shared" si="75"/>
        <v>0</v>
      </c>
      <c r="AD229" s="6">
        <f>IF((D226&lt;&gt;"")*(D230=""),IF((D226&lt;=$B$443)*((D227&gt;=$C$443)+(D227&lt;2/24)),1,0),0)</f>
        <v>0</v>
      </c>
      <c r="AE229" s="6">
        <f>IF((E226&lt;&gt;"")*(E230=""),IF((E226&lt;=$B$443)*((E227&gt;=$C$443)+(E227&lt;2/24)),1,0),0)</f>
        <v>0</v>
      </c>
      <c r="AF229" s="6">
        <f>IF((F226&lt;&gt;"")*(F230=""),IF((F226&lt;=$B$443)*((F227&gt;=$C$443)+(F227&lt;2/24)),1,0),0)</f>
        <v>0</v>
      </c>
      <c r="AG229" s="6">
        <f>IF((G226&lt;&gt;"")*(G230=""),IF((G226&lt;=$B$443)*((G227&gt;=$C$443)+(G227&lt;2/24)),1,0),0)</f>
        <v>0</v>
      </c>
      <c r="AH229" s="6">
        <f>IF((H226&lt;&gt;"")*(H230=""),IF((H226&lt;=$B$443)*((H227&gt;=$C$443)+(H227&lt;2/24)),1,0),0)</f>
        <v>0</v>
      </c>
      <c r="AI229" s="6">
        <f>IF((I226&lt;&gt;"")*(I230=""),IF((I226&lt;=$B$443)*((I227&gt;=$C$443)+(I227&lt;2/24)),1,0),0)</f>
        <v>0</v>
      </c>
      <c r="AJ229" s="6">
        <f>IF((J226&lt;&gt;"")*(J230=""),IF((J226&lt;=$B$443)*((J227&gt;=$C$443)+(J227&lt;2/24)),1,0),0)</f>
        <v>0</v>
      </c>
    </row>
    <row r="230" spans="1:36" hidden="1" x14ac:dyDescent="0.2">
      <c r="A230" s="39"/>
      <c r="B230" s="40"/>
      <c r="C230" s="32" t="s">
        <v>4</v>
      </c>
      <c r="D230" s="33"/>
      <c r="E230" s="33"/>
      <c r="F230" s="33"/>
      <c r="G230" s="33"/>
      <c r="H230" s="33"/>
      <c r="I230" s="33"/>
      <c r="J230" s="33"/>
      <c r="K230" s="17"/>
      <c r="L230" s="6"/>
      <c r="M230" s="25"/>
      <c r="N230" s="6"/>
      <c r="O230" s="6"/>
      <c r="P230" s="6"/>
      <c r="Q230" s="6"/>
      <c r="R230" s="6"/>
      <c r="S230" s="6"/>
      <c r="T230" s="6"/>
      <c r="U230" s="6"/>
      <c r="V230" s="20"/>
      <c r="W230" s="20"/>
      <c r="X230" s="20"/>
      <c r="Y230" s="20"/>
      <c r="Z230" s="20"/>
      <c r="AA230" s="20"/>
      <c r="AB230" s="20"/>
      <c r="AD230" s="6">
        <f>IF((D226&lt;&gt;"")*(D230=""),IF((D226&lt;=$B$444)*((D227&gt;=$C$444)+(D227&lt;2/24)),1,0),0)</f>
        <v>0</v>
      </c>
      <c r="AE230" s="6">
        <f>IF((E226&lt;&gt;"")*(E230=""),IF((E226&lt;=$B$444)*((E227&gt;=$C$444)+(E227&lt;2/24)),1,0),0)</f>
        <v>0</v>
      </c>
      <c r="AF230" s="6">
        <f>IF((F226&lt;&gt;"")*(F230=""),IF((F226&lt;=$B$444)*((F227&gt;=$C$444)+(F227&lt;2/24)),1,0),0)</f>
        <v>0</v>
      </c>
      <c r="AG230" s="6">
        <f>IF((G226&lt;&gt;"")*(G230=""),IF((G226&lt;=$B$444)*((G227&gt;=$C$444)+(G227&lt;2/24)),1,0),0)</f>
        <v>0</v>
      </c>
      <c r="AH230" s="6">
        <f>IF((H226&lt;&gt;"")*(H230=""),IF((H226&lt;=$B$444)*((H227&gt;=$C$444)+(H227&lt;2/24)),1,0),0)</f>
        <v>0</v>
      </c>
      <c r="AI230" s="6">
        <f>IF((I226&lt;&gt;"")*(I230=""),IF((I226&lt;=$B$444)*((I227&gt;=$C$444)+(I227&lt;2/24)),1,0),0)</f>
        <v>0</v>
      </c>
      <c r="AJ230" s="6">
        <f>IF((J226&lt;&gt;"")*(J230=""),IF((J226&lt;=$B$444)*((J227&gt;=$C$444)+(J227&lt;2/24)),1,0),0)</f>
        <v>0</v>
      </c>
    </row>
    <row r="231" spans="1:36" ht="13.5" hidden="1" thickBot="1" x14ac:dyDescent="0.25">
      <c r="A231" s="41"/>
      <c r="B231" s="42"/>
      <c r="C231" s="35" t="s">
        <v>28</v>
      </c>
      <c r="D231" s="36"/>
      <c r="E231" s="36"/>
      <c r="F231" s="36"/>
      <c r="G231" s="36"/>
      <c r="H231" s="36"/>
      <c r="I231" s="36"/>
      <c r="J231" s="36"/>
      <c r="K231" s="34"/>
      <c r="L231" s="6"/>
      <c r="M231" s="25"/>
      <c r="N231" s="6"/>
      <c r="O231" s="6"/>
      <c r="P231" s="6"/>
      <c r="Q231" s="6"/>
      <c r="R231" s="6"/>
      <c r="S231" s="6"/>
      <c r="T231" s="6"/>
      <c r="U231" s="6"/>
      <c r="V231" s="20"/>
      <c r="W231" s="20"/>
      <c r="X231" s="20"/>
      <c r="Y231" s="20"/>
      <c r="Z231" s="20"/>
      <c r="AA231" s="20"/>
      <c r="AB231" s="20"/>
      <c r="AD231" s="6"/>
      <c r="AE231" s="6"/>
      <c r="AF231" s="6"/>
      <c r="AG231" s="6"/>
      <c r="AH231" s="6"/>
      <c r="AI231" s="6"/>
      <c r="AJ231" s="6"/>
    </row>
    <row r="232" spans="1:36" ht="13.5" customHeight="1" x14ac:dyDescent="0.2">
      <c r="A232" s="37" t="s">
        <v>89</v>
      </c>
      <c r="B232" s="38" t="s">
        <v>90</v>
      </c>
      <c r="C232" s="14" t="s">
        <v>0</v>
      </c>
      <c r="D232" s="26"/>
      <c r="E232" s="26">
        <v>0.77083333333333337</v>
      </c>
      <c r="F232" s="26"/>
      <c r="G232" s="26">
        <v>0.54166666666666663</v>
      </c>
      <c r="H232" s="26"/>
      <c r="I232" s="26"/>
      <c r="J232" s="26">
        <v>0.77083333333333337</v>
      </c>
      <c r="K232" s="16"/>
      <c r="L232" s="6"/>
      <c r="M232" s="21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D232" s="6">
        <f>IF((D232&lt;&gt;"")*(D236=""),IF((D232&lt;=$B$440)*((D233&gt;=$C$440)+(D233&lt;2/24)),1,0),0)</f>
        <v>0</v>
      </c>
      <c r="AE232" s="6">
        <f>IF((E232&lt;&gt;"")*(E236=""),IF((E232&lt;=$B$440)*((E233&gt;=$C$440)+(E233&lt;2/24)),1,0),0)</f>
        <v>0</v>
      </c>
      <c r="AF232" s="6">
        <f>IF((F232&lt;&gt;"")*(F236=""),IF((F232&lt;=$B$440)*((F233&gt;=$C$440)+(F233&lt;2/24)),1,0),0)</f>
        <v>0</v>
      </c>
      <c r="AG232" s="6">
        <f>IF((G232&lt;&gt;"")*(G236=""),IF((G232&lt;=$B$440)*((G233&gt;=$C$440)+(G233&lt;2/24)),1,0),0)</f>
        <v>0</v>
      </c>
      <c r="AH232" s="6">
        <f>IF((H232&lt;&gt;"")*(H236=""),IF((H232&lt;=$B$440)*((H233&gt;=$C$440)+(H233&lt;2/24)),1,0),0)</f>
        <v>0</v>
      </c>
      <c r="AI232" s="6">
        <f>IF((I232&lt;&gt;"")*(I236=""),IF((I232&lt;=$B$440)*((I233&gt;=$C$440)+(I233&lt;2/24)),1,0),0)</f>
        <v>0</v>
      </c>
      <c r="AJ232" s="6">
        <f>IF((J232&lt;&gt;"")*(J236=""),IF((J232&lt;=$B$440)*((J233&gt;=$C$440)+(J233&lt;2/24)),1,0),0)</f>
        <v>0</v>
      </c>
    </row>
    <row r="233" spans="1:36" x14ac:dyDescent="0.2">
      <c r="A233" s="39"/>
      <c r="B233" s="40"/>
      <c r="C233" s="15" t="s">
        <v>1</v>
      </c>
      <c r="D233" s="27"/>
      <c r="E233" s="27">
        <v>0.95833333333333337</v>
      </c>
      <c r="F233" s="27"/>
      <c r="G233" s="27">
        <v>0.75</v>
      </c>
      <c r="H233" s="27"/>
      <c r="I233" s="27"/>
      <c r="J233" s="27">
        <v>0.95833333333333337</v>
      </c>
      <c r="K233" s="17">
        <v>0</v>
      </c>
      <c r="L233" s="6"/>
      <c r="M233" s="21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D233" s="6">
        <f>IF((D232&lt;&gt;"")*(D236=""),IF((D232&lt;=$B$441)*((D233&gt;=$C$441)+(D233&lt;2/24)),1,0),0)</f>
        <v>0</v>
      </c>
      <c r="AE233" s="6">
        <f>IF((E232&lt;&gt;"")*(E236=""),IF((E232&lt;=$B$441)*((E233&gt;=$C$441)+(E233&lt;2/24)),1,0),0)</f>
        <v>0</v>
      </c>
      <c r="AF233" s="6">
        <f>IF((F232&lt;&gt;"")*(F236=""),IF((F232&lt;=$B$441)*((F233&gt;=$C$441)+(F233&lt;2/24)),1,0),0)</f>
        <v>0</v>
      </c>
      <c r="AG233" s="6">
        <f>IF((G232&lt;&gt;"")*(G236=""),IF((G232&lt;=$B$441)*((G233&gt;=$C$441)+(G233&lt;2/24)),1,0),0)</f>
        <v>1</v>
      </c>
      <c r="AH233" s="6">
        <f>IF((H232&lt;&gt;"")*(H236=""),IF((H232&lt;=$B$441)*((H233&gt;=$C$441)+(H233&lt;2/24)),1,0),0)</f>
        <v>0</v>
      </c>
      <c r="AI233" s="6">
        <f>IF((I232&lt;&gt;"")*(I236=""),IF((I232&lt;=$B$441)*((I233&gt;=$C$441)+(I233&lt;2/24)),1,0),0)</f>
        <v>0</v>
      </c>
      <c r="AJ233" s="6">
        <f>IF((J232&lt;&gt;"")*(J236=""),IF((J232&lt;=$B$441)*((J233&gt;=$C$441)+(J233&lt;2/24)),1,0),0)</f>
        <v>0</v>
      </c>
    </row>
    <row r="234" spans="1:36" x14ac:dyDescent="0.2">
      <c r="A234" s="64" t="s">
        <v>179</v>
      </c>
      <c r="B234" s="40"/>
      <c r="C234" s="15" t="s">
        <v>2</v>
      </c>
      <c r="D234" s="4"/>
      <c r="E234" s="4"/>
      <c r="F234" s="4"/>
      <c r="G234" s="4"/>
      <c r="H234" s="4"/>
      <c r="I234" s="4"/>
      <c r="J234" s="4"/>
      <c r="K234" s="17"/>
      <c r="L234" s="6"/>
      <c r="M234" s="21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D234" s="6">
        <f>IF((D232&lt;&gt;"")*(D236=""),IF((D232&lt;=$B$442)*((D233&gt;=$C$442)+(D233&lt;2/24)),1,0),0)</f>
        <v>0</v>
      </c>
      <c r="AE234" s="6">
        <f>IF((E232&lt;&gt;"")*(E236=""),IF((E232&lt;=$B$442)*((E233&gt;=$C$442)+(E233&lt;2/24)),1,0),0)</f>
        <v>1</v>
      </c>
      <c r="AF234" s="6">
        <f>IF((F232&lt;&gt;"")*(F236=""),IF((F232&lt;=$B$442)*((F233&gt;=$C$442)+(F233&lt;2/24)),1,0),0)</f>
        <v>0</v>
      </c>
      <c r="AG234" s="6">
        <f>IF((G232&lt;&gt;"")*(G236=""),IF((G232&lt;=$B$442)*((G233&gt;=$C$442)+(G233&lt;2/24)),1,0),0)</f>
        <v>0</v>
      </c>
      <c r="AH234" s="6">
        <f>IF((H232&lt;&gt;"")*(H236=""),IF((H232&lt;=$B$442)*((H233&gt;=$C$442)+(H233&lt;2/24)),1,0),0)</f>
        <v>0</v>
      </c>
      <c r="AI234" s="6">
        <f>IF((I232&lt;&gt;"")*(I236=""),IF((I232&lt;=$B$442)*((I233&gt;=$C$442)+(I233&lt;2/24)),1,0),0)</f>
        <v>0</v>
      </c>
      <c r="AJ234" s="6">
        <f>IF((J232&lt;&gt;"")*(J236=""),IF((J232&lt;=$B$442)*((J233&gt;=$C$442)+(J233&lt;2/24)),1,0),0)</f>
        <v>1</v>
      </c>
    </row>
    <row r="235" spans="1:36" x14ac:dyDescent="0.2">
      <c r="A235" s="64" t="s">
        <v>150</v>
      </c>
      <c r="B235" s="40"/>
      <c r="C235" s="15" t="s">
        <v>3</v>
      </c>
      <c r="D235" s="43" t="str">
        <f t="shared" ref="D235:H235" si="76">IF(D232="","",IF(D233&gt;D232,(D233-D232-D234)*24,(1-D232-D234+D233)*24))</f>
        <v/>
      </c>
      <c r="E235" s="43">
        <v>4.5</v>
      </c>
      <c r="F235" s="43"/>
      <c r="G235" s="43">
        <f t="shared" si="76"/>
        <v>5.0000000000000009</v>
      </c>
      <c r="H235" s="43" t="str">
        <f t="shared" si="76"/>
        <v/>
      </c>
      <c r="I235" s="43" t="str">
        <f>IF(I232="","",IF(I233&gt;I232,(I233-I232-I234)*24,(1-I232-I234+I233)*24))</f>
        <v/>
      </c>
      <c r="J235" s="43">
        <f>IF(J232="","",IF(J233&gt;J232,(J233-J232-J234)*24,(1-J232-J234+J233)*24))</f>
        <v>4.5</v>
      </c>
      <c r="K235" s="18">
        <f>SUMIF(D236:J236,"",D235:J235)</f>
        <v>14</v>
      </c>
      <c r="L235" s="12">
        <f>SUM(D235:J235)</f>
        <v>14</v>
      </c>
      <c r="M235" s="24"/>
      <c r="N235" s="10" t="str">
        <f t="shared" ref="N235" si="77">IF(D236="",D235,0)</f>
        <v/>
      </c>
      <c r="O235" s="10">
        <f t="shared" ref="O235" si="78">IF(E236="",E235,0)</f>
        <v>4.5</v>
      </c>
      <c r="P235" s="10">
        <f t="shared" ref="P235" si="79">IF(F236="",F235,0)</f>
        <v>0</v>
      </c>
      <c r="Q235" s="10">
        <f t="shared" ref="Q235" si="80">IF(G236="",G235,0)</f>
        <v>5.0000000000000009</v>
      </c>
      <c r="R235" s="10" t="str">
        <f t="shared" ref="R235" si="81">IF(H236="",H235,0)</f>
        <v/>
      </c>
      <c r="S235" s="10" t="str">
        <f t="shared" ref="S235" si="82">IF(I236="",I235,0)</f>
        <v/>
      </c>
      <c r="T235" s="10">
        <f>IF(J236="",J235,0)</f>
        <v>4.5</v>
      </c>
      <c r="U235" s="10"/>
      <c r="V235" s="10" t="str">
        <f t="shared" ref="V235" si="83">D235</f>
        <v/>
      </c>
      <c r="W235" s="10">
        <f t="shared" ref="W235" si="84">E235</f>
        <v>4.5</v>
      </c>
      <c r="X235" s="10">
        <f t="shared" ref="X235" si="85">F235</f>
        <v>0</v>
      </c>
      <c r="Y235" s="10">
        <f t="shared" ref="Y235" si="86">G235</f>
        <v>5.0000000000000009</v>
      </c>
      <c r="Z235" s="10" t="str">
        <f t="shared" ref="Z235" si="87">H235</f>
        <v/>
      </c>
      <c r="AA235" s="10" t="str">
        <f t="shared" ref="AA235" si="88">I235</f>
        <v/>
      </c>
      <c r="AB235" s="10">
        <f>J235</f>
        <v>4.5</v>
      </c>
      <c r="AD235" s="6">
        <f>IF((D232&lt;&gt;"")*(D236=""),IF((D232&lt;=$B$443)*((D233&gt;=$C$443)+(D233&lt;2/24)),1,0),0)</f>
        <v>0</v>
      </c>
      <c r="AE235" s="6">
        <f>IF((E232&lt;&gt;"")*(E236=""),IF((E232&lt;=$B$443)*((E233&gt;=$C$443)+(E233&lt;2/24)),1,0),0)</f>
        <v>1</v>
      </c>
      <c r="AF235" s="6">
        <f>IF((F232&lt;&gt;"")*(F236=""),IF((F232&lt;=$B$443)*((F233&gt;=$C$443)+(F233&lt;2/24)),1,0),0)</f>
        <v>0</v>
      </c>
      <c r="AG235" s="6">
        <f>IF((G232&lt;&gt;"")*(G236=""),IF((G232&lt;=$B$443)*((G233&gt;=$C$443)+(G233&lt;2/24)),1,0),0)</f>
        <v>1</v>
      </c>
      <c r="AH235" s="6">
        <f>IF((H232&lt;&gt;"")*(H236=""),IF((H232&lt;=$B$443)*((H233&gt;=$C$443)+(H233&lt;2/24)),1,0),0)</f>
        <v>0</v>
      </c>
      <c r="AI235" s="6">
        <f>IF((I232&lt;&gt;"")*(I236=""),IF((I232&lt;=$B$443)*((I233&gt;=$C$443)+(I233&lt;2/24)),1,0),0)</f>
        <v>0</v>
      </c>
      <c r="AJ235" s="6">
        <f>IF((J232&lt;&gt;"")*(J236=""),IF((J232&lt;=$B$443)*((J233&gt;=$C$443)+(J233&lt;2/24)),1,0),0)</f>
        <v>1</v>
      </c>
    </row>
    <row r="236" spans="1:36" x14ac:dyDescent="0.2">
      <c r="A236" s="39"/>
      <c r="B236" s="40"/>
      <c r="C236" s="32" t="s">
        <v>4</v>
      </c>
      <c r="D236" s="33"/>
      <c r="E236" s="33"/>
      <c r="F236" s="33"/>
      <c r="G236" s="33"/>
      <c r="H236" s="33"/>
      <c r="I236" s="33"/>
      <c r="J236" s="33"/>
      <c r="K236" s="17"/>
      <c r="L236" s="6"/>
      <c r="M236" s="25"/>
      <c r="N236" s="6"/>
      <c r="O236" s="6"/>
      <c r="P236" s="6"/>
      <c r="Q236" s="6"/>
      <c r="R236" s="6"/>
      <c r="S236" s="6"/>
      <c r="T236" s="6"/>
      <c r="U236" s="6"/>
      <c r="V236" s="20"/>
      <c r="W236" s="20"/>
      <c r="X236" s="20"/>
      <c r="Y236" s="20"/>
      <c r="Z236" s="20"/>
      <c r="AA236" s="20"/>
      <c r="AB236" s="20"/>
      <c r="AD236" s="6">
        <f>IF((D232&lt;&gt;"")*(D236=""),IF((D232&lt;=$B$444)*((D233&gt;=$C$444)+(D233&lt;2/24)),1,0),0)</f>
        <v>0</v>
      </c>
      <c r="AE236" s="6">
        <f>IF((E232&lt;&gt;"")*(E236=""),IF((E232&lt;=$B$444)*((E233&gt;=$C$444)+(E233&lt;2/24)),1,0),0)</f>
        <v>1</v>
      </c>
      <c r="AF236" s="6">
        <f>IF((F232&lt;&gt;"")*(F236=""),IF((F232&lt;=$B$444)*((F233&gt;=$C$444)+(F233&lt;2/24)),1,0),0)</f>
        <v>0</v>
      </c>
      <c r="AG236" s="6">
        <f>IF((G232&lt;&gt;"")*(G236=""),IF((G232&lt;=$B$444)*((G233&gt;=$C$444)+(G233&lt;2/24)),1,0),0)</f>
        <v>1</v>
      </c>
      <c r="AH236" s="6">
        <f>IF((H232&lt;&gt;"")*(H236=""),IF((H232&lt;=$B$444)*((H233&gt;=$C$444)+(H233&lt;2/24)),1,0),0)</f>
        <v>0</v>
      </c>
      <c r="AI236" s="6">
        <f>IF((I232&lt;&gt;"")*(I236=""),IF((I232&lt;=$B$444)*((I233&gt;=$C$444)+(I233&lt;2/24)),1,0),0)</f>
        <v>0</v>
      </c>
      <c r="AJ236" s="6">
        <f>IF((J232&lt;&gt;"")*(J236=""),IF((J232&lt;=$B$444)*((J233&gt;=$C$444)+(J233&lt;2/24)),1,0),0)</f>
        <v>1</v>
      </c>
    </row>
    <row r="237" spans="1:36" ht="13.5" thickBot="1" x14ac:dyDescent="0.25">
      <c r="A237" s="41"/>
      <c r="B237" s="42"/>
      <c r="C237" s="35" t="s">
        <v>28</v>
      </c>
      <c r="D237" s="36"/>
      <c r="E237" s="36"/>
      <c r="F237" s="36"/>
      <c r="G237" s="36"/>
      <c r="H237" s="36"/>
      <c r="I237" s="36"/>
      <c r="J237" s="36"/>
      <c r="K237" s="34"/>
      <c r="L237" s="6"/>
      <c r="M237" s="25"/>
      <c r="N237" s="6"/>
      <c r="O237" s="6"/>
      <c r="P237" s="6"/>
      <c r="Q237" s="6"/>
      <c r="R237" s="6"/>
      <c r="S237" s="6"/>
      <c r="T237" s="6"/>
      <c r="U237" s="6"/>
      <c r="V237" s="20"/>
      <c r="W237" s="20"/>
      <c r="X237" s="20"/>
      <c r="Y237" s="20"/>
      <c r="Z237" s="20"/>
      <c r="AA237" s="20"/>
      <c r="AB237" s="20"/>
      <c r="AD237" s="6"/>
      <c r="AE237" s="6"/>
      <c r="AF237" s="6"/>
      <c r="AG237" s="6"/>
      <c r="AH237" s="6"/>
      <c r="AI237" s="6"/>
      <c r="AJ237" s="6"/>
    </row>
    <row r="238" spans="1:36" ht="13.5" customHeight="1" x14ac:dyDescent="0.2">
      <c r="A238" s="37" t="s">
        <v>97</v>
      </c>
      <c r="B238" s="38" t="s">
        <v>98</v>
      </c>
      <c r="C238" s="14" t="s">
        <v>0</v>
      </c>
      <c r="D238" s="26"/>
      <c r="E238" s="26">
        <v>0.77083333333333337</v>
      </c>
      <c r="F238" s="26"/>
      <c r="G238" s="26">
        <v>0.77083333333333337</v>
      </c>
      <c r="H238" s="26"/>
      <c r="I238" s="26"/>
      <c r="J238" s="26"/>
      <c r="K238" s="16"/>
      <c r="L238" s="6"/>
      <c r="M238" s="21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D238" s="6">
        <f>IF((D238&lt;&gt;"")*(D242=""),IF((D238&lt;=$B$440)*((D239&gt;=$C$440)+(D239&lt;2/24)),1,0),0)</f>
        <v>0</v>
      </c>
      <c r="AE238" s="6">
        <f>IF((E238&lt;&gt;"")*(E242=""),IF((E238&lt;=$B$440)*((E239&gt;=$C$440)+(E239&lt;2/24)),1,0),0)</f>
        <v>0</v>
      </c>
      <c r="AF238" s="6">
        <f>IF((F238&lt;&gt;"")*(F242=""),IF((F238&lt;=$B$440)*((F239&gt;=$C$440)+(F239&lt;2/24)),1,0),0)</f>
        <v>0</v>
      </c>
      <c r="AG238" s="6">
        <f>IF((G238&lt;&gt;"")*(G242=""),IF((G238&lt;=$B$440)*((G239&gt;=$C$440)+(G239&lt;2/24)),1,0),0)</f>
        <v>0</v>
      </c>
      <c r="AH238" s="6">
        <f>IF((H238&lt;&gt;"")*(H242=""),IF((H238&lt;=$B$440)*((H239&gt;=$C$440)+(H239&lt;2/24)),1,0),0)</f>
        <v>0</v>
      </c>
      <c r="AI238" s="6">
        <f>IF((I238&lt;&gt;"")*(I242=""),IF((I238&lt;=$B$440)*((I239&gt;=$C$440)+(I239&lt;2/24)),1,0),0)</f>
        <v>0</v>
      </c>
      <c r="AJ238" s="6">
        <f>IF((J238&lt;&gt;"")*(J242=""),IF((J238&lt;=$B$440)*((J239&gt;=$C$440)+(J239&lt;2/24)),1,0),0)</f>
        <v>0</v>
      </c>
    </row>
    <row r="239" spans="1:36" x14ac:dyDescent="0.2">
      <c r="A239" s="39"/>
      <c r="B239" s="40"/>
      <c r="C239" s="15" t="s">
        <v>1</v>
      </c>
      <c r="D239" s="27"/>
      <c r="E239" s="27">
        <v>0.95833333333333337</v>
      </c>
      <c r="F239" s="27"/>
      <c r="G239" s="27">
        <v>0.95833333333333337</v>
      </c>
      <c r="H239" s="27"/>
      <c r="I239" s="27"/>
      <c r="J239" s="27"/>
      <c r="K239" s="17">
        <v>0</v>
      </c>
      <c r="L239" s="6"/>
      <c r="M239" s="21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D239" s="6">
        <f>IF((D238&lt;&gt;"")*(D242=""),IF((D238&lt;=$B$441)*((D239&gt;=$C$441)+(D239&lt;2/24)),1,0),0)</f>
        <v>0</v>
      </c>
      <c r="AE239" s="6">
        <f>IF((E238&lt;&gt;"")*(E242=""),IF((E238&lt;=$B$441)*((E239&gt;=$C$441)+(E239&lt;2/24)),1,0),0)</f>
        <v>0</v>
      </c>
      <c r="AF239" s="6">
        <f>IF((F238&lt;&gt;"")*(F242=""),IF((F238&lt;=$B$441)*((F239&gt;=$C$441)+(F239&lt;2/24)),1,0),0)</f>
        <v>0</v>
      </c>
      <c r="AG239" s="6">
        <f>IF((G238&lt;&gt;"")*(G242=""),IF((G238&lt;=$B$441)*((G239&gt;=$C$441)+(G239&lt;2/24)),1,0),0)</f>
        <v>0</v>
      </c>
      <c r="AH239" s="6">
        <f>IF((H238&lt;&gt;"")*(H242=""),IF((H238&lt;=$B$441)*((H239&gt;=$C$441)+(H239&lt;2/24)),1,0),0)</f>
        <v>0</v>
      </c>
      <c r="AI239" s="6">
        <f>IF((I238&lt;&gt;"")*(I242=""),IF((I238&lt;=$B$441)*((I239&gt;=$C$441)+(I239&lt;2/24)),1,0),0)</f>
        <v>0</v>
      </c>
      <c r="AJ239" s="6">
        <f>IF((J238&lt;&gt;"")*(J242=""),IF((J238&lt;=$B$441)*((J239&gt;=$C$441)+(J239&lt;2/24)),1,0),0)</f>
        <v>0</v>
      </c>
    </row>
    <row r="240" spans="1:36" x14ac:dyDescent="0.2">
      <c r="A240" s="69" t="s">
        <v>175</v>
      </c>
      <c r="B240" s="40"/>
      <c r="C240" s="15" t="s">
        <v>2</v>
      </c>
      <c r="D240" s="4"/>
      <c r="E240" s="4"/>
      <c r="F240" s="4"/>
      <c r="G240" s="4"/>
      <c r="H240" s="4"/>
      <c r="I240" s="4"/>
      <c r="J240" s="4"/>
      <c r="K240" s="17"/>
      <c r="L240" s="6"/>
      <c r="M240" s="21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D240" s="6">
        <f>IF((D238&lt;&gt;"")*(D242=""),IF((D238&lt;=$B$442)*((D239&gt;=$C$442)+(D239&lt;2/24)),1,0),0)</f>
        <v>0</v>
      </c>
      <c r="AE240" s="6">
        <f>IF((E238&lt;&gt;"")*(E242=""),IF((E238&lt;=$B$442)*((E239&gt;=$C$442)+(E239&lt;2/24)),1,0),0)</f>
        <v>1</v>
      </c>
      <c r="AF240" s="6">
        <f>IF((F238&lt;&gt;"")*(F242=""),IF((F238&lt;=$B$442)*((F239&gt;=$C$442)+(F239&lt;2/24)),1,0),0)</f>
        <v>0</v>
      </c>
      <c r="AG240" s="6">
        <f>IF((G238&lt;&gt;"")*(G242=""),IF((G238&lt;=$B$442)*((G239&gt;=$C$442)+(G239&lt;2/24)),1,0),0)</f>
        <v>1</v>
      </c>
      <c r="AH240" s="6">
        <f>IF((H238&lt;&gt;"")*(H242=""),IF((H238&lt;=$B$442)*((H239&gt;=$C$442)+(H239&lt;2/24)),1,0),0)</f>
        <v>0</v>
      </c>
      <c r="AI240" s="6">
        <f>IF((I238&lt;&gt;"")*(I242=""),IF((I238&lt;=$B$442)*((I239&gt;=$C$442)+(I239&lt;2/24)),1,0),0)</f>
        <v>0</v>
      </c>
      <c r="AJ240" s="6">
        <f>IF((J238&lt;&gt;"")*(J242=""),IF((J238&lt;=$B$442)*((J239&gt;=$C$442)+(J239&lt;2/24)),1,0),0)</f>
        <v>0</v>
      </c>
    </row>
    <row r="241" spans="1:36" x14ac:dyDescent="0.2">
      <c r="A241" s="64" t="s">
        <v>150</v>
      </c>
      <c r="B241" s="40"/>
      <c r="C241" s="15" t="s">
        <v>3</v>
      </c>
      <c r="D241" s="43"/>
      <c r="E241" s="43">
        <f t="shared" ref="E241:H241" si="89">IF(E238="","",IF(E239&gt;E238,(E239-E238-E240)*24,(1-E238-E240+E239)*24))</f>
        <v>4.5</v>
      </c>
      <c r="F241" s="43" t="str">
        <f t="shared" si="89"/>
        <v/>
      </c>
      <c r="G241" s="43">
        <f t="shared" si="89"/>
        <v>4.5</v>
      </c>
      <c r="H241" s="43" t="str">
        <f t="shared" si="89"/>
        <v/>
      </c>
      <c r="I241" s="43" t="str">
        <f>IF(I238="","",IF(I239&gt;I238,(I239-I238-I240)*24,(1-I238-I240+I239)*24))</f>
        <v/>
      </c>
      <c r="J241" s="43" t="str">
        <f>IF(J238="","",IF(J239&gt;J238,(J239-J238-J240)*24,(1-J238-J240+J239)*24))</f>
        <v/>
      </c>
      <c r="K241" s="18">
        <f>SUMIF(D242:J242,"",D241:J241)</f>
        <v>9</v>
      </c>
      <c r="L241" s="12">
        <f>SUM(D241:J241)</f>
        <v>9</v>
      </c>
      <c r="M241" s="24"/>
      <c r="N241" s="10">
        <f t="shared" ref="N241" si="90">IF(D242="",D241,0)</f>
        <v>0</v>
      </c>
      <c r="O241" s="10">
        <f t="shared" ref="O241" si="91">IF(E242="",E241,0)</f>
        <v>4.5</v>
      </c>
      <c r="P241" s="10" t="str">
        <f t="shared" ref="P241" si="92">IF(F242="",F241,0)</f>
        <v/>
      </c>
      <c r="Q241" s="10">
        <f t="shared" ref="Q241" si="93">IF(G242="",G241,0)</f>
        <v>4.5</v>
      </c>
      <c r="R241" s="10" t="str">
        <f t="shared" ref="R241" si="94">IF(H242="",H241,0)</f>
        <v/>
      </c>
      <c r="S241" s="10" t="str">
        <f t="shared" ref="S241" si="95">IF(I242="",I241,0)</f>
        <v/>
      </c>
      <c r="T241" s="10" t="str">
        <f>IF(J242="",J241,0)</f>
        <v/>
      </c>
      <c r="U241" s="10"/>
      <c r="V241" s="10">
        <f t="shared" ref="V241" si="96">D241</f>
        <v>0</v>
      </c>
      <c r="W241" s="10">
        <f t="shared" ref="W241" si="97">E241</f>
        <v>4.5</v>
      </c>
      <c r="X241" s="10" t="str">
        <f t="shared" ref="X241" si="98">F241</f>
        <v/>
      </c>
      <c r="Y241" s="10">
        <f t="shared" ref="Y241" si="99">G241</f>
        <v>4.5</v>
      </c>
      <c r="Z241" s="10" t="str">
        <f t="shared" ref="Z241" si="100">H241</f>
        <v/>
      </c>
      <c r="AA241" s="10" t="str">
        <f t="shared" ref="AA241" si="101">I241</f>
        <v/>
      </c>
      <c r="AB241" s="10" t="str">
        <f>J241</f>
        <v/>
      </c>
      <c r="AD241" s="6">
        <f>IF((D238&lt;&gt;"")*(D242=""),IF((D238&lt;=$B$443)*((D239&gt;=$C$443)+(D239&lt;2/24)),1,0),0)</f>
        <v>0</v>
      </c>
      <c r="AE241" s="6">
        <f>IF((E238&lt;&gt;"")*(E242=""),IF((E238&lt;=$B$443)*((E239&gt;=$C$443)+(E239&lt;2/24)),1,0),0)</f>
        <v>1</v>
      </c>
      <c r="AF241" s="6">
        <f>IF((F238&lt;&gt;"")*(F242=""),IF((F238&lt;=$B$443)*((F239&gt;=$C$443)+(F239&lt;2/24)),1,0),0)</f>
        <v>0</v>
      </c>
      <c r="AG241" s="6">
        <f>IF((G238&lt;&gt;"")*(G242=""),IF((G238&lt;=$B$443)*((G239&gt;=$C$443)+(G239&lt;2/24)),1,0),0)</f>
        <v>1</v>
      </c>
      <c r="AH241" s="6">
        <f>IF((H238&lt;&gt;"")*(H242=""),IF((H238&lt;=$B$443)*((H239&gt;=$C$443)+(H239&lt;2/24)),1,0),0)</f>
        <v>0</v>
      </c>
      <c r="AI241" s="6">
        <f>IF((I238&lt;&gt;"")*(I242=""),IF((I238&lt;=$B$443)*((I239&gt;=$C$443)+(I239&lt;2/24)),1,0),0)</f>
        <v>0</v>
      </c>
      <c r="AJ241" s="6">
        <f>IF((J238&lt;&gt;"")*(J242=""),IF((J238&lt;=$B$443)*((J239&gt;=$C$443)+(J239&lt;2/24)),1,0),0)</f>
        <v>0</v>
      </c>
    </row>
    <row r="242" spans="1:36" x14ac:dyDescent="0.2">
      <c r="A242" s="39"/>
      <c r="B242" s="40"/>
      <c r="C242" s="32" t="s">
        <v>4</v>
      </c>
      <c r="D242" s="33"/>
      <c r="E242" s="33"/>
      <c r="F242" s="33"/>
      <c r="G242" s="33"/>
      <c r="H242" s="33"/>
      <c r="I242" s="33"/>
      <c r="J242" s="33"/>
      <c r="K242" s="17"/>
      <c r="L242" s="6"/>
      <c r="M242" s="25"/>
      <c r="N242" s="6"/>
      <c r="O242" s="6"/>
      <c r="P242" s="6"/>
      <c r="Q242" s="6"/>
      <c r="R242" s="6"/>
      <c r="S242" s="6"/>
      <c r="T242" s="6"/>
      <c r="U242" s="6"/>
      <c r="V242" s="20"/>
      <c r="W242" s="20"/>
      <c r="X242" s="20"/>
      <c r="Y242" s="20"/>
      <c r="Z242" s="20"/>
      <c r="AA242" s="20"/>
      <c r="AB242" s="20"/>
      <c r="AD242" s="6">
        <f>IF((D238&lt;&gt;"")*(D242=""),IF((D238&lt;=$B$444)*((D239&gt;=$C$444)+(D239&lt;2/24)),1,0),0)</f>
        <v>0</v>
      </c>
      <c r="AE242" s="6">
        <f>IF((E238&lt;&gt;"")*(E242=""),IF((E238&lt;=$B$444)*((E239&gt;=$C$444)+(E239&lt;2/24)),1,0),0)</f>
        <v>1</v>
      </c>
      <c r="AF242" s="6">
        <f>IF((F238&lt;&gt;"")*(F242=""),IF((F238&lt;=$B$444)*((F239&gt;=$C$444)+(F239&lt;2/24)),1,0),0)</f>
        <v>0</v>
      </c>
      <c r="AG242" s="6">
        <f>IF((G238&lt;&gt;"")*(G242=""),IF((G238&lt;=$B$444)*((G239&gt;=$C$444)+(G239&lt;2/24)),1,0),0)</f>
        <v>1</v>
      </c>
      <c r="AH242" s="6">
        <f>IF((H238&lt;&gt;"")*(H242=""),IF((H238&lt;=$B$444)*((H239&gt;=$C$444)+(H239&lt;2/24)),1,0),0)</f>
        <v>0</v>
      </c>
      <c r="AI242" s="6">
        <f>IF((I238&lt;&gt;"")*(I242=""),IF((I238&lt;=$B$444)*((I239&gt;=$C$444)+(I239&lt;2/24)),1,0),0)</f>
        <v>0</v>
      </c>
      <c r="AJ242" s="6">
        <f>IF((J238&lt;&gt;"")*(J242=""),IF((J238&lt;=$B$444)*((J239&gt;=$C$444)+(J239&lt;2/24)),1,0),0)</f>
        <v>0</v>
      </c>
    </row>
    <row r="243" spans="1:36" ht="13.5" thickBot="1" x14ac:dyDescent="0.25">
      <c r="A243" s="41"/>
      <c r="B243" s="42"/>
      <c r="C243" s="35" t="s">
        <v>28</v>
      </c>
      <c r="D243" s="36"/>
      <c r="E243" s="36"/>
      <c r="F243" s="36"/>
      <c r="G243" s="36" t="s">
        <v>160</v>
      </c>
      <c r="H243" s="36"/>
      <c r="I243" s="36"/>
      <c r="J243" s="36"/>
      <c r="K243" s="34"/>
      <c r="L243" s="6"/>
      <c r="M243" s="25"/>
      <c r="N243" s="6"/>
      <c r="O243" s="6"/>
      <c r="P243" s="6"/>
      <c r="Q243" s="6"/>
      <c r="R243" s="6"/>
      <c r="S243" s="6"/>
      <c r="T243" s="6"/>
      <c r="U243" s="6"/>
      <c r="V243" s="20"/>
      <c r="W243" s="20"/>
      <c r="X243" s="20"/>
      <c r="Y243" s="20"/>
      <c r="Z243" s="20"/>
      <c r="AA243" s="20"/>
      <c r="AB243" s="20"/>
      <c r="AD243" s="6"/>
      <c r="AE243" s="6"/>
      <c r="AF243" s="6"/>
      <c r="AG243" s="6"/>
      <c r="AH243" s="6"/>
      <c r="AI243" s="6"/>
      <c r="AJ243" s="6"/>
    </row>
    <row r="244" spans="1:36" ht="13.5" customHeight="1" x14ac:dyDescent="0.2">
      <c r="A244" s="37" t="s">
        <v>128</v>
      </c>
      <c r="B244" s="38" t="s">
        <v>37</v>
      </c>
      <c r="C244" s="14" t="s">
        <v>0</v>
      </c>
      <c r="D244" s="26"/>
      <c r="E244" s="26"/>
      <c r="F244" s="26"/>
      <c r="G244" s="26"/>
      <c r="H244" s="26"/>
      <c r="I244" s="26"/>
      <c r="J244" s="26"/>
      <c r="K244" s="16"/>
      <c r="L244" s="6"/>
      <c r="M244" s="21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D244" s="6">
        <f>IF((D244&lt;&gt;"")*(D248=""),IF((D244&lt;=$B$440)*((D245&gt;=$C$440)+(D245&lt;2/24)),1,0),0)</f>
        <v>0</v>
      </c>
      <c r="AE244" s="6">
        <f>IF((E244&lt;&gt;"")*(E248=""),IF((E244&lt;=$B$440)*((E245&gt;=$C$440)+(E245&lt;2/24)),1,0),0)</f>
        <v>0</v>
      </c>
      <c r="AF244" s="6">
        <f>IF((F244&lt;&gt;"")*(F248=""),IF((F244&lt;=$B$440)*((F245&gt;=$C$440)+(F245&lt;2/24)),1,0),0)</f>
        <v>0</v>
      </c>
      <c r="AG244" s="6">
        <f>IF((G244&lt;&gt;"")*(G248=""),IF((G244&lt;=$B$440)*((G245&gt;=$C$440)+(G245&lt;2/24)),1,0),0)</f>
        <v>0</v>
      </c>
      <c r="AH244" s="6">
        <f>IF((H244&lt;&gt;"")*(H248=""),IF((H244&lt;=$B$440)*((H245&gt;=$C$440)+(H245&lt;2/24)),1,0),0)</f>
        <v>0</v>
      </c>
      <c r="AI244" s="6">
        <f>IF((I244&lt;&gt;"")*(I248=""),IF((I244&lt;=$B$440)*((I245&gt;=$C$440)+(I245&lt;2/24)),1,0),0)</f>
        <v>0</v>
      </c>
      <c r="AJ244" s="6">
        <f>IF((J244&lt;&gt;"")*(J248=""),IF((J244&lt;=$B$440)*((J245&gt;=$C$440)+(J245&lt;2/24)),1,0),0)</f>
        <v>0</v>
      </c>
    </row>
    <row r="245" spans="1:36" x14ac:dyDescent="0.2">
      <c r="A245" s="39"/>
      <c r="B245" s="40"/>
      <c r="C245" s="15" t="s">
        <v>1</v>
      </c>
      <c r="D245" s="27"/>
      <c r="E245" s="27"/>
      <c r="F245" s="27"/>
      <c r="G245" s="27"/>
      <c r="H245" s="27"/>
      <c r="I245" s="27"/>
      <c r="J245" s="27"/>
      <c r="K245" s="17">
        <v>0</v>
      </c>
      <c r="L245" s="6"/>
      <c r="M245" s="21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D245" s="6">
        <f>IF((D244&lt;&gt;"")*(D248=""),IF((D244&lt;=$B$441)*((D245&gt;=$C$441)+(D245&lt;2/24)),1,0),0)</f>
        <v>0</v>
      </c>
      <c r="AE245" s="6">
        <f>IF((E244&lt;&gt;"")*(E248=""),IF((E244&lt;=$B$441)*((E245&gt;=$C$441)+(E245&lt;2/24)),1,0),0)</f>
        <v>0</v>
      </c>
      <c r="AF245" s="6">
        <f>IF((F244&lt;&gt;"")*(F248=""),IF((F244&lt;=$B$441)*((F245&gt;=$C$441)+(F245&lt;2/24)),1,0),0)</f>
        <v>0</v>
      </c>
      <c r="AG245" s="6">
        <f>IF((G244&lt;&gt;"")*(G248=""),IF((G244&lt;=$B$441)*((G245&gt;=$C$441)+(G245&lt;2/24)),1,0),0)</f>
        <v>0</v>
      </c>
      <c r="AH245" s="6">
        <f>IF((H244&lt;&gt;"")*(H248=""),IF((H244&lt;=$B$441)*((H245&gt;=$C$441)+(H245&lt;2/24)),1,0),0)</f>
        <v>0</v>
      </c>
      <c r="AI245" s="6">
        <f>IF((I244&lt;&gt;"")*(I248=""),IF((I244&lt;=$B$441)*((I245&gt;=$C$441)+(I245&lt;2/24)),1,0),0)</f>
        <v>0</v>
      </c>
      <c r="AJ245" s="6">
        <f>IF((J244&lt;&gt;"")*(J248=""),IF((J244&lt;=$B$441)*((J245&gt;=$C$441)+(J245&lt;2/24)),1,0),0)</f>
        <v>0</v>
      </c>
    </row>
    <row r="246" spans="1:36" x14ac:dyDescent="0.2">
      <c r="A246" s="69" t="s">
        <v>169</v>
      </c>
      <c r="B246" s="40"/>
      <c r="C246" s="15" t="s">
        <v>2</v>
      </c>
      <c r="D246" s="4"/>
      <c r="E246" s="4"/>
      <c r="F246" s="4"/>
      <c r="G246" s="4"/>
      <c r="H246" s="4"/>
      <c r="I246" s="4"/>
      <c r="J246" s="4"/>
      <c r="K246" s="17"/>
      <c r="L246" s="6"/>
      <c r="M246" s="21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D246" s="6">
        <f>IF((D244&lt;&gt;"")*(D248=""),IF((D244&lt;=$B$442)*((D245&gt;=$C$442)+(D245&lt;2/24)),1,0),0)</f>
        <v>0</v>
      </c>
      <c r="AE246" s="6">
        <f>IF((E244&lt;&gt;"")*(E248=""),IF((E244&lt;=$B$442)*((E245&gt;=$C$442)+(E245&lt;2/24)),1,0),0)</f>
        <v>0</v>
      </c>
      <c r="AF246" s="6">
        <f>IF((F244&lt;&gt;"")*(F248=""),IF((F244&lt;=$B$442)*((F245&gt;=$C$442)+(F245&lt;2/24)),1,0),0)</f>
        <v>0</v>
      </c>
      <c r="AG246" s="6">
        <f>IF((G244&lt;&gt;"")*(G248=""),IF((G244&lt;=$B$442)*((G245&gt;=$C$442)+(G245&lt;2/24)),1,0),0)</f>
        <v>0</v>
      </c>
      <c r="AH246" s="6">
        <f>IF((H244&lt;&gt;"")*(H248=""),IF((H244&lt;=$B$442)*((H245&gt;=$C$442)+(H245&lt;2/24)),1,0),0)</f>
        <v>0</v>
      </c>
      <c r="AI246" s="6">
        <f>IF((I244&lt;&gt;"")*(I248=""),IF((I244&lt;=$B$442)*((I245&gt;=$C$442)+(I245&lt;2/24)),1,0),0)</f>
        <v>0</v>
      </c>
      <c r="AJ246" s="6">
        <f>IF((J244&lt;&gt;"")*(J248=""),IF((J244&lt;=$B$442)*((J245&gt;=$C$442)+(J245&lt;2/24)),1,0),0)</f>
        <v>0</v>
      </c>
    </row>
    <row r="247" spans="1:36" x14ac:dyDescent="0.2">
      <c r="A247" s="64" t="s">
        <v>150</v>
      </c>
      <c r="B247" s="40"/>
      <c r="C247" s="15" t="s">
        <v>3</v>
      </c>
      <c r="D247" s="43"/>
      <c r="E247" s="43" t="str">
        <f t="shared" ref="E247:H247" si="102">IF(E244="","",IF(E245&gt;E244,(E245-E244-E246)*24,(1-E244-E246+E245)*24))</f>
        <v/>
      </c>
      <c r="F247" s="43" t="str">
        <f t="shared" si="102"/>
        <v/>
      </c>
      <c r="G247" s="43" t="str">
        <f t="shared" si="102"/>
        <v/>
      </c>
      <c r="H247" s="43" t="str">
        <f t="shared" si="102"/>
        <v/>
      </c>
      <c r="I247" s="43" t="str">
        <f>IF(I244="","",IF(I245&gt;I244,(I245-I244-I246)*24,(1-I244-I246+I245)*24))</f>
        <v/>
      </c>
      <c r="J247" s="43" t="str">
        <f>IF(J244="","",IF(J245&gt;J244,(J245-J244-J246)*24,(1-J244-J246+J245)*24))</f>
        <v/>
      </c>
      <c r="K247" s="18">
        <f>SUMIF(D248:J248,"",D247:J247)</f>
        <v>0</v>
      </c>
      <c r="L247" s="12">
        <f>SUM(D247:J247)</f>
        <v>0</v>
      </c>
      <c r="M247" s="24"/>
      <c r="N247" s="10">
        <f t="shared" ref="N247" si="103">IF(D248="",D247,0)</f>
        <v>0</v>
      </c>
      <c r="O247" s="10" t="str">
        <f t="shared" ref="O247" si="104">IF(E248="",E247,0)</f>
        <v/>
      </c>
      <c r="P247" s="10" t="str">
        <f t="shared" ref="P247" si="105">IF(F248="",F247,0)</f>
        <v/>
      </c>
      <c r="Q247" s="10" t="str">
        <f t="shared" ref="Q247" si="106">IF(G248="",G247,0)</f>
        <v/>
      </c>
      <c r="R247" s="10" t="str">
        <f t="shared" ref="R247" si="107">IF(H248="",H247,0)</f>
        <v/>
      </c>
      <c r="S247" s="10" t="str">
        <f t="shared" ref="S247" si="108">IF(I248="",I247,0)</f>
        <v/>
      </c>
      <c r="T247" s="10" t="str">
        <f>IF(J248="",J247,0)</f>
        <v/>
      </c>
      <c r="U247" s="10"/>
      <c r="V247" s="10">
        <f t="shared" ref="V247" si="109">D247</f>
        <v>0</v>
      </c>
      <c r="W247" s="10" t="str">
        <f t="shared" ref="W247" si="110">E247</f>
        <v/>
      </c>
      <c r="X247" s="10" t="str">
        <f t="shared" ref="X247" si="111">F247</f>
        <v/>
      </c>
      <c r="Y247" s="10" t="str">
        <f t="shared" ref="Y247" si="112">G247</f>
        <v/>
      </c>
      <c r="Z247" s="10" t="str">
        <f t="shared" ref="Z247" si="113">H247</f>
        <v/>
      </c>
      <c r="AA247" s="10" t="str">
        <f t="shared" ref="AA247" si="114">I247</f>
        <v/>
      </c>
      <c r="AB247" s="10" t="str">
        <f>J247</f>
        <v/>
      </c>
      <c r="AD247" s="6">
        <f>IF((D244&lt;&gt;"")*(D248=""),IF((D244&lt;=$B$443)*((D245&gt;=$C$443)+(D245&lt;2/24)),1,0),0)</f>
        <v>0</v>
      </c>
      <c r="AE247" s="6">
        <f>IF((E244&lt;&gt;"")*(E248=""),IF((E244&lt;=$B$443)*((E245&gt;=$C$443)+(E245&lt;2/24)),1,0),0)</f>
        <v>0</v>
      </c>
      <c r="AF247" s="6">
        <f>IF((F244&lt;&gt;"")*(F248=""),IF((F244&lt;=$B$443)*((F245&gt;=$C$443)+(F245&lt;2/24)),1,0),0)</f>
        <v>0</v>
      </c>
      <c r="AG247" s="6">
        <f>IF((G244&lt;&gt;"")*(G248=""),IF((G244&lt;=$B$443)*((G245&gt;=$C$443)+(G245&lt;2/24)),1,0),0)</f>
        <v>0</v>
      </c>
      <c r="AH247" s="6">
        <f>IF((H244&lt;&gt;"")*(H248=""),IF((H244&lt;=$B$443)*((H245&gt;=$C$443)+(H245&lt;2/24)),1,0),0)</f>
        <v>0</v>
      </c>
      <c r="AI247" s="6">
        <f>IF((I244&lt;&gt;"")*(I248=""),IF((I244&lt;=$B$443)*((I245&gt;=$C$443)+(I245&lt;2/24)),1,0),0)</f>
        <v>0</v>
      </c>
      <c r="AJ247" s="6">
        <f>IF((J244&lt;&gt;"")*(J248=""),IF((J244&lt;=$B$443)*((J245&gt;=$C$443)+(J245&lt;2/24)),1,0),0)</f>
        <v>0</v>
      </c>
    </row>
    <row r="248" spans="1:36" x14ac:dyDescent="0.2">
      <c r="A248" s="39"/>
      <c r="B248" s="40"/>
      <c r="C248" s="32" t="s">
        <v>4</v>
      </c>
      <c r="D248" s="33"/>
      <c r="E248" s="33"/>
      <c r="F248" s="33"/>
      <c r="G248" s="33"/>
      <c r="H248" s="33"/>
      <c r="I248" s="33"/>
      <c r="J248" s="33"/>
      <c r="K248" s="17"/>
      <c r="L248" s="6"/>
      <c r="M248" s="25"/>
      <c r="N248" s="6"/>
      <c r="O248" s="6"/>
      <c r="P248" s="6"/>
      <c r="Q248" s="6"/>
      <c r="R248" s="6"/>
      <c r="S248" s="6"/>
      <c r="T248" s="6"/>
      <c r="U248" s="6"/>
      <c r="V248" s="20"/>
      <c r="W248" s="20"/>
      <c r="X248" s="20"/>
      <c r="Y248" s="20"/>
      <c r="Z248" s="20"/>
      <c r="AA248" s="20"/>
      <c r="AB248" s="20"/>
      <c r="AD248" s="6">
        <f>IF((D244&lt;&gt;"")*(D248=""),IF((D244&lt;=$B$444)*((D245&gt;=$C$444)+(D245&lt;2/24)),1,0),0)</f>
        <v>0</v>
      </c>
      <c r="AE248" s="6">
        <f>IF((E244&lt;&gt;"")*(E248=""),IF((E244&lt;=$B$444)*((E245&gt;=$C$444)+(E245&lt;2/24)),1,0),0)</f>
        <v>0</v>
      </c>
      <c r="AF248" s="6">
        <f>IF((F244&lt;&gt;"")*(F248=""),IF((F244&lt;=$B$444)*((F245&gt;=$C$444)+(F245&lt;2/24)),1,0),0)</f>
        <v>0</v>
      </c>
      <c r="AG248" s="6">
        <f>IF((G244&lt;&gt;"")*(G248=""),IF((G244&lt;=$B$444)*((G245&gt;=$C$444)+(G245&lt;2/24)),1,0),0)</f>
        <v>0</v>
      </c>
      <c r="AH248" s="6">
        <f>IF((H244&lt;&gt;"")*(H248=""),IF((H244&lt;=$B$444)*((H245&gt;=$C$444)+(H245&lt;2/24)),1,0),0)</f>
        <v>0</v>
      </c>
      <c r="AI248" s="6">
        <f>IF((I244&lt;&gt;"")*(I248=""),IF((I244&lt;=$B$444)*((I245&gt;=$C$444)+(I245&lt;2/24)),1,0),0)</f>
        <v>0</v>
      </c>
      <c r="AJ248" s="6">
        <f>IF((J244&lt;&gt;"")*(J248=""),IF((J244&lt;=$B$444)*((J245&gt;=$C$444)+(J245&lt;2/24)),1,0),0)</f>
        <v>0</v>
      </c>
    </row>
    <row r="249" spans="1:36" ht="13.5" thickBot="1" x14ac:dyDescent="0.25">
      <c r="A249" s="41"/>
      <c r="B249" s="42"/>
      <c r="C249" s="35" t="s">
        <v>28</v>
      </c>
      <c r="D249" s="36"/>
      <c r="E249" s="36"/>
      <c r="F249" s="36"/>
      <c r="G249" s="36"/>
      <c r="H249" s="36"/>
      <c r="I249" s="36"/>
      <c r="J249" s="36"/>
      <c r="K249" s="34"/>
      <c r="L249" s="6"/>
      <c r="M249" s="25"/>
      <c r="N249" s="6"/>
      <c r="O249" s="6"/>
      <c r="P249" s="6"/>
      <c r="Q249" s="6"/>
      <c r="R249" s="6"/>
      <c r="S249" s="6"/>
      <c r="T249" s="6"/>
      <c r="U249" s="6"/>
      <c r="V249" s="20"/>
      <c r="W249" s="20"/>
      <c r="X249" s="20"/>
      <c r="Y249" s="20"/>
      <c r="Z249" s="20"/>
      <c r="AA249" s="20"/>
      <c r="AB249" s="20"/>
      <c r="AD249" s="6"/>
      <c r="AE249" s="6"/>
      <c r="AF249" s="6"/>
      <c r="AG249" s="6"/>
      <c r="AH249" s="6"/>
      <c r="AI249" s="6"/>
      <c r="AJ249" s="6"/>
    </row>
    <row r="250" spans="1:36" ht="13.5" customHeight="1" x14ac:dyDescent="0.2">
      <c r="A250" s="37" t="s">
        <v>65</v>
      </c>
      <c r="B250" s="38" t="s">
        <v>66</v>
      </c>
      <c r="C250" s="14" t="s">
        <v>0</v>
      </c>
      <c r="D250" s="26"/>
      <c r="E250" s="26"/>
      <c r="F250" s="26"/>
      <c r="G250" s="26">
        <v>0.54166666666666663</v>
      </c>
      <c r="H250" s="26"/>
      <c r="I250" s="26"/>
      <c r="J250" s="26"/>
      <c r="K250" s="16"/>
      <c r="L250" s="6"/>
      <c r="M250" s="21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D250" s="6">
        <f>IF((D250&lt;&gt;"")*(D254=""),IF((D250&lt;=$B$440)*((D251&gt;=$C$440)+(D251&lt;2/24)),1,0),0)</f>
        <v>0</v>
      </c>
      <c r="AE250" s="6">
        <f>IF((E250&lt;&gt;"")*(E254=""),IF((E250&lt;=$B$440)*((E251&gt;=$C$440)+(E251&lt;2/24)),1,0),0)</f>
        <v>0</v>
      </c>
      <c r="AF250" s="6">
        <f>IF((F250&lt;&gt;"")*(F254=""),IF((F250&lt;=$B$440)*((F251&gt;=$C$440)+(F251&lt;2/24)),1,0),0)</f>
        <v>0</v>
      </c>
      <c r="AG250" s="6">
        <f>IF((G250&lt;&gt;"")*(G254=""),IF((G250&lt;=$B$440)*((G251&gt;=$C$440)+(G251&lt;2/24)),1,0),0)</f>
        <v>0</v>
      </c>
      <c r="AH250" s="6">
        <f>IF((H250&lt;&gt;"")*(H254=""),IF((H250&lt;=$B$440)*((H251&gt;=$C$440)+(H251&lt;2/24)),1,0),0)</f>
        <v>0</v>
      </c>
      <c r="AI250" s="6">
        <f>IF((I250&lt;&gt;"")*(I254=""),IF((I250&lt;=$B$440)*((I251&gt;=$C$440)+(I251&lt;2/24)),1,0),0)</f>
        <v>0</v>
      </c>
      <c r="AJ250" s="6">
        <f>IF((J250&lt;&gt;"")*(J254=""),IF((J250&lt;=$B$440)*((J251&gt;=$C$440)+(J251&lt;2/24)),1,0),0)</f>
        <v>0</v>
      </c>
    </row>
    <row r="251" spans="1:36" x14ac:dyDescent="0.2">
      <c r="A251" s="39"/>
      <c r="B251" s="40"/>
      <c r="C251" s="15" t="s">
        <v>1</v>
      </c>
      <c r="D251" s="27"/>
      <c r="E251" s="27"/>
      <c r="F251" s="27"/>
      <c r="G251" s="27">
        <v>0.95833333333333337</v>
      </c>
      <c r="H251" s="27"/>
      <c r="I251" s="27"/>
      <c r="J251" s="27"/>
      <c r="K251" s="17"/>
      <c r="L251" s="6"/>
      <c r="M251" s="21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D251" s="6">
        <f>IF((D250&lt;&gt;"")*(D254=""),IF((D250&lt;=$B$441)*((D251&gt;=$C$441)+(D251&lt;2/24)),1,0),0)</f>
        <v>0</v>
      </c>
      <c r="AE251" s="6">
        <f>IF((E250&lt;&gt;"")*(E254=""),IF((E250&lt;=$B$441)*((E251&gt;=$C$441)+(E251&lt;2/24)),1,0),0)</f>
        <v>0</v>
      </c>
      <c r="AF251" s="6">
        <f>IF((F250&lt;&gt;"")*(F254=""),IF((F250&lt;=$B$441)*((F251&gt;=$C$441)+(F251&lt;2/24)),1,0),0)</f>
        <v>0</v>
      </c>
      <c r="AG251" s="6">
        <f>IF((G250&lt;&gt;"")*(G254=""),IF((G250&lt;=$B$441)*((G251&gt;=$C$441)+(G251&lt;2/24)),1,0),0)</f>
        <v>1</v>
      </c>
      <c r="AH251" s="6">
        <f>IF((H250&lt;&gt;"")*(H254=""),IF((H250&lt;=$B$441)*((H251&gt;=$C$441)+(H251&lt;2/24)),1,0),0)</f>
        <v>0</v>
      </c>
      <c r="AI251" s="6">
        <f>IF((I250&lt;&gt;"")*(I254=""),IF((I250&lt;=$B$441)*((I251&gt;=$C$441)+(I251&lt;2/24)),1,0),0)</f>
        <v>0</v>
      </c>
      <c r="AJ251" s="6">
        <f>IF((J250&lt;&gt;"")*(J254=""),IF((J250&lt;=$B$441)*((J251&gt;=$C$441)+(J251&lt;2/24)),1,0),0)</f>
        <v>0</v>
      </c>
    </row>
    <row r="252" spans="1:36" x14ac:dyDescent="0.2">
      <c r="A252" s="64" t="s">
        <v>165</v>
      </c>
      <c r="B252" s="40"/>
      <c r="C252" s="15" t="s">
        <v>2</v>
      </c>
      <c r="D252" s="4"/>
      <c r="E252" s="4"/>
      <c r="F252" s="4"/>
      <c r="G252" s="4">
        <v>4.1666666666666664E-2</v>
      </c>
      <c r="H252" s="4"/>
      <c r="I252" s="4"/>
      <c r="J252" s="4"/>
      <c r="K252" s="17"/>
      <c r="L252" s="6"/>
      <c r="M252" s="21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D252" s="6">
        <f>IF((D250&lt;&gt;"")*(D254=""),IF((D250&lt;=$B$442)*((D251&gt;=$C$442)+(D251&lt;2/24)),1,0),0)</f>
        <v>0</v>
      </c>
      <c r="AE252" s="6">
        <f>IF((E250&lt;&gt;"")*(E254=""),IF((E250&lt;=$B$442)*((E251&gt;=$C$442)+(E251&lt;2/24)),1,0),0)</f>
        <v>0</v>
      </c>
      <c r="AF252" s="6">
        <f>IF((F250&lt;&gt;"")*(F254=""),IF((F250&lt;=$B$442)*((F251&gt;=$C$442)+(F251&lt;2/24)),1,0),0)</f>
        <v>0</v>
      </c>
      <c r="AG252" s="6">
        <f>IF((G250&lt;&gt;"")*(G254=""),IF((G250&lt;=$B$442)*((G251&gt;=$C$442)+(G251&lt;2/24)),1,0),0)</f>
        <v>1</v>
      </c>
      <c r="AH252" s="6">
        <f>IF((H250&lt;&gt;"")*(H254=""),IF((H250&lt;=$B$442)*((H251&gt;=$C$442)+(H251&lt;2/24)),1,0),0)</f>
        <v>0</v>
      </c>
      <c r="AI252" s="6">
        <f>IF((I250&lt;&gt;"")*(I254=""),IF((I250&lt;=$B$442)*((I251&gt;=$C$442)+(I251&lt;2/24)),1,0),0)</f>
        <v>0</v>
      </c>
      <c r="AJ252" s="6">
        <f>IF((J250&lt;&gt;"")*(J254=""),IF((J250&lt;=$B$442)*((J251&gt;=$C$442)+(J251&lt;2/24)),1,0),0)</f>
        <v>0</v>
      </c>
    </row>
    <row r="253" spans="1:36" x14ac:dyDescent="0.2">
      <c r="A253" s="64" t="s">
        <v>150</v>
      </c>
      <c r="B253" s="40"/>
      <c r="C253" s="15" t="s">
        <v>3</v>
      </c>
      <c r="D253" s="43" t="str">
        <f t="shared" ref="D253:H253" si="115">IF(D250="","",IF(D251&gt;D250,(D251-D250-D252)*24,(1-D250-D252+D251)*24))</f>
        <v/>
      </c>
      <c r="E253" s="43"/>
      <c r="F253" s="43"/>
      <c r="G253" s="43">
        <f t="shared" si="115"/>
        <v>9.0000000000000018</v>
      </c>
      <c r="H253" s="43" t="str">
        <f t="shared" si="115"/>
        <v/>
      </c>
      <c r="I253" s="43" t="str">
        <f>IF(I250="","",IF(I251&gt;I250,(I251-I250-I252)*24,(1-I250-I252+I251)*24))</f>
        <v/>
      </c>
      <c r="J253" s="43" t="str">
        <f>IF(J250="","",IF(J251&gt;J250,(J251-J250-J252)*24,(1-J250-J252+J251)*24))</f>
        <v/>
      </c>
      <c r="K253" s="18">
        <f>SUMIF(D254:J254,"",D253:J253)</f>
        <v>9.0000000000000018</v>
      </c>
      <c r="L253" s="12">
        <f>SUM(D253:J253)</f>
        <v>9.0000000000000018</v>
      </c>
      <c r="M253" s="24"/>
      <c r="N253" s="10" t="str">
        <f t="shared" ref="N253" si="116">IF(D254="",D253,0)</f>
        <v/>
      </c>
      <c r="O253" s="10">
        <f t="shared" ref="O253" si="117">IF(E254="",E253,0)</f>
        <v>0</v>
      </c>
      <c r="P253" s="10">
        <f t="shared" ref="P253" si="118">IF(F254="",F253,0)</f>
        <v>0</v>
      </c>
      <c r="Q253" s="10">
        <f t="shared" ref="Q253" si="119">IF(G254="",G253,0)</f>
        <v>9.0000000000000018</v>
      </c>
      <c r="R253" s="10" t="str">
        <f t="shared" ref="R253" si="120">IF(H254="",H253,0)</f>
        <v/>
      </c>
      <c r="S253" s="10" t="str">
        <f t="shared" ref="S253" si="121">IF(I254="",I253,0)</f>
        <v/>
      </c>
      <c r="T253" s="10" t="str">
        <f>IF(J254="",J253,0)</f>
        <v/>
      </c>
      <c r="U253" s="10"/>
      <c r="V253" s="10" t="str">
        <f t="shared" ref="V253" si="122">D253</f>
        <v/>
      </c>
      <c r="W253" s="10">
        <f t="shared" ref="W253" si="123">E253</f>
        <v>0</v>
      </c>
      <c r="X253" s="10">
        <f t="shared" ref="X253" si="124">F253</f>
        <v>0</v>
      </c>
      <c r="Y253" s="10">
        <f t="shared" ref="Y253" si="125">G253</f>
        <v>9.0000000000000018</v>
      </c>
      <c r="Z253" s="10" t="str">
        <f t="shared" ref="Z253" si="126">H253</f>
        <v/>
      </c>
      <c r="AA253" s="10" t="str">
        <f t="shared" ref="AA253" si="127">I253</f>
        <v/>
      </c>
      <c r="AB253" s="10" t="str">
        <f>J253</f>
        <v/>
      </c>
      <c r="AD253" s="6">
        <f>IF((D250&lt;&gt;"")*(D254=""),IF((D250&lt;=$B$443)*((D251&gt;=$C$443)+(D251&lt;2/24)),1,0),0)</f>
        <v>0</v>
      </c>
      <c r="AE253" s="6">
        <f>IF((E250&lt;&gt;"")*(E254=""),IF((E250&lt;=$B$443)*((E251&gt;=$C$443)+(E251&lt;2/24)),1,0),0)</f>
        <v>0</v>
      </c>
      <c r="AF253" s="6">
        <f>IF((F250&lt;&gt;"")*(F254=""),IF((F250&lt;=$B$443)*((F251&gt;=$C$443)+(F251&lt;2/24)),1,0),0)</f>
        <v>0</v>
      </c>
      <c r="AG253" s="6">
        <f>IF((G250&lt;&gt;"")*(G254=""),IF((G250&lt;=$B$443)*((G251&gt;=$C$443)+(G251&lt;2/24)),1,0),0)</f>
        <v>1</v>
      </c>
      <c r="AH253" s="6">
        <f>IF((H250&lt;&gt;"")*(H254=""),IF((H250&lt;=$B$443)*((H251&gt;=$C$443)+(H251&lt;2/24)),1,0),0)</f>
        <v>0</v>
      </c>
      <c r="AI253" s="6">
        <f>IF((I250&lt;&gt;"")*(I254=""),IF((I250&lt;=$B$443)*((I251&gt;=$C$443)+(I251&lt;2/24)),1,0),0)</f>
        <v>0</v>
      </c>
      <c r="AJ253" s="6">
        <f>IF((J250&lt;&gt;"")*(J254=""),IF((J250&lt;=$B$443)*((J251&gt;=$C$443)+(J251&lt;2/24)),1,0),0)</f>
        <v>0</v>
      </c>
    </row>
    <row r="254" spans="1:36" x14ac:dyDescent="0.2">
      <c r="A254" s="39"/>
      <c r="B254" s="40"/>
      <c r="C254" s="32" t="s">
        <v>4</v>
      </c>
      <c r="D254" s="33"/>
      <c r="E254" s="33"/>
      <c r="F254" s="33"/>
      <c r="G254" s="33"/>
      <c r="H254" s="33"/>
      <c r="I254" s="33"/>
      <c r="J254" s="33"/>
      <c r="K254" s="17"/>
      <c r="L254" s="6"/>
      <c r="M254" s="25"/>
      <c r="N254" s="6"/>
      <c r="O254" s="6"/>
      <c r="P254" s="6"/>
      <c r="Q254" s="6"/>
      <c r="R254" s="6"/>
      <c r="S254" s="6"/>
      <c r="T254" s="6"/>
      <c r="U254" s="6"/>
      <c r="V254" s="20"/>
      <c r="W254" s="20"/>
      <c r="X254" s="20"/>
      <c r="Y254" s="20"/>
      <c r="Z254" s="20"/>
      <c r="AA254" s="20"/>
      <c r="AB254" s="20"/>
      <c r="AD254" s="6">
        <f>IF((D250&lt;&gt;"")*(D254=""),IF((D250&lt;=$B$444)*((D251&gt;=$C$444)+(D251&lt;2/24)),1,0),0)</f>
        <v>0</v>
      </c>
      <c r="AE254" s="6">
        <f>IF((E250&lt;&gt;"")*(E254=""),IF((E250&lt;=$B$444)*((E251&gt;=$C$444)+(E251&lt;2/24)),1,0),0)</f>
        <v>0</v>
      </c>
      <c r="AF254" s="6">
        <f>IF((F250&lt;&gt;"")*(F254=""),IF((F250&lt;=$B$444)*((F251&gt;=$C$444)+(F251&lt;2/24)),1,0),0)</f>
        <v>0</v>
      </c>
      <c r="AG254" s="6">
        <f>IF((G250&lt;&gt;"")*(G254=""),IF((G250&lt;=$B$444)*((G251&gt;=$C$444)+(G251&lt;2/24)),1,0),0)</f>
        <v>1</v>
      </c>
      <c r="AH254" s="6">
        <f>IF((H250&lt;&gt;"")*(H254=""),IF((H250&lt;=$B$444)*((H251&gt;=$C$444)+(H251&lt;2/24)),1,0),0)</f>
        <v>0</v>
      </c>
      <c r="AI254" s="6">
        <f>IF((I250&lt;&gt;"")*(I254=""),IF((I250&lt;=$B$444)*((I251&gt;=$C$444)+(I251&lt;2/24)),1,0),0)</f>
        <v>0</v>
      </c>
      <c r="AJ254" s="6">
        <f>IF((J250&lt;&gt;"")*(J254=""),IF((J250&lt;=$B$444)*((J251&gt;=$C$444)+(J251&lt;2/24)),1,0),0)</f>
        <v>0</v>
      </c>
    </row>
    <row r="255" spans="1:36" ht="13.5" thickBot="1" x14ac:dyDescent="0.25">
      <c r="A255" s="41"/>
      <c r="B255" s="42"/>
      <c r="C255" s="35" t="s">
        <v>28</v>
      </c>
      <c r="D255" s="36"/>
      <c r="E255" s="36"/>
      <c r="F255" s="36"/>
      <c r="G255" s="36"/>
      <c r="H255" s="36"/>
      <c r="I255" s="36"/>
      <c r="J255" s="36"/>
      <c r="K255" s="34"/>
      <c r="L255" s="6"/>
      <c r="M255" s="25"/>
      <c r="N255" s="6"/>
      <c r="O255" s="6"/>
      <c r="P255" s="6"/>
      <c r="Q255" s="6"/>
      <c r="R255" s="6"/>
      <c r="S255" s="6"/>
      <c r="T255" s="6"/>
      <c r="U255" s="6"/>
      <c r="V255" s="20"/>
      <c r="W255" s="20"/>
      <c r="X255" s="20"/>
      <c r="Y255" s="20"/>
      <c r="Z255" s="20"/>
      <c r="AA255" s="20"/>
      <c r="AB255" s="20"/>
      <c r="AD255" s="6"/>
      <c r="AE255" s="6"/>
      <c r="AF255" s="6"/>
      <c r="AG255" s="6"/>
      <c r="AH255" s="6"/>
      <c r="AI255" s="6"/>
      <c r="AJ255" s="6"/>
    </row>
    <row r="256" spans="1:36" ht="13.5" customHeight="1" x14ac:dyDescent="0.2">
      <c r="A256" s="37" t="s">
        <v>78</v>
      </c>
      <c r="B256" s="38" t="s">
        <v>55</v>
      </c>
      <c r="C256" s="14" t="s">
        <v>0</v>
      </c>
      <c r="D256" s="26"/>
      <c r="E256" s="26"/>
      <c r="F256" s="26"/>
      <c r="G256" s="26"/>
      <c r="H256" s="26"/>
      <c r="I256" s="26"/>
      <c r="J256" s="26"/>
      <c r="K256" s="16"/>
      <c r="L256" s="6"/>
      <c r="M256" s="21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D256" s="6">
        <f>IF((D256&lt;&gt;"")*(D260=""),IF((D256&lt;=$B$440)*((D257&gt;=$C$440)+(D257&lt;2/24)),1,0),0)</f>
        <v>0</v>
      </c>
      <c r="AE256" s="6">
        <f>IF((E256&lt;&gt;"")*(E260=""),IF((E256&lt;=$B$440)*((E257&gt;=$C$440)+(E257&lt;2/24)),1,0),0)</f>
        <v>0</v>
      </c>
      <c r="AF256" s="6">
        <f>IF((F256&lt;&gt;"")*(F260=""),IF((F256&lt;=$B$440)*((F257&gt;=$C$440)+(F257&lt;2/24)),1,0),0)</f>
        <v>0</v>
      </c>
      <c r="AG256" s="6">
        <f>IF((G256&lt;&gt;"")*(G260=""),IF((G256&lt;=$B$440)*((G257&gt;=$C$440)+(G257&lt;2/24)),1,0),0)</f>
        <v>0</v>
      </c>
      <c r="AH256" s="6">
        <f>IF((H256&lt;&gt;"")*(H260=""),IF((H256&lt;=$B$440)*((H257&gt;=$C$440)+(H257&lt;2/24)),1,0),0)</f>
        <v>0</v>
      </c>
      <c r="AI256" s="6">
        <f>IF((I256&lt;&gt;"")*(I260=""),IF((I256&lt;=$B$440)*((I257&gt;=$C$440)+(I257&lt;2/24)),1,0),0)</f>
        <v>0</v>
      </c>
      <c r="AJ256" s="6">
        <f>IF((J256&lt;&gt;"")*(J260=""),IF((J256&lt;=$B$440)*((J257&gt;=$C$440)+(J257&lt;2/24)),1,0),0)</f>
        <v>0</v>
      </c>
    </row>
    <row r="257" spans="1:36" x14ac:dyDescent="0.2">
      <c r="A257" s="39"/>
      <c r="B257" s="40"/>
      <c r="C257" s="15" t="s">
        <v>1</v>
      </c>
      <c r="D257" s="27"/>
      <c r="E257" s="27"/>
      <c r="F257" s="27"/>
      <c r="G257" s="27"/>
      <c r="H257" s="27"/>
      <c r="I257" s="27"/>
      <c r="J257" s="27"/>
      <c r="K257" s="17"/>
      <c r="L257" s="6"/>
      <c r="M257" s="21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D257" s="6">
        <f>IF((D256&lt;&gt;"")*(D260=""),IF((D256&lt;=$B$441)*((D257&gt;=$C$441)+(D257&lt;2/24)),1,0),0)</f>
        <v>0</v>
      </c>
      <c r="AE257" s="6">
        <f>IF((E256&lt;&gt;"")*(E260=""),IF((E256&lt;=$B$441)*((E257&gt;=$C$441)+(E257&lt;2/24)),1,0),0)</f>
        <v>0</v>
      </c>
      <c r="AF257" s="6">
        <f>IF((F256&lt;&gt;"")*(F260=""),IF((F256&lt;=$B$441)*((F257&gt;=$C$441)+(F257&lt;2/24)),1,0),0)</f>
        <v>0</v>
      </c>
      <c r="AG257" s="6">
        <f>IF((G256&lt;&gt;"")*(G260=""),IF((G256&lt;=$B$441)*((G257&gt;=$C$441)+(G257&lt;2/24)),1,0),0)</f>
        <v>0</v>
      </c>
      <c r="AH257" s="6">
        <f>IF((H256&lt;&gt;"")*(H260=""),IF((H256&lt;=$B$441)*((H257&gt;=$C$441)+(H257&lt;2/24)),1,0),0)</f>
        <v>0</v>
      </c>
      <c r="AI257" s="6">
        <f>IF((I256&lt;&gt;"")*(I260=""),IF((I256&lt;=$B$441)*((I257&gt;=$C$441)+(I257&lt;2/24)),1,0),0)</f>
        <v>0</v>
      </c>
      <c r="AJ257" s="6">
        <f>IF((J256&lt;&gt;"")*(J260=""),IF((J256&lt;=$B$441)*((J257&gt;=$C$441)+(J257&lt;2/24)),1,0),0)</f>
        <v>0</v>
      </c>
    </row>
    <row r="258" spans="1:36" x14ac:dyDescent="0.2">
      <c r="A258" s="64" t="s">
        <v>166</v>
      </c>
      <c r="B258" s="40"/>
      <c r="C258" s="15" t="s">
        <v>2</v>
      </c>
      <c r="D258" s="4"/>
      <c r="E258" s="4"/>
      <c r="F258" s="4"/>
      <c r="G258" s="4"/>
      <c r="H258" s="4"/>
      <c r="I258" s="4"/>
      <c r="J258" s="4"/>
      <c r="K258" s="17"/>
      <c r="L258" s="6"/>
      <c r="M258" s="21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D258" s="6">
        <f>IF((D256&lt;&gt;"")*(D260=""),IF((D256&lt;=$B$442)*((D257&gt;=$C$442)+(D257&lt;2/24)),1,0),0)</f>
        <v>0</v>
      </c>
      <c r="AE258" s="6">
        <f>IF((E256&lt;&gt;"")*(E260=""),IF((E256&lt;=$B$442)*((E257&gt;=$C$442)+(E257&lt;2/24)),1,0),0)</f>
        <v>0</v>
      </c>
      <c r="AF258" s="6">
        <f>IF((F256&lt;&gt;"")*(F260=""),IF((F256&lt;=$B$442)*((F257&gt;=$C$442)+(F257&lt;2/24)),1,0),0)</f>
        <v>0</v>
      </c>
      <c r="AG258" s="6">
        <f>IF((G256&lt;&gt;"")*(G260=""),IF((G256&lt;=$B$442)*((G257&gt;=$C$442)+(G257&lt;2/24)),1,0),0)</f>
        <v>0</v>
      </c>
      <c r="AH258" s="6">
        <f>IF((H256&lt;&gt;"")*(H260=""),IF((H256&lt;=$B$442)*((H257&gt;=$C$442)+(H257&lt;2/24)),1,0),0)</f>
        <v>0</v>
      </c>
      <c r="AI258" s="6">
        <f>IF((I256&lt;&gt;"")*(I260=""),IF((I256&lt;=$B$442)*((I257&gt;=$C$442)+(I257&lt;2/24)),1,0),0)</f>
        <v>0</v>
      </c>
      <c r="AJ258" s="6">
        <f>IF((J256&lt;&gt;"")*(J260=""),IF((J256&lt;=$B$442)*((J257&gt;=$C$442)+(J257&lt;2/24)),1,0),0)</f>
        <v>0</v>
      </c>
    </row>
    <row r="259" spans="1:36" x14ac:dyDescent="0.2">
      <c r="A259" s="64" t="s">
        <v>150</v>
      </c>
      <c r="B259" s="40"/>
      <c r="C259" s="15" t="s">
        <v>3</v>
      </c>
      <c r="D259" s="43" t="str">
        <f t="shared" ref="D259:H259" si="128">IF(D256="","",IF(D257&gt;D256,(D257-D256-D258)*24,(1-D256-D258+D257)*24))</f>
        <v/>
      </c>
      <c r="E259" s="43"/>
      <c r="F259" s="43"/>
      <c r="G259" s="43" t="str">
        <f t="shared" si="128"/>
        <v/>
      </c>
      <c r="H259" s="43" t="str">
        <f t="shared" si="128"/>
        <v/>
      </c>
      <c r="I259" s="43" t="str">
        <f>IF(I256="","",IF(I257&gt;I256,(I257-I256-I258)*24,(1-I256-I258+I257)*24))</f>
        <v/>
      </c>
      <c r="J259" s="43"/>
      <c r="K259" s="18">
        <f>SUMIF(D260:J260,"",D259:J259)</f>
        <v>0</v>
      </c>
      <c r="L259" s="12">
        <f>SUM(D259:J259)</f>
        <v>0</v>
      </c>
      <c r="M259" s="24"/>
      <c r="N259" s="10" t="str">
        <f t="shared" ref="N259" si="129">IF(D260="",D259,0)</f>
        <v/>
      </c>
      <c r="O259" s="10">
        <f t="shared" ref="O259" si="130">IF(E260="",E259,0)</f>
        <v>0</v>
      </c>
      <c r="P259" s="10">
        <f t="shared" ref="P259" si="131">IF(F260="",F259,0)</f>
        <v>0</v>
      </c>
      <c r="Q259" s="10" t="str">
        <f t="shared" ref="Q259" si="132">IF(G260="",G259,0)</f>
        <v/>
      </c>
      <c r="R259" s="10" t="str">
        <f t="shared" ref="R259" si="133">IF(H260="",H259,0)</f>
        <v/>
      </c>
      <c r="S259" s="10" t="str">
        <f t="shared" ref="S259" si="134">IF(I260="",I259,0)</f>
        <v/>
      </c>
      <c r="T259" s="10">
        <f>IF(J260="",J259,0)</f>
        <v>0</v>
      </c>
      <c r="U259" s="10"/>
      <c r="V259" s="10" t="str">
        <f t="shared" ref="V259" si="135">D259</f>
        <v/>
      </c>
      <c r="W259" s="10">
        <f t="shared" ref="W259" si="136">E259</f>
        <v>0</v>
      </c>
      <c r="X259" s="10">
        <f t="shared" ref="X259" si="137">F259</f>
        <v>0</v>
      </c>
      <c r="Y259" s="10" t="str">
        <f t="shared" ref="Y259" si="138">G259</f>
        <v/>
      </c>
      <c r="Z259" s="10" t="str">
        <f t="shared" ref="Z259" si="139">H259</f>
        <v/>
      </c>
      <c r="AA259" s="10" t="str">
        <f t="shared" ref="AA259" si="140">I259</f>
        <v/>
      </c>
      <c r="AB259" s="10">
        <f>J259</f>
        <v>0</v>
      </c>
      <c r="AD259" s="6">
        <f>IF((D256&lt;&gt;"")*(D260=""),IF((D256&lt;=$B$443)*((D257&gt;=$C$443)+(D257&lt;2/24)),1,0),0)</f>
        <v>0</v>
      </c>
      <c r="AE259" s="6">
        <f>IF((E256&lt;&gt;"")*(E260=""),IF((E256&lt;=$B$443)*((E257&gt;=$C$443)+(E257&lt;2/24)),1,0),0)</f>
        <v>0</v>
      </c>
      <c r="AF259" s="6">
        <f>IF((F256&lt;&gt;"")*(F260=""),IF((F256&lt;=$B$443)*((F257&gt;=$C$443)+(F257&lt;2/24)),1,0),0)</f>
        <v>0</v>
      </c>
      <c r="AG259" s="6">
        <f>IF((G256&lt;&gt;"")*(G260=""),IF((G256&lt;=$B$443)*((G257&gt;=$C$443)+(G257&lt;2/24)),1,0),0)</f>
        <v>0</v>
      </c>
      <c r="AH259" s="6">
        <f>IF((H256&lt;&gt;"")*(H260=""),IF((H256&lt;=$B$443)*((H257&gt;=$C$443)+(H257&lt;2/24)),1,0),0)</f>
        <v>0</v>
      </c>
      <c r="AI259" s="6">
        <f>IF((I256&lt;&gt;"")*(I260=""),IF((I256&lt;=$B$443)*((I257&gt;=$C$443)+(I257&lt;2/24)),1,0),0)</f>
        <v>0</v>
      </c>
      <c r="AJ259" s="6">
        <f>IF((J256&lt;&gt;"")*(J260=""),IF((J256&lt;=$B$443)*((J257&gt;=$C$443)+(J257&lt;2/24)),1,0),0)</f>
        <v>0</v>
      </c>
    </row>
    <row r="260" spans="1:36" x14ac:dyDescent="0.2">
      <c r="A260" s="39"/>
      <c r="B260" s="40"/>
      <c r="C260" s="32" t="s">
        <v>4</v>
      </c>
      <c r="D260" s="33"/>
      <c r="E260" s="33"/>
      <c r="F260" s="33"/>
      <c r="G260" s="33"/>
      <c r="H260" s="33"/>
      <c r="I260" s="33"/>
      <c r="J260" s="33"/>
      <c r="K260" s="17"/>
      <c r="L260" s="6"/>
      <c r="M260" s="25"/>
      <c r="N260" s="6"/>
      <c r="O260" s="6"/>
      <c r="P260" s="6"/>
      <c r="Q260" s="6"/>
      <c r="R260" s="6"/>
      <c r="S260" s="6"/>
      <c r="T260" s="6"/>
      <c r="U260" s="6"/>
      <c r="V260" s="20"/>
      <c r="W260" s="20"/>
      <c r="X260" s="20"/>
      <c r="Y260" s="20"/>
      <c r="Z260" s="20"/>
      <c r="AA260" s="20"/>
      <c r="AB260" s="20"/>
      <c r="AD260" s="6">
        <f>IF((D256&lt;&gt;"")*(D260=""),IF((D256&lt;=$B$444)*((D257&gt;=$C$444)+(D257&lt;2/24)),1,0),0)</f>
        <v>0</v>
      </c>
      <c r="AE260" s="6">
        <f>IF((E256&lt;&gt;"")*(E260=""),IF((E256&lt;=$B$444)*((E257&gt;=$C$444)+(E257&lt;2/24)),1,0),0)</f>
        <v>0</v>
      </c>
      <c r="AF260" s="6">
        <f>IF((F256&lt;&gt;"")*(F260=""),IF((F256&lt;=$B$444)*((F257&gt;=$C$444)+(F257&lt;2/24)),1,0),0)</f>
        <v>0</v>
      </c>
      <c r="AG260" s="6">
        <f>IF((G256&lt;&gt;"")*(G260=""),IF((G256&lt;=$B$444)*((G257&gt;=$C$444)+(G257&lt;2/24)),1,0),0)</f>
        <v>0</v>
      </c>
      <c r="AH260" s="6">
        <f>IF((H256&lt;&gt;"")*(H260=""),IF((H256&lt;=$B$444)*((H257&gt;=$C$444)+(H257&lt;2/24)),1,0),0)</f>
        <v>0</v>
      </c>
      <c r="AI260" s="6">
        <f>IF((I256&lt;&gt;"")*(I260=""),IF((I256&lt;=$B$444)*((I257&gt;=$C$444)+(I257&lt;2/24)),1,0),0)</f>
        <v>0</v>
      </c>
      <c r="AJ260" s="6">
        <f>IF((J256&lt;&gt;"")*(J260=""),IF((J256&lt;=$B$444)*((J257&gt;=$C$444)+(J257&lt;2/24)),1,0),0)</f>
        <v>0</v>
      </c>
    </row>
    <row r="261" spans="1:36" ht="13.5" thickBot="1" x14ac:dyDescent="0.25">
      <c r="A261" s="41"/>
      <c r="B261" s="42"/>
      <c r="C261" s="35" t="s">
        <v>28</v>
      </c>
      <c r="D261" s="36"/>
      <c r="E261" s="36"/>
      <c r="F261" s="36"/>
      <c r="G261" s="36"/>
      <c r="H261" s="36"/>
      <c r="I261" s="36"/>
      <c r="J261" s="36"/>
      <c r="K261" s="34"/>
      <c r="L261" s="6"/>
      <c r="M261" s="25"/>
      <c r="N261" s="6"/>
      <c r="O261" s="6"/>
      <c r="P261" s="6"/>
      <c r="Q261" s="6"/>
      <c r="R261" s="6"/>
      <c r="S261" s="6"/>
      <c r="T261" s="6"/>
      <c r="U261" s="6"/>
      <c r="V261" s="20"/>
      <c r="W261" s="20"/>
      <c r="X261" s="20"/>
      <c r="Y261" s="20"/>
      <c r="Z261" s="20"/>
      <c r="AA261" s="20"/>
      <c r="AB261" s="20"/>
      <c r="AD261" s="6"/>
      <c r="AE261" s="6"/>
      <c r="AF261" s="6"/>
      <c r="AG261" s="6"/>
      <c r="AH261" s="6"/>
      <c r="AI261" s="6"/>
      <c r="AJ261" s="6"/>
    </row>
    <row r="262" spans="1:36" x14ac:dyDescent="0.2">
      <c r="A262" s="37" t="s">
        <v>80</v>
      </c>
      <c r="B262" s="38" t="s">
        <v>81</v>
      </c>
      <c r="C262" s="14" t="s">
        <v>0</v>
      </c>
      <c r="D262" s="26"/>
      <c r="E262" s="26"/>
      <c r="F262" s="26">
        <v>0.54166666666666663</v>
      </c>
      <c r="G262" s="26"/>
      <c r="H262" s="26"/>
      <c r="I262" s="26"/>
      <c r="J262" s="26"/>
      <c r="K262" s="16"/>
      <c r="L262" s="6"/>
      <c r="M262" s="21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D262" s="6">
        <f>IF((D262&lt;&gt;"")*(D266=""),IF((D262&lt;=$B$440)*((D263&gt;=$C$440)+(D263&lt;2/24)),1,0),0)</f>
        <v>0</v>
      </c>
      <c r="AE262" s="6">
        <f>IF((E262&lt;&gt;"")*(E266=""),IF((E262&lt;=$B$440)*((E263&gt;=$C$440)+(E263&lt;2/24)),1,0),0)</f>
        <v>0</v>
      </c>
      <c r="AF262" s="6">
        <f>IF((F262&lt;&gt;"")*(F266=""),IF((F262&lt;=$B$440)*((F263&gt;=$C$440)+(F263&lt;2/24)),1,0),0)</f>
        <v>0</v>
      </c>
      <c r="AG262" s="6">
        <f>IF((G262&lt;&gt;"")*(G266=""),IF((G262&lt;=$B$440)*((G263&gt;=$C$440)+(G263&lt;2/24)),1,0),0)</f>
        <v>0</v>
      </c>
      <c r="AH262" s="6">
        <f>IF((H262&lt;&gt;"")*(H266=""),IF((H262&lt;=$B$440)*((H263&gt;=$C$440)+(H263&lt;2/24)),1,0),0)</f>
        <v>0</v>
      </c>
      <c r="AI262" s="6">
        <f>IF((I262&lt;&gt;"")*(I266=""),IF((I262&lt;=$B$440)*((I263&gt;=$C$440)+(I263&lt;2/24)),1,0),0)</f>
        <v>0</v>
      </c>
      <c r="AJ262" s="6">
        <f>IF((J262&lt;&gt;"")*(J266=""),IF((J262&lt;=$B$440)*((J263&gt;=$C$440)+(J263&lt;2/24)),1,0),0)</f>
        <v>0</v>
      </c>
    </row>
    <row r="263" spans="1:36" x14ac:dyDescent="0.2">
      <c r="A263" s="39"/>
      <c r="B263" s="40"/>
      <c r="C263" s="15" t="s">
        <v>1</v>
      </c>
      <c r="D263" s="27"/>
      <c r="E263" s="27"/>
      <c r="F263" s="27">
        <v>0.75</v>
      </c>
      <c r="G263" s="27"/>
      <c r="H263" s="27"/>
      <c r="I263" s="27"/>
      <c r="J263" s="27"/>
      <c r="K263" s="17"/>
      <c r="L263" s="6"/>
      <c r="M263" s="21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D263" s="6">
        <f>IF((D262&lt;&gt;"")*(D266=""),IF((D262&lt;=$B$441)*((D263&gt;=$C$441)+(D263&lt;2/24)),1,0),0)</f>
        <v>0</v>
      </c>
      <c r="AE263" s="6">
        <f>IF((E262&lt;&gt;"")*(E266=""),IF((E262&lt;=$B$441)*((E263&gt;=$C$441)+(E263&lt;2/24)),1,0),0)</f>
        <v>0</v>
      </c>
      <c r="AF263" s="6">
        <f>IF((F262&lt;&gt;"")*(F266=""),IF((F262&lt;=$B$441)*((F263&gt;=$C$441)+(F263&lt;2/24)),1,0),0)</f>
        <v>1</v>
      </c>
      <c r="AG263" s="6">
        <f>IF((G262&lt;&gt;"")*(G266=""),IF((G262&lt;=$B$441)*((G263&gt;=$C$441)+(G263&lt;2/24)),1,0),0)</f>
        <v>0</v>
      </c>
      <c r="AH263" s="6">
        <f>IF((H262&lt;&gt;"")*(H266=""),IF((H262&lt;=$B$441)*((H263&gt;=$C$441)+(H263&lt;2/24)),1,0),0)</f>
        <v>0</v>
      </c>
      <c r="AI263" s="6">
        <f>IF((I262&lt;&gt;"")*(I266=""),IF((I262&lt;=$B$441)*((I263&gt;=$C$441)+(I263&lt;2/24)),1,0),0)</f>
        <v>0</v>
      </c>
      <c r="AJ263" s="6">
        <f>IF((J262&lt;&gt;"")*(J266=""),IF((J262&lt;=$B$441)*((J263&gt;=$C$441)+(J263&lt;2/24)),1,0),0)</f>
        <v>0</v>
      </c>
    </row>
    <row r="264" spans="1:36" x14ac:dyDescent="0.2">
      <c r="A264" s="64" t="s">
        <v>180</v>
      </c>
      <c r="B264" s="40"/>
      <c r="C264" s="15" t="s">
        <v>2</v>
      </c>
      <c r="D264" s="4"/>
      <c r="E264" s="4"/>
      <c r="F264" s="4"/>
      <c r="G264" s="4"/>
      <c r="H264" s="4"/>
      <c r="I264" s="4"/>
      <c r="J264" s="4"/>
      <c r="K264" s="17"/>
      <c r="L264" s="6"/>
      <c r="M264" s="21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D264" s="6">
        <f>IF((D262&lt;&gt;"")*(D266=""),IF((D262&lt;=$B$442)*((D263&gt;=$C$442)+(D263&lt;2/24)),1,0),0)</f>
        <v>0</v>
      </c>
      <c r="AE264" s="6">
        <f>IF((E262&lt;&gt;"")*(E266=""),IF((E262&lt;=$B$442)*((E263&gt;=$C$442)+(E263&lt;2/24)),1,0),0)</f>
        <v>0</v>
      </c>
      <c r="AF264" s="6">
        <f>IF((F262&lt;&gt;"")*(F266=""),IF((F262&lt;=$B$442)*((F263&gt;=$C$442)+(F263&lt;2/24)),1,0),0)</f>
        <v>0</v>
      </c>
      <c r="AG264" s="6">
        <f>IF((G262&lt;&gt;"")*(G266=""),IF((G262&lt;=$B$442)*((G263&gt;=$C$442)+(G263&lt;2/24)),1,0),0)</f>
        <v>0</v>
      </c>
      <c r="AH264" s="6">
        <f>IF((H262&lt;&gt;"")*(H266=""),IF((H262&lt;=$B$442)*((H263&gt;=$C$442)+(H263&lt;2/24)),1,0),0)</f>
        <v>0</v>
      </c>
      <c r="AI264" s="6">
        <f>IF((I262&lt;&gt;"")*(I266=""),IF((I262&lt;=$B$442)*((I263&gt;=$C$442)+(I263&lt;2/24)),1,0),0)</f>
        <v>0</v>
      </c>
      <c r="AJ264" s="6">
        <f>IF((J262&lt;&gt;"")*(J266=""),IF((J262&lt;=$B$442)*((J263&gt;=$C$442)+(J263&lt;2/24)),1,0),0)</f>
        <v>0</v>
      </c>
    </row>
    <row r="265" spans="1:36" x14ac:dyDescent="0.2">
      <c r="A265" s="64" t="s">
        <v>150</v>
      </c>
      <c r="B265" s="40"/>
      <c r="C265" s="15" t="s">
        <v>3</v>
      </c>
      <c r="D265" s="43" t="str">
        <f t="shared" ref="D265:J265" si="141">IF(D262="","",IF(D263&gt;D262,(D263-D262-D264)*24,(1-D262-D264+D263)*24))</f>
        <v/>
      </c>
      <c r="E265" s="43"/>
      <c r="F265" s="43">
        <f t="shared" si="141"/>
        <v>5.0000000000000009</v>
      </c>
      <c r="G265" s="43" t="str">
        <f t="shared" si="141"/>
        <v/>
      </c>
      <c r="H265" s="43" t="str">
        <f t="shared" si="141"/>
        <v/>
      </c>
      <c r="I265" s="43" t="str">
        <f t="shared" si="141"/>
        <v/>
      </c>
      <c r="J265" s="44" t="str">
        <f t="shared" si="141"/>
        <v/>
      </c>
      <c r="K265" s="18">
        <f>SUMIF(D266:J266,"",D265:J265)</f>
        <v>5.0000000000000009</v>
      </c>
      <c r="L265" s="12">
        <f>SUM(D265:J265)</f>
        <v>5.0000000000000009</v>
      </c>
      <c r="M265" s="24"/>
      <c r="N265" s="10" t="str">
        <f t="shared" ref="N265" si="142">IF(D266="",D265,0)</f>
        <v/>
      </c>
      <c r="O265" s="10">
        <f t="shared" ref="O265" si="143">IF(E266="",E265,0)</f>
        <v>0</v>
      </c>
      <c r="P265" s="10">
        <f t="shared" ref="P265" si="144">IF(F266="",F265,0)</f>
        <v>5.0000000000000009</v>
      </c>
      <c r="Q265" s="10" t="str">
        <f t="shared" ref="Q265" si="145">IF(G266="",G265,0)</f>
        <v/>
      </c>
      <c r="R265" s="10" t="str">
        <f t="shared" ref="R265" si="146">IF(H266="",H265,0)</f>
        <v/>
      </c>
      <c r="S265" s="10" t="str">
        <f t="shared" ref="S265" si="147">IF(I266="",I265,0)</f>
        <v/>
      </c>
      <c r="T265" s="10" t="str">
        <f t="shared" ref="T265" si="148">IF(J266="",J265,0)</f>
        <v/>
      </c>
      <c r="U265" s="10"/>
      <c r="V265" s="10" t="str">
        <f t="shared" ref="V265" si="149">D265</f>
        <v/>
      </c>
      <c r="W265" s="10">
        <f t="shared" ref="W265" si="150">E265</f>
        <v>0</v>
      </c>
      <c r="X265" s="10">
        <f t="shared" ref="X265" si="151">F265</f>
        <v>5.0000000000000009</v>
      </c>
      <c r="Y265" s="10" t="str">
        <f t="shared" ref="Y265" si="152">G265</f>
        <v/>
      </c>
      <c r="Z265" s="10" t="str">
        <f t="shared" ref="Z265" si="153">H265</f>
        <v/>
      </c>
      <c r="AA265" s="10" t="str">
        <f t="shared" ref="AA265" si="154">I265</f>
        <v/>
      </c>
      <c r="AB265" s="10" t="str">
        <f t="shared" ref="AB265" si="155">J265</f>
        <v/>
      </c>
      <c r="AD265" s="6">
        <f>IF((D262&lt;&gt;"")*(D266=""),IF((D262&lt;=$B$443)*((D263&gt;=$C$443)+(D263&lt;2/24)),1,0),0)</f>
        <v>0</v>
      </c>
      <c r="AE265" s="6">
        <f>IF((E262&lt;&gt;"")*(E266=""),IF((E262&lt;=$B$443)*((E263&gt;=$C$443)+(E263&lt;2/24)),1,0),0)</f>
        <v>0</v>
      </c>
      <c r="AF265" s="6">
        <f>IF((F262&lt;&gt;"")*(F266=""),IF((F262&lt;=$B$443)*((F263&gt;=$C$443)+(F263&lt;2/24)),1,0),0)</f>
        <v>1</v>
      </c>
      <c r="AG265" s="6">
        <f>IF((G262&lt;&gt;"")*(G266=""),IF((G262&lt;=$B$443)*((G263&gt;=$C$443)+(G263&lt;2/24)),1,0),0)</f>
        <v>0</v>
      </c>
      <c r="AH265" s="6">
        <f>IF((H262&lt;&gt;"")*(H266=""),IF((H262&lt;=$B$443)*((H263&gt;=$C$443)+(H263&lt;2/24)),1,0),0)</f>
        <v>0</v>
      </c>
      <c r="AI265" s="6">
        <f>IF((I262&lt;&gt;"")*(I266=""),IF((I262&lt;=$B$443)*((I263&gt;=$C$443)+(I263&lt;2/24)),1,0),0)</f>
        <v>0</v>
      </c>
      <c r="AJ265" s="6">
        <f>IF((J262&lt;&gt;"")*(J266=""),IF((J262&lt;=$B$443)*((J263&gt;=$C$443)+(J263&lt;2/24)),1,0),0)</f>
        <v>0</v>
      </c>
    </row>
    <row r="266" spans="1:36" x14ac:dyDescent="0.2">
      <c r="A266" s="39"/>
      <c r="B266" s="40"/>
      <c r="C266" s="32" t="s">
        <v>4</v>
      </c>
      <c r="D266" s="33"/>
      <c r="E266" s="33"/>
      <c r="F266" s="33"/>
      <c r="G266" s="33"/>
      <c r="H266" s="33"/>
      <c r="I266" s="33"/>
      <c r="J266" s="33"/>
      <c r="K266" s="17"/>
      <c r="L266" s="6"/>
      <c r="M266" s="25"/>
      <c r="N266" s="6"/>
      <c r="O266" s="6"/>
      <c r="P266" s="6"/>
      <c r="Q266" s="6"/>
      <c r="R266" s="6"/>
      <c r="S266" s="6"/>
      <c r="T266" s="6"/>
      <c r="U266" s="6"/>
      <c r="V266" s="20"/>
      <c r="W266" s="20"/>
      <c r="X266" s="20"/>
      <c r="Y266" s="20"/>
      <c r="Z266" s="20"/>
      <c r="AA266" s="20"/>
      <c r="AB266" s="20"/>
      <c r="AD266" s="6">
        <f>IF((D262&lt;&gt;"")*(D266=""),IF((D262&lt;=$B$444)*((D263&gt;=$C$444)+(D263&lt;2/24)),1,0),0)</f>
        <v>0</v>
      </c>
      <c r="AE266" s="6">
        <f>IF((E262&lt;&gt;"")*(E266=""),IF((E262&lt;=$B$444)*((E263&gt;=$C$444)+(E263&lt;2/24)),1,0),0)</f>
        <v>0</v>
      </c>
      <c r="AF266" s="6">
        <f>IF((F262&lt;&gt;"")*(F266=""),IF((F262&lt;=$B$444)*((F263&gt;=$C$444)+(F263&lt;2/24)),1,0),0)</f>
        <v>1</v>
      </c>
      <c r="AG266" s="6">
        <f>IF((G262&lt;&gt;"")*(G266=""),IF((G262&lt;=$B$444)*((G263&gt;=$C$444)+(G263&lt;2/24)),1,0),0)</f>
        <v>0</v>
      </c>
      <c r="AH266" s="6">
        <f>IF((H262&lt;&gt;"")*(H266=""),IF((H262&lt;=$B$444)*((H263&gt;=$C$444)+(H263&lt;2/24)),1,0),0)</f>
        <v>0</v>
      </c>
      <c r="AI266" s="6">
        <f>IF((I262&lt;&gt;"")*(I266=""),IF((I262&lt;=$B$444)*((I263&gt;=$C$444)+(I263&lt;2/24)),1,0),0)</f>
        <v>0</v>
      </c>
      <c r="AJ266" s="6">
        <f>IF((J262&lt;&gt;"")*(J266=""),IF((J262&lt;=$B$444)*((J263&gt;=$C$444)+(J263&lt;2/24)),1,0),0)</f>
        <v>0</v>
      </c>
    </row>
    <row r="267" spans="1:36" ht="13.5" thickBot="1" x14ac:dyDescent="0.25">
      <c r="A267" s="41"/>
      <c r="B267" s="42"/>
      <c r="C267" s="35" t="s">
        <v>28</v>
      </c>
      <c r="D267" s="36"/>
      <c r="E267" s="36"/>
      <c r="F267" s="36"/>
      <c r="G267" s="36"/>
      <c r="H267" s="36"/>
      <c r="I267" s="36"/>
      <c r="J267" s="36"/>
      <c r="K267" s="34"/>
      <c r="L267" s="6"/>
      <c r="M267" s="25"/>
      <c r="N267" s="6"/>
      <c r="O267" s="6"/>
      <c r="P267" s="6"/>
      <c r="Q267" s="6"/>
      <c r="R267" s="6"/>
      <c r="S267" s="6"/>
      <c r="T267" s="6"/>
      <c r="U267" s="6"/>
      <c r="V267" s="20"/>
      <c r="W267" s="20"/>
      <c r="X267" s="20"/>
      <c r="Y267" s="20"/>
      <c r="Z267" s="20"/>
      <c r="AA267" s="20"/>
      <c r="AB267" s="20"/>
      <c r="AD267" s="6"/>
      <c r="AE267" s="6"/>
      <c r="AF267" s="6"/>
      <c r="AG267" s="6"/>
      <c r="AH267" s="6"/>
      <c r="AI267" s="6"/>
      <c r="AJ267" s="6"/>
    </row>
    <row r="268" spans="1:36" x14ac:dyDescent="0.2">
      <c r="A268" s="37" t="s">
        <v>53</v>
      </c>
      <c r="B268" s="38" t="s">
        <v>54</v>
      </c>
      <c r="C268" s="14" t="s">
        <v>0</v>
      </c>
      <c r="D268" s="26"/>
      <c r="E268" s="26"/>
      <c r="F268" s="26">
        <v>0.54166666666666663</v>
      </c>
      <c r="G268" s="26"/>
      <c r="H268" s="26">
        <v>0.54166666666666663</v>
      </c>
      <c r="I268" s="26"/>
      <c r="J268" s="26"/>
      <c r="K268" s="16"/>
      <c r="L268" s="6"/>
      <c r="M268" s="21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D268" s="6">
        <f>IF((D268&lt;&gt;"")*(D272=""),IF((D268&lt;=$B$440)*((D269&gt;=$C$440)+(D269&lt;2/24)),1,0),0)</f>
        <v>0</v>
      </c>
      <c r="AE268" s="6">
        <f>IF((E268&lt;&gt;"")*(E272=""),IF((E268&lt;=$B$440)*((E269&gt;=$C$440)+(E269&lt;2/24)),1,0),0)</f>
        <v>0</v>
      </c>
      <c r="AF268" s="6">
        <f>IF((F268&lt;&gt;"")*(F272=""),IF((F268&lt;=$B$440)*((F269&gt;=$C$440)+(F269&lt;2/24)),1,0),0)</f>
        <v>0</v>
      </c>
      <c r="AG268" s="6">
        <f>IF((G268&lt;&gt;"")*(G272=""),IF((G268&lt;=$B$440)*((G269&gt;=$C$440)+(G269&lt;2/24)),1,0),0)</f>
        <v>0</v>
      </c>
      <c r="AH268" s="6">
        <f>IF((H268&lt;&gt;"")*(H272=""),IF((H268&lt;=$B$440)*((H269&gt;=$C$440)+(H269&lt;2/24)),1,0),0)</f>
        <v>0</v>
      </c>
      <c r="AI268" s="6">
        <f>IF((I268&lt;&gt;"")*(I272=""),IF((I268&lt;=$B$440)*((I269&gt;=$C$440)+(I269&lt;2/24)),1,0),0)</f>
        <v>0</v>
      </c>
      <c r="AJ268" s="6">
        <f>IF((J268&lt;&gt;"")*(J272=""),IF((J268&lt;=$B$440)*((J269&gt;=$C$440)+(J269&lt;2/24)),1,0),0)</f>
        <v>0</v>
      </c>
    </row>
    <row r="269" spans="1:36" x14ac:dyDescent="0.2">
      <c r="A269" s="39"/>
      <c r="B269" s="40"/>
      <c r="C269" s="15" t="s">
        <v>1</v>
      </c>
      <c r="D269" s="27"/>
      <c r="E269" s="27"/>
      <c r="F269" s="27">
        <v>0.75</v>
      </c>
      <c r="G269" s="27"/>
      <c r="H269" s="27">
        <v>0.75</v>
      </c>
      <c r="I269" s="27"/>
      <c r="J269" s="27"/>
      <c r="K269" s="17"/>
      <c r="L269" s="6"/>
      <c r="M269" s="21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D269" s="6">
        <f>IF((D268&lt;&gt;"")*(D272=""),IF((D268&lt;=$B$441)*((D269&gt;=$C$441)+(D269&lt;2/24)),1,0),0)</f>
        <v>0</v>
      </c>
      <c r="AE269" s="6">
        <f>IF((E268&lt;&gt;"")*(E272=""),IF((E268&lt;=$B$441)*((E269&gt;=$C$441)+(E269&lt;2/24)),1,0),0)</f>
        <v>0</v>
      </c>
      <c r="AF269" s="6">
        <f>IF((F268&lt;&gt;"")*(F272=""),IF((F268&lt;=$B$441)*((F269&gt;=$C$441)+(F269&lt;2/24)),1,0),0)</f>
        <v>1</v>
      </c>
      <c r="AG269" s="6">
        <f>IF((G268&lt;&gt;"")*(G272=""),IF((G268&lt;=$B$441)*((G269&gt;=$C$441)+(G269&lt;2/24)),1,0),0)</f>
        <v>0</v>
      </c>
      <c r="AH269" s="6">
        <f>IF((H268&lt;&gt;"")*(H272=""),IF((H268&lt;=$B$441)*((H269&gt;=$C$441)+(H269&lt;2/24)),1,0),0)</f>
        <v>1</v>
      </c>
      <c r="AI269" s="6">
        <f>IF((I268&lt;&gt;"")*(I272=""),IF((I268&lt;=$B$441)*((I269&gt;=$C$441)+(I269&lt;2/24)),1,0),0)</f>
        <v>0</v>
      </c>
      <c r="AJ269" s="6">
        <f>IF((J268&lt;&gt;"")*(J272=""),IF((J268&lt;=$B$441)*((J269&gt;=$C$441)+(J269&lt;2/24)),1,0),0)</f>
        <v>0</v>
      </c>
    </row>
    <row r="270" spans="1:36" x14ac:dyDescent="0.2">
      <c r="A270" s="64" t="s">
        <v>167</v>
      </c>
      <c r="B270" s="40"/>
      <c r="C270" s="15" t="s">
        <v>2</v>
      </c>
      <c r="D270" s="4"/>
      <c r="E270" s="4"/>
      <c r="F270" s="4"/>
      <c r="G270" s="58"/>
      <c r="H270" s="4"/>
      <c r="I270" s="4"/>
      <c r="J270" s="4"/>
      <c r="K270" s="17"/>
      <c r="L270" s="6"/>
      <c r="M270" s="21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D270" s="6">
        <f>IF((D268&lt;&gt;"")*(D272=""),IF((D268&lt;=$B$442)*((D269&gt;=$C$442)+(D269&lt;2/24)),1,0),0)</f>
        <v>0</v>
      </c>
      <c r="AE270" s="6">
        <f>IF((E268&lt;&gt;"")*(E272=""),IF((E268&lt;=$B$442)*((E269&gt;=$C$442)+(E269&lt;2/24)),1,0),0)</f>
        <v>0</v>
      </c>
      <c r="AF270" s="6">
        <f>IF((F268&lt;&gt;"")*(F272=""),IF((F268&lt;=$B$442)*((F269&gt;=$C$442)+(F269&lt;2/24)),1,0),0)</f>
        <v>0</v>
      </c>
      <c r="AG270" s="6">
        <f>IF((G268&lt;&gt;"")*(G272=""),IF((G268&lt;=$B$442)*((G269&gt;=$C$442)+(G269&lt;2/24)),1,0),0)</f>
        <v>0</v>
      </c>
      <c r="AH270" s="6">
        <f>IF((H268&lt;&gt;"")*(H272=""),IF((H268&lt;=$B$442)*((H269&gt;=$C$442)+(H269&lt;2/24)),1,0),0)</f>
        <v>0</v>
      </c>
      <c r="AI270" s="6">
        <f>IF((I268&lt;&gt;"")*(I272=""),IF((I268&lt;=$B$442)*((I269&gt;=$C$442)+(I269&lt;2/24)),1,0),0)</f>
        <v>0</v>
      </c>
      <c r="AJ270" s="6">
        <f>IF((J268&lt;&gt;"")*(J272=""),IF((J268&lt;=$B$442)*((J269&gt;=$C$442)+(J269&lt;2/24)),1,0),0)</f>
        <v>0</v>
      </c>
    </row>
    <row r="271" spans="1:36" x14ac:dyDescent="0.2">
      <c r="A271" s="51" t="s">
        <v>150</v>
      </c>
      <c r="B271" s="40"/>
      <c r="C271" s="15" t="s">
        <v>3</v>
      </c>
      <c r="D271" s="43" t="str">
        <f t="shared" ref="D271:J271" si="156">IF(D268="","",IF(D269&gt;D268,(D269-D268-D270)*24,(1-D268-D270+D269)*24))</f>
        <v/>
      </c>
      <c r="E271" s="43"/>
      <c r="F271" s="43">
        <v>5</v>
      </c>
      <c r="G271" s="55" t="str">
        <f t="shared" si="156"/>
        <v/>
      </c>
      <c r="H271" s="55">
        <f t="shared" si="156"/>
        <v>5.0000000000000009</v>
      </c>
      <c r="I271" s="43" t="str">
        <f t="shared" si="156"/>
        <v/>
      </c>
      <c r="J271" s="44" t="str">
        <f t="shared" si="156"/>
        <v/>
      </c>
      <c r="K271" s="18">
        <f>SUMIF(D272:J272,"",D271:J271)</f>
        <v>10</v>
      </c>
      <c r="L271" s="12">
        <f>SUM(D271:J271)</f>
        <v>10</v>
      </c>
      <c r="M271" s="24"/>
      <c r="N271" s="10" t="str">
        <f t="shared" ref="N271" si="157">IF(D272="",D271,0)</f>
        <v/>
      </c>
      <c r="O271" s="10">
        <f t="shared" ref="O271" si="158">IF(E272="",E271,0)</f>
        <v>0</v>
      </c>
      <c r="P271" s="10">
        <f t="shared" ref="P271" si="159">IF(F272="",F271,0)</f>
        <v>5</v>
      </c>
      <c r="Q271" s="10" t="str">
        <f t="shared" ref="Q271" si="160">IF(G272="",G271,0)</f>
        <v/>
      </c>
      <c r="R271" s="10">
        <f t="shared" ref="R271" si="161">IF(H272="",H271,0)</f>
        <v>5.0000000000000009</v>
      </c>
      <c r="S271" s="10" t="str">
        <f t="shared" ref="S271" si="162">IF(I272="",I271,0)</f>
        <v/>
      </c>
      <c r="T271" s="10" t="str">
        <f t="shared" ref="T271" si="163">IF(J272="",J271,0)</f>
        <v/>
      </c>
      <c r="U271" s="10"/>
      <c r="V271" s="10" t="str">
        <f t="shared" ref="V271" si="164">D271</f>
        <v/>
      </c>
      <c r="W271" s="10">
        <f t="shared" ref="W271" si="165">E271</f>
        <v>0</v>
      </c>
      <c r="X271" s="10">
        <f t="shared" ref="X271" si="166">F271</f>
        <v>5</v>
      </c>
      <c r="Y271" s="10" t="str">
        <f t="shared" ref="Y271" si="167">G271</f>
        <v/>
      </c>
      <c r="Z271" s="10">
        <f t="shared" ref="Z271" si="168">H271</f>
        <v>5.0000000000000009</v>
      </c>
      <c r="AA271" s="10" t="str">
        <f t="shared" ref="AA271" si="169">I271</f>
        <v/>
      </c>
      <c r="AB271" s="10" t="str">
        <f t="shared" ref="AB271" si="170">J271</f>
        <v/>
      </c>
      <c r="AD271" s="6">
        <f>IF((D268&lt;&gt;"")*(D272=""),IF((D268&lt;=$B$443)*((D269&gt;=$C$443)+(D269&lt;2/24)),1,0),0)</f>
        <v>0</v>
      </c>
      <c r="AE271" s="6">
        <f>IF((E268&lt;&gt;"")*(E272=""),IF((E268&lt;=$B$443)*((E269&gt;=$C$443)+(E269&lt;2/24)),1,0),0)</f>
        <v>0</v>
      </c>
      <c r="AF271" s="6">
        <f>IF((F268&lt;&gt;"")*(F272=""),IF((F268&lt;=$B$443)*((F269&gt;=$C$443)+(F269&lt;2/24)),1,0),0)</f>
        <v>1</v>
      </c>
      <c r="AG271" s="6">
        <f>IF((G268&lt;&gt;"")*(G272=""),IF((G268&lt;=$B$443)*((G269&gt;=$C$443)+(G269&lt;2/24)),1,0),0)</f>
        <v>0</v>
      </c>
      <c r="AH271" s="6">
        <f>IF((H268&lt;&gt;"")*(H272=""),IF((H268&lt;=$B$443)*((H269&gt;=$C$443)+(H269&lt;2/24)),1,0),0)</f>
        <v>1</v>
      </c>
      <c r="AI271" s="6">
        <f>IF((I268&lt;&gt;"")*(I272=""),IF((I268&lt;=$B$443)*((I269&gt;=$C$443)+(I269&lt;2/24)),1,0),0)</f>
        <v>0</v>
      </c>
      <c r="AJ271" s="6">
        <f>IF((J268&lt;&gt;"")*(J272=""),IF((J268&lt;=$B$443)*((J269&gt;=$C$443)+(J269&lt;2/24)),1,0),0)</f>
        <v>0</v>
      </c>
    </row>
    <row r="272" spans="1:36" x14ac:dyDescent="0.2">
      <c r="A272" s="64"/>
      <c r="B272" s="40"/>
      <c r="C272" s="32" t="s">
        <v>4</v>
      </c>
      <c r="D272" s="33"/>
      <c r="E272" s="33"/>
      <c r="F272" s="33"/>
      <c r="G272" s="33"/>
      <c r="H272" s="33"/>
      <c r="I272" s="33"/>
      <c r="J272" s="33"/>
      <c r="K272" s="17"/>
      <c r="L272" s="6"/>
      <c r="M272" s="25"/>
      <c r="N272" s="6"/>
      <c r="O272" s="6"/>
      <c r="P272" s="6"/>
      <c r="Q272" s="6"/>
      <c r="R272" s="6"/>
      <c r="S272" s="6"/>
      <c r="T272" s="6"/>
      <c r="U272" s="6"/>
      <c r="V272" s="20"/>
      <c r="W272" s="20"/>
      <c r="X272" s="20"/>
      <c r="Y272" s="20"/>
      <c r="Z272" s="20"/>
      <c r="AA272" s="20"/>
      <c r="AB272" s="20"/>
      <c r="AD272" s="6">
        <f>IF((D268&lt;&gt;"")*(D272=""),IF((D268&lt;=$B$444)*((D269&gt;=$C$444)+(D269&lt;2/24)),1,0),0)</f>
        <v>0</v>
      </c>
      <c r="AE272" s="6">
        <f>IF((E268&lt;&gt;"")*(E272=""),IF((E268&lt;=$B$444)*((E269&gt;=$C$444)+(E269&lt;2/24)),1,0),0)</f>
        <v>0</v>
      </c>
      <c r="AF272" s="6">
        <f>IF((F268&lt;&gt;"")*(F272=""),IF((F268&lt;=$B$444)*((F269&gt;=$C$444)+(F269&lt;2/24)),1,0),0)</f>
        <v>1</v>
      </c>
      <c r="AG272" s="6">
        <f>IF((G268&lt;&gt;"")*(G272=""),IF((G268&lt;=$B$444)*((G269&gt;=$C$444)+(G269&lt;2/24)),1,0),0)</f>
        <v>0</v>
      </c>
      <c r="AH272" s="6">
        <f>IF((H268&lt;&gt;"")*(H272=""),IF((H268&lt;=$B$444)*((H269&gt;=$C$444)+(H269&lt;2/24)),1,0),0)</f>
        <v>1</v>
      </c>
      <c r="AI272" s="6">
        <f>IF((I268&lt;&gt;"")*(I272=""),IF((I268&lt;=$B$444)*((I269&gt;=$C$444)+(I269&lt;2/24)),1,0),0)</f>
        <v>0</v>
      </c>
      <c r="AJ272" s="6">
        <f>IF((J268&lt;&gt;"")*(J272=""),IF((J268&lt;=$B$444)*((J269&gt;=$C$444)+(J269&lt;2/24)),1,0),0)</f>
        <v>0</v>
      </c>
    </row>
    <row r="273" spans="1:36" ht="13.5" thickBot="1" x14ac:dyDescent="0.25">
      <c r="A273" s="41"/>
      <c r="B273" s="42"/>
      <c r="C273" s="35" t="s">
        <v>28</v>
      </c>
      <c r="D273" s="36"/>
      <c r="E273" s="36"/>
      <c r="F273" s="36"/>
      <c r="G273" s="36"/>
      <c r="H273" s="36"/>
      <c r="I273" s="36"/>
      <c r="J273" s="36"/>
      <c r="K273" s="34"/>
      <c r="L273" s="6"/>
      <c r="M273" s="25"/>
      <c r="N273" s="6"/>
      <c r="O273" s="6"/>
      <c r="P273" s="6"/>
      <c r="Q273" s="6"/>
      <c r="R273" s="6"/>
      <c r="S273" s="6"/>
      <c r="T273" s="6"/>
      <c r="U273" s="6"/>
      <c r="V273" s="20"/>
      <c r="W273" s="20"/>
      <c r="X273" s="20"/>
      <c r="Y273" s="20"/>
      <c r="Z273" s="20"/>
      <c r="AA273" s="20"/>
      <c r="AB273" s="20"/>
      <c r="AD273" s="6"/>
      <c r="AE273" s="6"/>
      <c r="AF273" s="6"/>
      <c r="AG273" s="6"/>
      <c r="AH273" s="6"/>
      <c r="AI273" s="6"/>
      <c r="AJ273" s="6"/>
    </row>
    <row r="274" spans="1:36" x14ac:dyDescent="0.2">
      <c r="A274" s="37" t="s">
        <v>84</v>
      </c>
      <c r="B274" s="38" t="s">
        <v>85</v>
      </c>
      <c r="C274" s="14" t="s">
        <v>0</v>
      </c>
      <c r="D274" s="26"/>
      <c r="E274" s="26">
        <v>0.54166666666666663</v>
      </c>
      <c r="F274" s="26">
        <v>0.77083333333333337</v>
      </c>
      <c r="G274" s="26">
        <v>0.54166666666666663</v>
      </c>
      <c r="H274" s="26">
        <v>0.77083333333333337</v>
      </c>
      <c r="I274" s="26">
        <v>0.77083333333333337</v>
      </c>
      <c r="J274" s="26">
        <v>0.54166666666666663</v>
      </c>
      <c r="K274" s="16"/>
      <c r="L274" s="6"/>
      <c r="M274" s="21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D274" s="6">
        <f>IF((D274&lt;&gt;"")*(D278=""),IF((D274&lt;=$B$440)*((D275&gt;=$C$440)+(D275&lt;2/24)),1,0),0)</f>
        <v>0</v>
      </c>
      <c r="AE274" s="6">
        <f>IF((E274&lt;&gt;"")*(E278=""),IF((E274&lt;=$B$440)*((E275&gt;=$C$440)+(E275&lt;2/24)),1,0),0)</f>
        <v>0</v>
      </c>
      <c r="AF274" s="6">
        <f>IF((F274&lt;&gt;"")*(F278=""),IF((F274&lt;=$B$440)*((F275&gt;=$C$440)+(F275&lt;2/24)),1,0),0)</f>
        <v>0</v>
      </c>
      <c r="AG274" s="6">
        <f>IF((G274&lt;&gt;"")*(G278=""),IF((G274&lt;=$B$440)*((G275&gt;=$C$440)+(G275&lt;2/24)),1,0),0)</f>
        <v>0</v>
      </c>
      <c r="AH274" s="6">
        <f>IF((H274&lt;&gt;"")*(H278=""),IF((H274&lt;=$B$440)*((H275&gt;=$C$440)+(H275&lt;2/24)),1,0),0)</f>
        <v>0</v>
      </c>
      <c r="AI274" s="6">
        <f>IF((I274&lt;&gt;"")*(I278=""),IF((I274&lt;=$B$440)*((I275&gt;=$C$440)+(I275&lt;2/24)),1,0),0)</f>
        <v>0</v>
      </c>
      <c r="AJ274" s="6">
        <f>IF((J274&lt;&gt;"")*(J278=""),IF((J274&lt;=$B$440)*((J275&gt;=$C$440)+(J275&lt;2/24)),1,0),0)</f>
        <v>0</v>
      </c>
    </row>
    <row r="275" spans="1:36" x14ac:dyDescent="0.2">
      <c r="A275" s="39"/>
      <c r="B275" s="40"/>
      <c r="C275" s="15" t="s">
        <v>1</v>
      </c>
      <c r="D275" s="27"/>
      <c r="E275" s="27">
        <v>0.75</v>
      </c>
      <c r="F275" s="27">
        <v>0.95833333333333337</v>
      </c>
      <c r="G275" s="27">
        <v>0.75</v>
      </c>
      <c r="H275" s="27">
        <v>0.95833333333333337</v>
      </c>
      <c r="I275" s="27">
        <v>0.95833333333333337</v>
      </c>
      <c r="J275" s="27">
        <v>0.75</v>
      </c>
      <c r="K275" s="17"/>
      <c r="L275" s="6"/>
      <c r="M275" s="21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D275" s="6">
        <f>IF((D274&lt;&gt;"")*(D278=""),IF((D274&lt;=$B$441)*((D275&gt;=$C$441)+(D275&lt;2/24)),1,0),0)</f>
        <v>0</v>
      </c>
      <c r="AE275" s="6">
        <f>IF((E274&lt;&gt;"")*(E278=""),IF((E274&lt;=$B$441)*((E275&gt;=$C$441)+(E275&lt;2/24)),1,0),0)</f>
        <v>1</v>
      </c>
      <c r="AF275" s="6">
        <f>IF((F274&lt;&gt;"")*(F278=""),IF((F274&lt;=$B$441)*((F275&gt;=$C$441)+(F275&lt;2/24)),1,0),0)</f>
        <v>0</v>
      </c>
      <c r="AG275" s="6">
        <f>IF((G274&lt;&gt;"")*(G278=""),IF((G274&lt;=$B$441)*((G275&gt;=$C$441)+(G275&lt;2/24)),1,0),0)</f>
        <v>1</v>
      </c>
      <c r="AH275" s="6">
        <f>IF((H274&lt;&gt;"")*(H278=""),IF((H274&lt;=$B$441)*((H275&gt;=$C$441)+(H275&lt;2/24)),1,0),0)</f>
        <v>0</v>
      </c>
      <c r="AI275" s="6">
        <f>IF((I274&lt;&gt;"")*(I278=""),IF((I274&lt;=$B$441)*((I275&gt;=$C$441)+(I275&lt;2/24)),1,0),0)</f>
        <v>0</v>
      </c>
      <c r="AJ275" s="6">
        <f>IF((J274&lt;&gt;"")*(J278=""),IF((J274&lt;=$B$441)*((J275&gt;=$C$441)+(J275&lt;2/24)),1,0),0)</f>
        <v>1</v>
      </c>
    </row>
    <row r="276" spans="1:36" x14ac:dyDescent="0.2">
      <c r="A276" s="64" t="s">
        <v>179</v>
      </c>
      <c r="B276" s="40"/>
      <c r="C276" s="15" t="s">
        <v>2</v>
      </c>
      <c r="D276" s="4"/>
      <c r="E276" s="4"/>
      <c r="F276" s="4"/>
      <c r="G276" s="58"/>
      <c r="H276" s="4"/>
      <c r="I276" s="4"/>
      <c r="J276" s="4"/>
      <c r="K276" s="17"/>
      <c r="L276" s="6"/>
      <c r="M276" s="21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D276" s="6">
        <f>IF((D274&lt;&gt;"")*(D278=""),IF((D274&lt;=$B$442)*((D275&gt;=$C$442)+(D275&lt;2/24)),1,0),0)</f>
        <v>0</v>
      </c>
      <c r="AE276" s="6">
        <f>IF((E274&lt;&gt;"")*(E278=""),IF((E274&lt;=$B$442)*((E275&gt;=$C$442)+(E275&lt;2/24)),1,0),0)</f>
        <v>0</v>
      </c>
      <c r="AF276" s="6">
        <f>IF((F274&lt;&gt;"")*(F278=""),IF((F274&lt;=$B$442)*((F275&gt;=$C$442)+(F275&lt;2/24)),1,0),0)</f>
        <v>1</v>
      </c>
      <c r="AG276" s="6">
        <f>IF((G274&lt;&gt;"")*(G278=""),IF((G274&lt;=$B$442)*((G275&gt;=$C$442)+(G275&lt;2/24)),1,0),0)</f>
        <v>0</v>
      </c>
      <c r="AH276" s="6">
        <f>IF((H274&lt;&gt;"")*(H278=""),IF((H274&lt;=$B$442)*((H275&gt;=$C$442)+(H275&lt;2/24)),1,0),0)</f>
        <v>1</v>
      </c>
      <c r="AI276" s="6">
        <f>IF((I274&lt;&gt;"")*(I278=""),IF((I274&lt;=$B$442)*((I275&gt;=$C$442)+(I275&lt;2/24)),1,0),0)</f>
        <v>1</v>
      </c>
      <c r="AJ276" s="6">
        <f>IF((J274&lt;&gt;"")*(J278=""),IF((J274&lt;=$B$442)*((J275&gt;=$C$442)+(J275&lt;2/24)),1,0),0)</f>
        <v>0</v>
      </c>
    </row>
    <row r="277" spans="1:36" x14ac:dyDescent="0.2">
      <c r="A277" s="64" t="s">
        <v>150</v>
      </c>
      <c r="B277" s="40"/>
      <c r="C277" s="15" t="s">
        <v>3</v>
      </c>
      <c r="D277" s="43" t="str">
        <f t="shared" ref="D277:J277" si="171">IF(D274="","",IF(D275&gt;D274,(D275-D274-D276)*24,(1-D274-D276+D275)*24))</f>
        <v/>
      </c>
      <c r="E277" s="43">
        <v>5</v>
      </c>
      <c r="F277" s="43">
        <f t="shared" ref="F277" si="172">IF(F274="","",IF(F275&gt;F274,(F275-F274-F276)*24,(1-F274-F276+F275)*24))</f>
        <v>4.5</v>
      </c>
      <c r="G277" s="55">
        <f t="shared" si="171"/>
        <v>5.0000000000000009</v>
      </c>
      <c r="H277" s="43">
        <f t="shared" si="171"/>
        <v>4.5</v>
      </c>
      <c r="I277" s="43">
        <f t="shared" si="171"/>
        <v>4.5</v>
      </c>
      <c r="J277" s="44">
        <f t="shared" si="171"/>
        <v>5.0000000000000009</v>
      </c>
      <c r="K277" s="18">
        <f>SUMIF(D278:J278,"",D277:J277)</f>
        <v>28.5</v>
      </c>
      <c r="L277" s="12">
        <f>SUM(D277:J277)</f>
        <v>28.5</v>
      </c>
      <c r="M277" s="24"/>
      <c r="N277" s="10" t="str">
        <f t="shared" ref="N277" si="173">IF(D278="",D277,0)</f>
        <v/>
      </c>
      <c r="O277" s="10">
        <f t="shared" ref="O277" si="174">IF(E278="",E277,0)</f>
        <v>5</v>
      </c>
      <c r="P277" s="10">
        <f t="shared" ref="P277" si="175">IF(F278="",F277,0)</f>
        <v>4.5</v>
      </c>
      <c r="Q277" s="10">
        <f t="shared" ref="Q277" si="176">IF(G278="",G277,0)</f>
        <v>5.0000000000000009</v>
      </c>
      <c r="R277" s="10">
        <f t="shared" ref="R277" si="177">IF(H278="",H277,0)</f>
        <v>4.5</v>
      </c>
      <c r="S277" s="10">
        <f t="shared" ref="S277" si="178">IF(I278="",I277,0)</f>
        <v>4.5</v>
      </c>
      <c r="T277" s="10">
        <f t="shared" ref="T277" si="179">IF(J278="",J277,0)</f>
        <v>5.0000000000000009</v>
      </c>
      <c r="U277" s="10"/>
      <c r="V277" s="10" t="str">
        <f t="shared" ref="V277" si="180">D277</f>
        <v/>
      </c>
      <c r="W277" s="10">
        <f t="shared" ref="W277" si="181">E277</f>
        <v>5</v>
      </c>
      <c r="X277" s="10">
        <f t="shared" ref="X277" si="182">F277</f>
        <v>4.5</v>
      </c>
      <c r="Y277" s="10">
        <f t="shared" ref="Y277" si="183">G277</f>
        <v>5.0000000000000009</v>
      </c>
      <c r="Z277" s="10">
        <f t="shared" ref="Z277" si="184">H277</f>
        <v>4.5</v>
      </c>
      <c r="AA277" s="10">
        <f t="shared" ref="AA277" si="185">I277</f>
        <v>4.5</v>
      </c>
      <c r="AB277" s="10">
        <f t="shared" ref="AB277" si="186">J277</f>
        <v>5.0000000000000009</v>
      </c>
      <c r="AD277" s="6">
        <f>IF((D274&lt;&gt;"")*(D278=""),IF((D274&lt;=$B$443)*((D275&gt;=$C$443)+(D275&lt;2/24)),1,0),0)</f>
        <v>0</v>
      </c>
      <c r="AE277" s="6">
        <f>IF((E274&lt;&gt;"")*(E278=""),IF((E274&lt;=$B$443)*((E275&gt;=$C$443)+(E275&lt;2/24)),1,0),0)</f>
        <v>1</v>
      </c>
      <c r="AF277" s="6">
        <f>IF((F274&lt;&gt;"")*(F278=""),IF((F274&lt;=$B$443)*((F275&gt;=$C$443)+(F275&lt;2/24)),1,0),0)</f>
        <v>1</v>
      </c>
      <c r="AG277" s="6">
        <f>IF((G274&lt;&gt;"")*(G278=""),IF((G274&lt;=$B$443)*((G275&gt;=$C$443)+(G275&lt;2/24)),1,0),0)</f>
        <v>1</v>
      </c>
      <c r="AH277" s="6">
        <f>IF((H274&lt;&gt;"")*(H278=""),IF((H274&lt;=$B$443)*((H275&gt;=$C$443)+(H275&lt;2/24)),1,0),0)</f>
        <v>1</v>
      </c>
      <c r="AI277" s="6">
        <f>IF((I274&lt;&gt;"")*(I278=""),IF((I274&lt;=$B$443)*((I275&gt;=$C$443)+(I275&lt;2/24)),1,0),0)</f>
        <v>1</v>
      </c>
      <c r="AJ277" s="6">
        <f>IF((J274&lt;&gt;"")*(J278=""),IF((J274&lt;=$B$443)*((J275&gt;=$C$443)+(J275&lt;2/24)),1,0),0)</f>
        <v>1</v>
      </c>
    </row>
    <row r="278" spans="1:36" x14ac:dyDescent="0.2">
      <c r="A278" s="39"/>
      <c r="B278" s="40"/>
      <c r="C278" s="32" t="s">
        <v>4</v>
      </c>
      <c r="D278" s="33"/>
      <c r="E278" s="33"/>
      <c r="F278" s="33"/>
      <c r="G278" s="33"/>
      <c r="H278" s="33"/>
      <c r="I278" s="33"/>
      <c r="J278" s="33"/>
      <c r="K278" s="17"/>
      <c r="L278" s="6"/>
      <c r="M278" s="25"/>
      <c r="N278" s="6"/>
      <c r="O278" s="6"/>
      <c r="P278" s="6"/>
      <c r="Q278" s="6"/>
      <c r="R278" s="6"/>
      <c r="S278" s="6"/>
      <c r="T278" s="6"/>
      <c r="U278" s="6"/>
      <c r="V278" s="20"/>
      <c r="W278" s="20"/>
      <c r="X278" s="20"/>
      <c r="Y278" s="20"/>
      <c r="Z278" s="20"/>
      <c r="AA278" s="20"/>
      <c r="AB278" s="20"/>
      <c r="AD278" s="6">
        <f>IF((D274&lt;&gt;"")*(D278=""),IF((D274&lt;=$B$444)*((D275&gt;=$C$444)+(D275&lt;2/24)),1,0),0)</f>
        <v>0</v>
      </c>
      <c r="AE278" s="6">
        <f>IF((E274&lt;&gt;"")*(E278=""),IF((E274&lt;=$B$444)*((E275&gt;=$C$444)+(E275&lt;2/24)),1,0),0)</f>
        <v>1</v>
      </c>
      <c r="AF278" s="6">
        <f>IF((F274&lt;&gt;"")*(F278=""),IF((F274&lt;=$B$444)*((F275&gt;=$C$444)+(F275&lt;2/24)),1,0),0)</f>
        <v>1</v>
      </c>
      <c r="AG278" s="6">
        <f>IF((G274&lt;&gt;"")*(G278=""),IF((G274&lt;=$B$444)*((G275&gt;=$C$444)+(G275&lt;2/24)),1,0),0)</f>
        <v>1</v>
      </c>
      <c r="AH278" s="6">
        <f>IF((H274&lt;&gt;"")*(H278=""),IF((H274&lt;=$B$444)*((H275&gt;=$C$444)+(H275&lt;2/24)),1,0),0)</f>
        <v>1</v>
      </c>
      <c r="AI278" s="6">
        <f>IF((I274&lt;&gt;"")*(I278=""),IF((I274&lt;=$B$444)*((I275&gt;=$C$444)+(I275&lt;2/24)),1,0),0)</f>
        <v>1</v>
      </c>
      <c r="AJ278" s="6">
        <f>IF((J274&lt;&gt;"")*(J278=""),IF((J274&lt;=$B$444)*((J275&gt;=$C$444)+(J275&lt;2/24)),1,0),0)</f>
        <v>1</v>
      </c>
    </row>
    <row r="279" spans="1:36" ht="13.5" thickBot="1" x14ac:dyDescent="0.25">
      <c r="A279" s="41"/>
      <c r="B279" s="42"/>
      <c r="C279" s="35" t="s">
        <v>28</v>
      </c>
      <c r="D279" s="36"/>
      <c r="E279" s="36"/>
      <c r="F279" s="36"/>
      <c r="G279" s="36"/>
      <c r="H279" s="54"/>
      <c r="I279" s="36"/>
      <c r="J279" s="36"/>
      <c r="K279" s="34"/>
      <c r="L279" s="6"/>
      <c r="M279" s="25"/>
      <c r="N279" s="6"/>
      <c r="O279" s="6"/>
      <c r="P279" s="6"/>
      <c r="Q279" s="6"/>
      <c r="R279" s="6"/>
      <c r="S279" s="6"/>
      <c r="T279" s="6"/>
      <c r="U279" s="6"/>
      <c r="V279" s="20"/>
      <c r="W279" s="20"/>
      <c r="X279" s="20"/>
      <c r="Y279" s="20"/>
      <c r="Z279" s="20"/>
      <c r="AA279" s="20"/>
      <c r="AB279" s="20"/>
      <c r="AD279" s="6"/>
      <c r="AE279" s="6"/>
      <c r="AF279" s="6"/>
      <c r="AG279" s="6"/>
      <c r="AH279" s="6"/>
      <c r="AI279" s="6"/>
      <c r="AJ279" s="6"/>
    </row>
    <row r="280" spans="1:36" x14ac:dyDescent="0.2">
      <c r="A280" s="37" t="s">
        <v>95</v>
      </c>
      <c r="B280" s="38" t="s">
        <v>96</v>
      </c>
      <c r="C280" s="14" t="s">
        <v>0</v>
      </c>
      <c r="D280" s="26"/>
      <c r="E280" s="26"/>
      <c r="F280" s="26"/>
      <c r="G280" s="26"/>
      <c r="H280" s="26"/>
      <c r="I280" s="26"/>
      <c r="J280" s="26"/>
      <c r="K280" s="16"/>
      <c r="L280" s="6"/>
      <c r="M280" s="21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D280" s="6">
        <f>IF((D280&lt;&gt;"")*(D284=""),IF((D280&lt;=$B$440)*((D281&gt;=$C$440)+(D281&lt;2/24)),1,0),0)</f>
        <v>0</v>
      </c>
      <c r="AE280" s="6">
        <f>IF((E280&lt;&gt;"")*(E284=""),IF((E280&lt;=$B$440)*((E281&gt;=$C$440)+(E281&lt;2/24)),1,0),0)</f>
        <v>0</v>
      </c>
      <c r="AF280" s="6">
        <f>IF((F280&lt;&gt;"")*(F284=""),IF((F280&lt;=$B$440)*((F281&gt;=$C$440)+(F281&lt;2/24)),1,0),0)</f>
        <v>0</v>
      </c>
      <c r="AG280" s="6">
        <f>IF((G280&lt;&gt;"")*(G284=""),IF((G280&lt;=$B$440)*((G281&gt;=$C$440)+(G281&lt;2/24)),1,0),0)</f>
        <v>0</v>
      </c>
      <c r="AH280" s="6">
        <f>IF((H280&lt;&gt;"")*(H284=""),IF((H280&lt;=$B$440)*((H281&gt;=$C$440)+(H281&lt;2/24)),1,0),0)</f>
        <v>0</v>
      </c>
      <c r="AI280" s="6">
        <f>IF((I280&lt;&gt;"")*(I284=""),IF((I280&lt;=$B$440)*((I281&gt;=$C$440)+(I281&lt;2/24)),1,0),0)</f>
        <v>0</v>
      </c>
      <c r="AJ280" s="6">
        <f>IF((J280&lt;&gt;"")*(J284=""),IF((J280&lt;=$B$440)*((J281&gt;=$C$440)+(J281&lt;2/24)),1,0),0)</f>
        <v>0</v>
      </c>
    </row>
    <row r="281" spans="1:36" x14ac:dyDescent="0.2">
      <c r="A281" s="39"/>
      <c r="B281" s="40"/>
      <c r="C281" s="15" t="s">
        <v>1</v>
      </c>
      <c r="D281" s="27"/>
      <c r="E281" s="27"/>
      <c r="F281" s="27"/>
      <c r="G281" s="27"/>
      <c r="H281" s="27"/>
      <c r="I281" s="27"/>
      <c r="J281" s="27"/>
      <c r="K281" s="17"/>
      <c r="L281" s="6"/>
      <c r="M281" s="21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D281" s="6">
        <f>IF((D280&lt;&gt;"")*(D284=""),IF((D280&lt;=$B$441)*((D281&gt;=$C$441)+(D281&lt;2/24)),1,0),0)</f>
        <v>0</v>
      </c>
      <c r="AE281" s="6">
        <f>IF((E280&lt;&gt;"")*(E284=""),IF((E280&lt;=$B$441)*((E281&gt;=$C$441)+(E281&lt;2/24)),1,0),0)</f>
        <v>0</v>
      </c>
      <c r="AF281" s="6">
        <f>IF((F280&lt;&gt;"")*(F284=""),IF((F280&lt;=$B$441)*((F281&gt;=$C$441)+(F281&lt;2/24)),1,0),0)</f>
        <v>0</v>
      </c>
      <c r="AG281" s="6">
        <f>IF((G280&lt;&gt;"")*(G284=""),IF((G280&lt;=$B$441)*((G281&gt;=$C$441)+(G281&lt;2/24)),1,0),0)</f>
        <v>0</v>
      </c>
      <c r="AH281" s="6">
        <f>IF((H280&lt;&gt;"")*(H284=""),IF((H280&lt;=$B$441)*((H281&gt;=$C$441)+(H281&lt;2/24)),1,0),0)</f>
        <v>0</v>
      </c>
      <c r="AI281" s="6">
        <f>IF((I280&lt;&gt;"")*(I284=""),IF((I280&lt;=$B$441)*((I281&gt;=$C$441)+(I281&lt;2/24)),1,0),0)</f>
        <v>0</v>
      </c>
      <c r="AJ281" s="6">
        <f>IF((J280&lt;&gt;"")*(J284=""),IF((J280&lt;=$B$441)*((J281&gt;=$C$441)+(J281&lt;2/24)),1,0),0)</f>
        <v>0</v>
      </c>
    </row>
    <row r="282" spans="1:36" x14ac:dyDescent="0.2">
      <c r="A282" s="64" t="s">
        <v>168</v>
      </c>
      <c r="B282" s="40"/>
      <c r="C282" s="15" t="s">
        <v>2</v>
      </c>
      <c r="D282" s="4"/>
      <c r="E282" s="4"/>
      <c r="F282" s="4"/>
      <c r="G282" s="58"/>
      <c r="H282" s="4"/>
      <c r="I282" s="4"/>
      <c r="J282" s="4"/>
      <c r="K282" s="17"/>
      <c r="L282" s="6"/>
      <c r="M282" s="21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D282" s="6">
        <f>IF((D280&lt;&gt;"")*(D284=""),IF((D280&lt;=$B$442)*((D281&gt;=$C$442)+(D281&lt;2/24)),1,0),0)</f>
        <v>0</v>
      </c>
      <c r="AE282" s="6">
        <f>IF((E280&lt;&gt;"")*(E284=""),IF((E280&lt;=$B$442)*((E281&gt;=$C$442)+(E281&lt;2/24)),1,0),0)</f>
        <v>0</v>
      </c>
      <c r="AF282" s="6">
        <f>IF((F280&lt;&gt;"")*(F284=""),IF((F280&lt;=$B$442)*((F281&gt;=$C$442)+(F281&lt;2/24)),1,0),0)</f>
        <v>0</v>
      </c>
      <c r="AG282" s="6">
        <f>IF((G280&lt;&gt;"")*(G284=""),IF((G280&lt;=$B$442)*((G281&gt;=$C$442)+(G281&lt;2/24)),1,0),0)</f>
        <v>0</v>
      </c>
      <c r="AH282" s="6">
        <f>IF((H280&lt;&gt;"")*(H284=""),IF((H280&lt;=$B$442)*((H281&gt;=$C$442)+(H281&lt;2/24)),1,0),0)</f>
        <v>0</v>
      </c>
      <c r="AI282" s="6">
        <f>IF((I280&lt;&gt;"")*(I284=""),IF((I280&lt;=$B$442)*((I281&gt;=$C$442)+(I281&lt;2/24)),1,0),0)</f>
        <v>0</v>
      </c>
      <c r="AJ282" s="6">
        <f>IF((J280&lt;&gt;"")*(J284=""),IF((J280&lt;=$B$442)*((J281&gt;=$C$442)+(J281&lt;2/24)),1,0),0)</f>
        <v>0</v>
      </c>
    </row>
    <row r="283" spans="1:36" x14ac:dyDescent="0.2">
      <c r="A283" s="64" t="s">
        <v>150</v>
      </c>
      <c r="B283" s="40"/>
      <c r="C283" s="15" t="s">
        <v>3</v>
      </c>
      <c r="D283" s="43" t="str">
        <f t="shared" ref="D283" si="187">IF(D280="","",IF(D281&gt;D280,(D281-D280-D282)*24,(1-D280-D282+D281)*24))</f>
        <v/>
      </c>
      <c r="E283" s="43"/>
      <c r="F283" s="43" t="str">
        <f t="shared" ref="F283:I283" si="188">IF(F280="","",IF(F281&gt;F280,(F281-F280-F282)*24,(1-F280-F282+F281)*24))</f>
        <v/>
      </c>
      <c r="G283" s="55" t="str">
        <f t="shared" si="188"/>
        <v/>
      </c>
      <c r="H283" s="55" t="str">
        <f t="shared" si="188"/>
        <v/>
      </c>
      <c r="I283" s="43" t="str">
        <f t="shared" si="188"/>
        <v/>
      </c>
      <c r="J283" s="44"/>
      <c r="K283" s="18">
        <f>SUMIF(D284:J284,"",D283:J283)</f>
        <v>0</v>
      </c>
      <c r="L283" s="12">
        <f>SUM(D283:J283)</f>
        <v>0</v>
      </c>
      <c r="M283" s="24"/>
      <c r="N283" s="10" t="str">
        <f t="shared" ref="N283" si="189">IF(D284="",D283,0)</f>
        <v/>
      </c>
      <c r="O283" s="10">
        <f t="shared" ref="O283" si="190">IF(E284="",E283,0)</f>
        <v>0</v>
      </c>
      <c r="P283" s="10" t="str">
        <f t="shared" ref="P283" si="191">IF(F284="",F283,0)</f>
        <v/>
      </c>
      <c r="Q283" s="10" t="str">
        <f t="shared" ref="Q283" si="192">IF(G284="",G283,0)</f>
        <v/>
      </c>
      <c r="R283" s="10" t="str">
        <f t="shared" ref="R283" si="193">IF(H284="",H283,0)</f>
        <v/>
      </c>
      <c r="S283" s="10" t="str">
        <f t="shared" ref="S283" si="194">IF(I284="",I283,0)</f>
        <v/>
      </c>
      <c r="T283" s="10">
        <f t="shared" ref="T283" si="195">IF(J284="",J283,0)</f>
        <v>0</v>
      </c>
      <c r="U283" s="10"/>
      <c r="V283" s="10" t="str">
        <f t="shared" ref="V283" si="196">D283</f>
        <v/>
      </c>
      <c r="W283" s="10">
        <f t="shared" ref="W283" si="197">E283</f>
        <v>0</v>
      </c>
      <c r="X283" s="10" t="str">
        <f t="shared" ref="X283" si="198">F283</f>
        <v/>
      </c>
      <c r="Y283" s="10" t="str">
        <f t="shared" ref="Y283" si="199">G283</f>
        <v/>
      </c>
      <c r="Z283" s="10" t="str">
        <f t="shared" ref="Z283" si="200">H283</f>
        <v/>
      </c>
      <c r="AA283" s="10" t="str">
        <f t="shared" ref="AA283" si="201">I283</f>
        <v/>
      </c>
      <c r="AB283" s="10">
        <f t="shared" ref="AB283" si="202">J283</f>
        <v>0</v>
      </c>
      <c r="AD283" s="6">
        <f>IF((D280&lt;&gt;"")*(D284=""),IF((D280&lt;=$B$443)*((D281&gt;=$C$443)+(D281&lt;2/24)),1,0),0)</f>
        <v>0</v>
      </c>
      <c r="AE283" s="6">
        <f>IF((E280&lt;&gt;"")*(E284=""),IF((E280&lt;=$B$443)*((E281&gt;=$C$443)+(E281&lt;2/24)),1,0),0)</f>
        <v>0</v>
      </c>
      <c r="AF283" s="6">
        <f>IF((F280&lt;&gt;"")*(F284=""),IF((F280&lt;=$B$443)*((F281&gt;=$C$443)+(F281&lt;2/24)),1,0),0)</f>
        <v>0</v>
      </c>
      <c r="AG283" s="6">
        <f>IF((G280&lt;&gt;"")*(G284=""),IF((G280&lt;=$B$443)*((G281&gt;=$C$443)+(G281&lt;2/24)),1,0),0)</f>
        <v>0</v>
      </c>
      <c r="AH283" s="6">
        <f>IF((H280&lt;&gt;"")*(H284=""),IF((H280&lt;=$B$443)*((H281&gt;=$C$443)+(H281&lt;2/24)),1,0),0)</f>
        <v>0</v>
      </c>
      <c r="AI283" s="6">
        <f>IF((I280&lt;&gt;"")*(I284=""),IF((I280&lt;=$B$443)*((I281&gt;=$C$443)+(I281&lt;2/24)),1,0),0)</f>
        <v>0</v>
      </c>
      <c r="AJ283" s="6">
        <f>IF((J280&lt;&gt;"")*(J284=""),IF((J280&lt;=$B$443)*((J281&gt;=$C$443)+(J281&lt;2/24)),1,0),0)</f>
        <v>0</v>
      </c>
    </row>
    <row r="284" spans="1:36" x14ac:dyDescent="0.2">
      <c r="A284" s="39"/>
      <c r="B284" s="40"/>
      <c r="C284" s="32" t="s">
        <v>4</v>
      </c>
      <c r="D284" s="33"/>
      <c r="E284" s="33"/>
      <c r="F284" s="33"/>
      <c r="G284" s="33"/>
      <c r="H284" s="33"/>
      <c r="I284" s="33"/>
      <c r="J284" s="33"/>
      <c r="K284" s="17"/>
      <c r="L284" s="6"/>
      <c r="M284" s="25"/>
      <c r="N284" s="6"/>
      <c r="O284" s="6"/>
      <c r="P284" s="6"/>
      <c r="Q284" s="6"/>
      <c r="R284" s="6"/>
      <c r="S284" s="6"/>
      <c r="T284" s="6"/>
      <c r="U284" s="6"/>
      <c r="V284" s="20"/>
      <c r="W284" s="20"/>
      <c r="X284" s="20"/>
      <c r="Y284" s="20"/>
      <c r="Z284" s="20"/>
      <c r="AA284" s="20"/>
      <c r="AB284" s="20"/>
      <c r="AD284" s="6">
        <f>IF((D280&lt;&gt;"")*(D284=""),IF((D280&lt;=$B$444)*((D281&gt;=$C$444)+(D281&lt;2/24)),1,0),0)</f>
        <v>0</v>
      </c>
      <c r="AE284" s="6">
        <f>IF((E280&lt;&gt;"")*(E284=""),IF((E280&lt;=$B$444)*((E281&gt;=$C$444)+(E281&lt;2/24)),1,0),0)</f>
        <v>0</v>
      </c>
      <c r="AF284" s="6">
        <f>IF((F280&lt;&gt;"")*(F284=""),IF((F280&lt;=$B$444)*((F281&gt;=$C$444)+(F281&lt;2/24)),1,0),0)</f>
        <v>0</v>
      </c>
      <c r="AG284" s="6">
        <f>IF((G280&lt;&gt;"")*(G284=""),IF((G280&lt;=$B$444)*((G281&gt;=$C$444)+(G281&lt;2/24)),1,0),0)</f>
        <v>0</v>
      </c>
      <c r="AH284" s="6">
        <f>IF((H280&lt;&gt;"")*(H284=""),IF((H280&lt;=$B$444)*((H281&gt;=$C$444)+(H281&lt;2/24)),1,0),0)</f>
        <v>0</v>
      </c>
      <c r="AI284" s="6">
        <f>IF((I280&lt;&gt;"")*(I284=""),IF((I280&lt;=$B$444)*((I281&gt;=$C$444)+(I281&lt;2/24)),1,0),0)</f>
        <v>0</v>
      </c>
      <c r="AJ284" s="6">
        <f>IF((J280&lt;&gt;"")*(J284=""),IF((J280&lt;=$B$444)*((J281&gt;=$C$444)+(J281&lt;2/24)),1,0),0)</f>
        <v>0</v>
      </c>
    </row>
    <row r="285" spans="1:36" ht="13.5" thickBot="1" x14ac:dyDescent="0.25">
      <c r="A285" s="41"/>
      <c r="B285" s="42"/>
      <c r="C285" s="35" t="s">
        <v>28</v>
      </c>
      <c r="D285" s="93"/>
      <c r="E285" s="93"/>
      <c r="F285" s="93"/>
      <c r="G285" s="93"/>
      <c r="H285" s="93"/>
      <c r="I285" s="93"/>
      <c r="J285" s="93"/>
      <c r="K285" s="94"/>
      <c r="L285" s="6"/>
      <c r="M285" s="25"/>
      <c r="N285" s="6"/>
      <c r="O285" s="6"/>
      <c r="P285" s="6"/>
      <c r="Q285" s="6"/>
      <c r="R285" s="6"/>
      <c r="S285" s="6"/>
      <c r="T285" s="6"/>
      <c r="U285" s="6"/>
      <c r="V285" s="20"/>
      <c r="W285" s="20"/>
      <c r="X285" s="20"/>
      <c r="Y285" s="20"/>
      <c r="Z285" s="20"/>
      <c r="AA285" s="20"/>
      <c r="AB285" s="20"/>
      <c r="AD285" s="6"/>
      <c r="AE285" s="6"/>
      <c r="AF285" s="6"/>
      <c r="AG285" s="6"/>
      <c r="AH285" s="6"/>
      <c r="AI285" s="6"/>
      <c r="AJ285" s="6"/>
    </row>
    <row r="286" spans="1:36" x14ac:dyDescent="0.2">
      <c r="A286" s="37" t="s">
        <v>103</v>
      </c>
      <c r="B286" s="38" t="s">
        <v>104</v>
      </c>
      <c r="C286" s="14" t="s">
        <v>0</v>
      </c>
      <c r="D286" s="26"/>
      <c r="E286" s="26"/>
      <c r="F286" s="26"/>
      <c r="G286" s="26"/>
      <c r="H286" s="26"/>
      <c r="I286" s="26"/>
      <c r="J286" s="26"/>
      <c r="K286" s="16"/>
      <c r="L286" s="6"/>
      <c r="M286" s="25"/>
      <c r="N286" s="6"/>
      <c r="O286" s="6"/>
      <c r="P286" s="6"/>
      <c r="Q286" s="6"/>
      <c r="R286" s="6"/>
      <c r="S286" s="6"/>
      <c r="T286" s="6"/>
      <c r="U286" s="6"/>
      <c r="V286" s="20"/>
      <c r="W286" s="20"/>
      <c r="X286" s="20"/>
      <c r="Y286" s="20"/>
      <c r="Z286" s="20"/>
      <c r="AA286" s="20"/>
      <c r="AB286" s="20"/>
      <c r="AD286" s="6"/>
      <c r="AE286" s="6"/>
      <c r="AF286" s="6"/>
      <c r="AG286" s="6"/>
      <c r="AH286" s="6"/>
      <c r="AI286" s="6"/>
      <c r="AJ286" s="6"/>
    </row>
    <row r="287" spans="1:36" x14ac:dyDescent="0.2">
      <c r="A287" s="39"/>
      <c r="B287" s="40"/>
      <c r="C287" s="15" t="s">
        <v>1</v>
      </c>
      <c r="D287" s="27"/>
      <c r="E287" s="27"/>
      <c r="F287" s="27"/>
      <c r="G287" s="27"/>
      <c r="H287" s="27"/>
      <c r="I287" s="27"/>
      <c r="J287" s="27"/>
      <c r="K287" s="17"/>
      <c r="L287" s="6"/>
      <c r="M287" s="25"/>
      <c r="N287" s="6"/>
      <c r="O287" s="6"/>
      <c r="P287" s="6"/>
      <c r="Q287" s="6"/>
      <c r="R287" s="6"/>
      <c r="S287" s="6"/>
      <c r="T287" s="6"/>
      <c r="U287" s="6"/>
      <c r="V287" s="20"/>
      <c r="W287" s="20"/>
      <c r="X287" s="20"/>
      <c r="Y287" s="20"/>
      <c r="Z287" s="20"/>
      <c r="AA287" s="20"/>
      <c r="AB287" s="20"/>
      <c r="AD287" s="6"/>
      <c r="AE287" s="6"/>
      <c r="AF287" s="6"/>
      <c r="AG287" s="6"/>
      <c r="AH287" s="6"/>
      <c r="AI287" s="6"/>
      <c r="AJ287" s="6"/>
    </row>
    <row r="288" spans="1:36" x14ac:dyDescent="0.2">
      <c r="A288" s="64" t="s">
        <v>166</v>
      </c>
      <c r="B288" s="40"/>
      <c r="C288" s="15" t="s">
        <v>2</v>
      </c>
      <c r="D288" s="4"/>
      <c r="E288" s="4"/>
      <c r="F288" s="4"/>
      <c r="G288" s="58"/>
      <c r="H288" s="4"/>
      <c r="I288" s="4"/>
      <c r="J288" s="4"/>
      <c r="K288" s="17"/>
      <c r="L288" s="6"/>
      <c r="M288" s="25"/>
      <c r="N288" s="6"/>
      <c r="O288" s="6"/>
      <c r="P288" s="6"/>
      <c r="Q288" s="6"/>
      <c r="R288" s="6"/>
      <c r="S288" s="6"/>
      <c r="T288" s="6"/>
      <c r="U288" s="6"/>
      <c r="V288" s="20"/>
      <c r="W288" s="20"/>
      <c r="X288" s="20"/>
      <c r="Y288" s="20"/>
      <c r="Z288" s="20"/>
      <c r="AA288" s="20"/>
      <c r="AB288" s="20"/>
      <c r="AD288" s="6"/>
      <c r="AE288" s="6"/>
      <c r="AF288" s="6"/>
      <c r="AG288" s="6"/>
      <c r="AH288" s="6"/>
      <c r="AI288" s="6"/>
      <c r="AJ288" s="6"/>
    </row>
    <row r="289" spans="1:36" x14ac:dyDescent="0.2">
      <c r="A289" s="64" t="s">
        <v>150</v>
      </c>
      <c r="B289" s="40"/>
      <c r="C289" s="15" t="s">
        <v>3</v>
      </c>
      <c r="D289" s="43" t="str">
        <f t="shared" ref="D289" si="203">IF(D286="","",IF(D287&gt;D286,(D287-D286-D288)*24,(1-D286-D288+D287)*24))</f>
        <v/>
      </c>
      <c r="E289" s="43"/>
      <c r="F289" s="43" t="str">
        <f t="shared" ref="F289:I289" si="204">IF(F286="","",IF(F287&gt;F286,(F287-F286-F288)*24,(1-F286-F288+F287)*24))</f>
        <v/>
      </c>
      <c r="G289" s="55" t="str">
        <f t="shared" si="204"/>
        <v/>
      </c>
      <c r="H289" s="55" t="str">
        <f t="shared" si="204"/>
        <v/>
      </c>
      <c r="I289" s="43" t="str">
        <f t="shared" si="204"/>
        <v/>
      </c>
      <c r="J289" s="44"/>
      <c r="K289" s="18">
        <f>SUMIF(D290:J290,"",D289:J289)</f>
        <v>0</v>
      </c>
      <c r="L289" s="12">
        <f>SUM(D289:J289)</f>
        <v>0</v>
      </c>
      <c r="M289" s="25"/>
      <c r="N289" s="6"/>
      <c r="O289" s="6"/>
      <c r="P289" s="6"/>
      <c r="Q289" s="6"/>
      <c r="R289" s="6"/>
      <c r="S289" s="6"/>
      <c r="T289" s="6"/>
      <c r="U289" s="6"/>
      <c r="V289" s="20"/>
      <c r="W289" s="20"/>
      <c r="X289" s="20"/>
      <c r="Y289" s="20"/>
      <c r="Z289" s="20"/>
      <c r="AA289" s="20"/>
      <c r="AB289" s="20"/>
      <c r="AD289" s="6"/>
      <c r="AE289" s="6"/>
      <c r="AF289" s="6"/>
      <c r="AG289" s="6"/>
      <c r="AH289" s="6"/>
      <c r="AI289" s="6"/>
      <c r="AJ289" s="6"/>
    </row>
    <row r="290" spans="1:36" x14ac:dyDescent="0.2">
      <c r="A290" s="39"/>
      <c r="B290" s="40"/>
      <c r="C290" s="32" t="s">
        <v>4</v>
      </c>
      <c r="D290" s="33"/>
      <c r="E290" s="33"/>
      <c r="F290" s="33"/>
      <c r="G290" s="33"/>
      <c r="H290" s="33"/>
      <c r="I290" s="33"/>
      <c r="J290" s="33"/>
      <c r="K290" s="17"/>
      <c r="L290" s="6"/>
      <c r="M290" s="25"/>
      <c r="N290" s="6"/>
      <c r="O290" s="6"/>
      <c r="P290" s="6"/>
      <c r="Q290" s="6"/>
      <c r="R290" s="6"/>
      <c r="S290" s="6"/>
      <c r="T290" s="6"/>
      <c r="U290" s="6"/>
      <c r="V290" s="20"/>
      <c r="W290" s="20"/>
      <c r="X290" s="20"/>
      <c r="Y290" s="20"/>
      <c r="Z290" s="20"/>
      <c r="AA290" s="20"/>
      <c r="AB290" s="20"/>
      <c r="AD290" s="6"/>
      <c r="AE290" s="6"/>
      <c r="AF290" s="6"/>
      <c r="AG290" s="6"/>
      <c r="AH290" s="6"/>
      <c r="AI290" s="6"/>
      <c r="AJ290" s="6"/>
    </row>
    <row r="291" spans="1:36" ht="13.5" thickBot="1" x14ac:dyDescent="0.25">
      <c r="A291" s="41"/>
      <c r="B291" s="42"/>
      <c r="C291" s="35" t="s">
        <v>28</v>
      </c>
      <c r="D291" s="93"/>
      <c r="E291" s="93"/>
      <c r="F291" s="93"/>
      <c r="G291" s="93"/>
      <c r="H291" s="93"/>
      <c r="I291" s="93"/>
      <c r="J291" s="93"/>
      <c r="K291" s="94"/>
      <c r="L291" s="6"/>
      <c r="M291" s="25"/>
      <c r="N291" s="6"/>
      <c r="O291" s="6"/>
      <c r="P291" s="6"/>
      <c r="Q291" s="6"/>
      <c r="R291" s="6"/>
      <c r="S291" s="6"/>
      <c r="T291" s="6"/>
      <c r="U291" s="6"/>
      <c r="V291" s="20"/>
      <c r="W291" s="20"/>
      <c r="X291" s="20"/>
      <c r="Y291" s="20"/>
      <c r="Z291" s="20"/>
      <c r="AA291" s="20"/>
      <c r="AB291" s="20"/>
      <c r="AD291" s="6"/>
      <c r="AE291" s="6"/>
      <c r="AF291" s="6"/>
      <c r="AG291" s="6"/>
      <c r="AH291" s="6"/>
      <c r="AI291" s="6"/>
      <c r="AJ291" s="6"/>
    </row>
    <row r="292" spans="1:36" ht="13.5" customHeight="1" x14ac:dyDescent="0.2">
      <c r="A292" s="37" t="s">
        <v>46</v>
      </c>
      <c r="B292" s="38" t="s">
        <v>47</v>
      </c>
      <c r="C292" s="14" t="s">
        <v>0</v>
      </c>
      <c r="D292" s="26"/>
      <c r="E292" s="26"/>
      <c r="F292" s="26">
        <v>0.77083333333333337</v>
      </c>
      <c r="G292" s="26"/>
      <c r="H292" s="26"/>
      <c r="I292" s="26">
        <v>0.54166666666666663</v>
      </c>
      <c r="J292" s="26"/>
      <c r="K292" s="16"/>
      <c r="L292" s="6"/>
      <c r="M292" s="21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D292" s="6">
        <f>IF((D292&lt;&gt;"")*(D296=""),IF((D292&lt;=$B$440)*((D293&gt;=$C$440)+(D293&lt;2/24)),1,0),0)</f>
        <v>0</v>
      </c>
      <c r="AE292" s="6">
        <f>IF((E292&lt;&gt;"")*(E296=""),IF((E292&lt;=$B$440)*((E293&gt;=$C$440)+(E293&lt;2/24)),1,0),0)</f>
        <v>0</v>
      </c>
      <c r="AF292" s="6">
        <f>IF((F292&lt;&gt;"")*(F296=""),IF((F292&lt;=$B$440)*((F293&gt;=$C$440)+(F293&lt;2/24)),1,0),0)</f>
        <v>0</v>
      </c>
      <c r="AG292" s="6">
        <f>IF((G292&lt;&gt;"")*(G296=""),IF((G292&lt;=$B$440)*((G293&gt;=$C$440)+(G293&lt;2/24)),1,0),0)</f>
        <v>0</v>
      </c>
      <c r="AH292" s="6">
        <f>IF((H292&lt;&gt;"")*(H296=""),IF((H292&lt;=$B$440)*((H293&gt;=$C$440)+(H293&lt;2/24)),1,0),0)</f>
        <v>0</v>
      </c>
      <c r="AI292" s="6">
        <f>IF((I292&lt;&gt;"")*(I296=""),IF((I292&lt;=$B$440)*((I293&gt;=$C$440)+(I293&lt;2/24)),1,0),0)</f>
        <v>0</v>
      </c>
      <c r="AJ292" s="6">
        <f>IF((J292&lt;&gt;"")*(J296=""),IF((J292&lt;=$B$440)*((J293&gt;=$C$440)+(J293&lt;2/24)),1,0),0)</f>
        <v>0</v>
      </c>
    </row>
    <row r="293" spans="1:36" x14ac:dyDescent="0.2">
      <c r="A293" s="39"/>
      <c r="B293" s="40"/>
      <c r="C293" s="15" t="s">
        <v>1</v>
      </c>
      <c r="D293" s="27"/>
      <c r="E293" s="27"/>
      <c r="F293" s="27">
        <v>0.95833333333333337</v>
      </c>
      <c r="G293" s="27"/>
      <c r="H293" s="27"/>
      <c r="I293" s="27">
        <v>0.95833333333333337</v>
      </c>
      <c r="J293" s="27"/>
      <c r="K293" s="17"/>
      <c r="L293" s="6"/>
      <c r="M293" s="21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D293" s="6">
        <f>IF((D292&lt;&gt;"")*(D296=""),IF((D292&lt;=$B$441)*((D293&gt;=$C$441)+(D293&lt;2/24)),1,0),0)</f>
        <v>0</v>
      </c>
      <c r="AE293" s="6">
        <f>IF((E292&lt;&gt;"")*(E296=""),IF((E292&lt;=$B$441)*((E293&gt;=$C$441)+(E293&lt;2/24)),1,0),0)</f>
        <v>0</v>
      </c>
      <c r="AF293" s="6">
        <f>IF((F292&lt;&gt;"")*(F296=""),IF((F292&lt;=$B$441)*((F293&gt;=$C$441)+(F293&lt;2/24)),1,0),0)</f>
        <v>0</v>
      </c>
      <c r="AG293" s="6">
        <f>IF((G292&lt;&gt;"")*(G296=""),IF((G292&lt;=$B$441)*((G293&gt;=$C$441)+(G293&lt;2/24)),1,0),0)</f>
        <v>0</v>
      </c>
      <c r="AH293" s="6">
        <f>IF((H292&lt;&gt;"")*(H296=""),IF((H292&lt;=$B$441)*((H293&gt;=$C$441)+(H293&lt;2/24)),1,0),0)</f>
        <v>0</v>
      </c>
      <c r="AI293" s="6">
        <f>IF((I292&lt;&gt;"")*(I296=""),IF((I292&lt;=$B$441)*((I293&gt;=$C$441)+(I293&lt;2/24)),1,0),0)</f>
        <v>1</v>
      </c>
      <c r="AJ293" s="6">
        <f>IF((J292&lt;&gt;"")*(J296=""),IF((J292&lt;=$B$441)*((J293&gt;=$C$441)+(J293&lt;2/24)),1,0),0)</f>
        <v>0</v>
      </c>
    </row>
    <row r="294" spans="1:36" x14ac:dyDescent="0.2">
      <c r="A294" s="64"/>
      <c r="B294" s="40"/>
      <c r="C294" s="15" t="s">
        <v>2</v>
      </c>
      <c r="D294" s="4"/>
      <c r="E294" s="4"/>
      <c r="F294" s="4"/>
      <c r="G294" s="58"/>
      <c r="H294" s="4"/>
      <c r="I294" s="4">
        <v>4.1666666666666664E-2</v>
      </c>
      <c r="J294" s="4"/>
      <c r="K294" s="17"/>
      <c r="L294" s="6"/>
      <c r="M294" s="21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D294" s="6">
        <f>IF((D292&lt;&gt;"")*(D296=""),IF((D292&lt;=$B$442)*((D293&gt;=$C$442)+(D293&lt;2/24)),1,0),0)</f>
        <v>0</v>
      </c>
      <c r="AE294" s="6">
        <f>IF((E292&lt;&gt;"")*(E296=""),IF((E292&lt;=$B$442)*((E293&gt;=$C$442)+(E293&lt;2/24)),1,0),0)</f>
        <v>0</v>
      </c>
      <c r="AF294" s="6">
        <f>IF((F292&lt;&gt;"")*(F296=""),IF((F292&lt;=$B$442)*((F293&gt;=$C$442)+(F293&lt;2/24)),1,0),0)</f>
        <v>1</v>
      </c>
      <c r="AG294" s="6">
        <f>IF((G292&lt;&gt;"")*(G296=""),IF((G292&lt;=$B$442)*((G293&gt;=$C$442)+(G293&lt;2/24)),1,0),0)</f>
        <v>0</v>
      </c>
      <c r="AH294" s="6">
        <f>IF((H292&lt;&gt;"")*(H296=""),IF((H292&lt;=$B$442)*((H293&gt;=$C$442)+(H293&lt;2/24)),1,0),0)</f>
        <v>0</v>
      </c>
      <c r="AI294" s="6">
        <f>IF((I292&lt;&gt;"")*(I296=""),IF((I292&lt;=$B$442)*((I293&gt;=$C$442)+(I293&lt;2/24)),1,0),0)</f>
        <v>1</v>
      </c>
      <c r="AJ294" s="6">
        <f>IF((J292&lt;&gt;"")*(J296=""),IF((J292&lt;=$B$442)*((J293&gt;=$C$442)+(J293&lt;2/24)),1,0),0)</f>
        <v>0</v>
      </c>
    </row>
    <row r="295" spans="1:36" x14ac:dyDescent="0.2">
      <c r="A295" s="64" t="s">
        <v>164</v>
      </c>
      <c r="B295" s="40"/>
      <c r="C295" s="15" t="s">
        <v>3</v>
      </c>
      <c r="D295" s="43" t="str">
        <f t="shared" ref="D295:I295" si="205">IF(D292="","",IF(D293&gt;D292,(D293-D292-D294)*24,(1-D292-D294+D293)*24))</f>
        <v/>
      </c>
      <c r="E295" s="43" t="str">
        <f t="shared" si="205"/>
        <v/>
      </c>
      <c r="F295" s="43">
        <f t="shared" si="205"/>
        <v>4.5</v>
      </c>
      <c r="G295" s="55" t="str">
        <f t="shared" si="205"/>
        <v/>
      </c>
      <c r="H295" s="55" t="str">
        <f t="shared" si="205"/>
        <v/>
      </c>
      <c r="I295" s="43">
        <f t="shared" si="205"/>
        <v>9.0000000000000018</v>
      </c>
      <c r="J295" s="44"/>
      <c r="K295" s="18">
        <f>SUMIF(D296:J296,"",D295:J295)</f>
        <v>13.500000000000002</v>
      </c>
      <c r="L295" s="12">
        <f>SUM(D295:J295)</f>
        <v>13.500000000000002</v>
      </c>
      <c r="M295" s="24"/>
      <c r="N295" s="10" t="str">
        <f t="shared" ref="N295" si="206">IF(D296="",D295,0)</f>
        <v/>
      </c>
      <c r="O295" s="10" t="str">
        <f t="shared" ref="O295" si="207">IF(E296="",E295,0)</f>
        <v/>
      </c>
      <c r="P295" s="10">
        <f t="shared" ref="P295" si="208">IF(F296="",F295,0)</f>
        <v>4.5</v>
      </c>
      <c r="Q295" s="10" t="str">
        <f t="shared" ref="Q295" si="209">IF(G296="",G295,0)</f>
        <v/>
      </c>
      <c r="R295" s="10" t="str">
        <f t="shared" ref="R295" si="210">IF(H296="",H295,0)</f>
        <v/>
      </c>
      <c r="S295" s="10">
        <f t="shared" ref="S295" si="211">IF(I296="",I295,0)</f>
        <v>9.0000000000000018</v>
      </c>
      <c r="T295" s="10">
        <f t="shared" ref="T295" si="212">IF(J296="",J295,0)</f>
        <v>0</v>
      </c>
      <c r="U295" s="10"/>
      <c r="V295" s="10" t="str">
        <f t="shared" ref="V295" si="213">D295</f>
        <v/>
      </c>
      <c r="W295" s="10" t="str">
        <f t="shared" ref="W295" si="214">E295</f>
        <v/>
      </c>
      <c r="X295" s="10">
        <f t="shared" ref="X295" si="215">F295</f>
        <v>4.5</v>
      </c>
      <c r="Y295" s="10" t="str">
        <f t="shared" ref="Y295" si="216">G295</f>
        <v/>
      </c>
      <c r="Z295" s="10" t="str">
        <f t="shared" ref="Z295" si="217">H295</f>
        <v/>
      </c>
      <c r="AA295" s="10">
        <f t="shared" ref="AA295" si="218">I295</f>
        <v>9.0000000000000018</v>
      </c>
      <c r="AB295" s="10">
        <f t="shared" ref="AB295" si="219">J295</f>
        <v>0</v>
      </c>
      <c r="AD295" s="6">
        <f>IF((D292&lt;&gt;"")*(D296=""),IF((D292&lt;=$B$443)*((D293&gt;=$C$443)+(D293&lt;2/24)),1,0),0)</f>
        <v>0</v>
      </c>
      <c r="AE295" s="6">
        <f>IF((E292&lt;&gt;"")*(E296=""),IF((E292&lt;=$B$443)*((E293&gt;=$C$443)+(E293&lt;2/24)),1,0),0)</f>
        <v>0</v>
      </c>
      <c r="AF295" s="6">
        <f>IF((F292&lt;&gt;"")*(F296=""),IF((F292&lt;=$B$443)*((F293&gt;=$C$443)+(F293&lt;2/24)),1,0),0)</f>
        <v>1</v>
      </c>
      <c r="AG295" s="6">
        <f>IF((G292&lt;&gt;"")*(G296=""),IF((G292&lt;=$B$443)*((G293&gt;=$C$443)+(G293&lt;2/24)),1,0),0)</f>
        <v>0</v>
      </c>
      <c r="AH295" s="6">
        <f>IF((H292&lt;&gt;"")*(H296=""),IF((H292&lt;=$B$443)*((H293&gt;=$C$443)+(H293&lt;2/24)),1,0),0)</f>
        <v>0</v>
      </c>
      <c r="AI295" s="6">
        <f>IF((I292&lt;&gt;"")*(I296=""),IF((I292&lt;=$B$443)*((I293&gt;=$C$443)+(I293&lt;2/24)),1,0),0)</f>
        <v>1</v>
      </c>
      <c r="AJ295" s="6">
        <f>IF((J292&lt;&gt;"")*(J296=""),IF((J292&lt;=$B$443)*((J293&gt;=$C$443)+(J293&lt;2/24)),1,0),0)</f>
        <v>0</v>
      </c>
    </row>
    <row r="296" spans="1:36" x14ac:dyDescent="0.2">
      <c r="A296" s="64" t="s">
        <v>150</v>
      </c>
      <c r="B296" s="40"/>
      <c r="C296" s="32" t="s">
        <v>4</v>
      </c>
      <c r="D296" s="33"/>
      <c r="E296" s="33"/>
      <c r="F296" s="33"/>
      <c r="G296" s="33"/>
      <c r="H296" s="33"/>
      <c r="I296" s="33"/>
      <c r="J296" s="33"/>
      <c r="K296" s="17"/>
      <c r="L296" s="6"/>
      <c r="M296" s="25"/>
      <c r="N296" s="6"/>
      <c r="O296" s="6"/>
      <c r="P296" s="6"/>
      <c r="Q296" s="6"/>
      <c r="R296" s="6"/>
      <c r="S296" s="6"/>
      <c r="T296" s="6"/>
      <c r="U296" s="6"/>
      <c r="V296" s="20"/>
      <c r="W296" s="20"/>
      <c r="X296" s="20"/>
      <c r="Y296" s="20"/>
      <c r="Z296" s="20"/>
      <c r="AA296" s="20"/>
      <c r="AB296" s="20"/>
      <c r="AD296" s="6">
        <f>IF((D292&lt;&gt;"")*(D296=""),IF((D292&lt;=$B$444)*((D293&gt;=$C$444)+(D293&lt;2/24)),1,0),0)</f>
        <v>0</v>
      </c>
      <c r="AE296" s="6">
        <f>IF((E292&lt;&gt;"")*(E296=""),IF((E292&lt;=$B$444)*((E293&gt;=$C$444)+(E293&lt;2/24)),1,0),0)</f>
        <v>0</v>
      </c>
      <c r="AF296" s="6">
        <f>IF((F292&lt;&gt;"")*(F296=""),IF((F292&lt;=$B$444)*((F293&gt;=$C$444)+(F293&lt;2/24)),1,0),0)</f>
        <v>1</v>
      </c>
      <c r="AG296" s="6">
        <f>IF((G292&lt;&gt;"")*(G296=""),IF((G292&lt;=$B$444)*((G293&gt;=$C$444)+(G293&lt;2/24)),1,0),0)</f>
        <v>0</v>
      </c>
      <c r="AH296" s="6">
        <f>IF((H292&lt;&gt;"")*(H296=""),IF((H292&lt;=$B$444)*((H293&gt;=$C$444)+(H293&lt;2/24)),1,0),0)</f>
        <v>0</v>
      </c>
      <c r="AI296" s="6">
        <f>IF((I292&lt;&gt;"")*(I296=""),IF((I292&lt;=$B$444)*((I293&gt;=$C$444)+(I293&lt;2/24)),1,0),0)</f>
        <v>1</v>
      </c>
      <c r="AJ296" s="6">
        <f>IF((J292&lt;&gt;"")*(J296=""),IF((J292&lt;=$B$444)*((J293&gt;=$C$444)+(J293&lt;2/24)),1,0),0)</f>
        <v>0</v>
      </c>
    </row>
    <row r="297" spans="1:36" ht="13.5" thickBot="1" x14ac:dyDescent="0.25">
      <c r="A297" s="92"/>
      <c r="B297" s="42"/>
      <c r="C297" s="35" t="s">
        <v>28</v>
      </c>
      <c r="D297" s="93"/>
      <c r="E297" s="93"/>
      <c r="F297" s="36"/>
      <c r="G297" s="93"/>
      <c r="H297" s="93"/>
      <c r="I297" s="93"/>
      <c r="J297" s="93"/>
      <c r="K297" s="94"/>
      <c r="L297" s="6"/>
      <c r="M297" s="25"/>
      <c r="N297" s="6"/>
      <c r="O297" s="6"/>
      <c r="P297" s="6"/>
      <c r="Q297" s="6"/>
      <c r="R297" s="6"/>
      <c r="S297" s="6"/>
      <c r="T297" s="6"/>
      <c r="U297" s="6"/>
      <c r="V297" s="20"/>
      <c r="W297" s="20"/>
      <c r="X297" s="20"/>
      <c r="Y297" s="20"/>
      <c r="Z297" s="20"/>
      <c r="AA297" s="20"/>
      <c r="AB297" s="20"/>
      <c r="AD297" s="6"/>
      <c r="AE297" s="6"/>
      <c r="AF297" s="6"/>
      <c r="AG297" s="6"/>
      <c r="AH297" s="6"/>
      <c r="AI297" s="6"/>
      <c r="AJ297" s="6"/>
    </row>
    <row r="298" spans="1:36" x14ac:dyDescent="0.2">
      <c r="A298" s="98" t="s">
        <v>159</v>
      </c>
      <c r="B298" s="40" t="s">
        <v>109</v>
      </c>
      <c r="C298" s="14" t="s">
        <v>0</v>
      </c>
      <c r="D298" s="91"/>
      <c r="E298" s="99"/>
      <c r="F298" s="91"/>
      <c r="G298" s="91"/>
      <c r="H298" s="91"/>
      <c r="I298" s="91"/>
      <c r="J298" s="99">
        <v>0.54166666666666663</v>
      </c>
      <c r="K298" s="17"/>
      <c r="L298" s="6"/>
      <c r="M298" s="25"/>
      <c r="N298" s="6"/>
      <c r="O298" s="6"/>
      <c r="P298" s="6"/>
      <c r="Q298" s="6"/>
      <c r="R298" s="6"/>
      <c r="S298" s="6"/>
      <c r="T298" s="6"/>
      <c r="U298" s="6"/>
      <c r="V298" s="20"/>
      <c r="W298" s="20"/>
      <c r="X298" s="20"/>
      <c r="Y298" s="20"/>
      <c r="Z298" s="20"/>
      <c r="AA298" s="20"/>
      <c r="AB298" s="20"/>
      <c r="AD298" s="6"/>
      <c r="AE298" s="6"/>
      <c r="AF298" s="6"/>
      <c r="AG298" s="6"/>
      <c r="AH298" s="6"/>
      <c r="AI298" s="6"/>
      <c r="AJ298" s="6"/>
    </row>
    <row r="299" spans="1:36" x14ac:dyDescent="0.2">
      <c r="A299" s="64"/>
      <c r="B299" s="40"/>
      <c r="C299" s="15" t="s">
        <v>1</v>
      </c>
      <c r="D299" s="33"/>
      <c r="E299" s="100"/>
      <c r="F299" s="33"/>
      <c r="G299" s="33"/>
      <c r="H299" s="33"/>
      <c r="I299" s="33"/>
      <c r="J299" s="100">
        <v>0.75</v>
      </c>
      <c r="K299" s="17"/>
      <c r="L299" s="6"/>
      <c r="M299" s="25"/>
      <c r="N299" s="6"/>
      <c r="O299" s="6"/>
      <c r="P299" s="6"/>
      <c r="Q299" s="6"/>
      <c r="R299" s="6"/>
      <c r="S299" s="6"/>
      <c r="T299" s="6"/>
      <c r="U299" s="6"/>
      <c r="V299" s="20"/>
      <c r="W299" s="20"/>
      <c r="X299" s="20"/>
      <c r="Y299" s="20"/>
      <c r="Z299" s="20"/>
      <c r="AA299" s="20"/>
      <c r="AB299" s="20"/>
      <c r="AD299" s="6"/>
      <c r="AE299" s="6"/>
      <c r="AF299" s="6"/>
      <c r="AG299" s="6"/>
      <c r="AH299" s="6"/>
      <c r="AI299" s="6"/>
      <c r="AJ299" s="6"/>
    </row>
    <row r="300" spans="1:36" x14ac:dyDescent="0.2">
      <c r="A300" s="64"/>
      <c r="B300" s="40"/>
      <c r="C300" s="15" t="s">
        <v>2</v>
      </c>
      <c r="D300" s="33"/>
      <c r="E300" s="33"/>
      <c r="F300" s="33"/>
      <c r="G300" s="33"/>
      <c r="H300" s="33"/>
      <c r="I300" s="33"/>
      <c r="J300" s="100"/>
      <c r="K300" s="17"/>
      <c r="L300" s="6"/>
      <c r="M300" s="25"/>
      <c r="N300" s="6"/>
      <c r="O300" s="6"/>
      <c r="P300" s="6"/>
      <c r="Q300" s="6"/>
      <c r="R300" s="6"/>
      <c r="S300" s="6"/>
      <c r="T300" s="6"/>
      <c r="U300" s="6"/>
      <c r="V300" s="20"/>
      <c r="W300" s="20"/>
      <c r="X300" s="20"/>
      <c r="Y300" s="20"/>
      <c r="Z300" s="20"/>
      <c r="AA300" s="20"/>
      <c r="AB300" s="20"/>
      <c r="AD300" s="6"/>
      <c r="AE300" s="6"/>
      <c r="AF300" s="6"/>
      <c r="AG300" s="6"/>
      <c r="AH300" s="6"/>
      <c r="AI300" s="6"/>
      <c r="AJ300" s="6"/>
    </row>
    <row r="301" spans="1:36" x14ac:dyDescent="0.2">
      <c r="A301" s="64" t="s">
        <v>178</v>
      </c>
      <c r="B301" s="40"/>
      <c r="C301" s="15" t="s">
        <v>3</v>
      </c>
      <c r="D301" s="33"/>
      <c r="E301" s="43" t="str">
        <f t="shared" ref="E301:I301" si="220">IF(E298="","",IF(E299&gt;E298,(E299-E298-E300)*24,(1-E298-E300+E299)*24))</f>
        <v/>
      </c>
      <c r="F301" s="43" t="str">
        <f t="shared" si="220"/>
        <v/>
      </c>
      <c r="G301" s="55" t="str">
        <f t="shared" si="220"/>
        <v/>
      </c>
      <c r="H301" s="55" t="str">
        <f t="shared" si="220"/>
        <v/>
      </c>
      <c r="I301" s="43" t="str">
        <f t="shared" si="220"/>
        <v/>
      </c>
      <c r="J301" s="44">
        <v>5</v>
      </c>
      <c r="K301" s="18">
        <f>SUMIF(D302:J302,"",D301:J301)</f>
        <v>5</v>
      </c>
      <c r="L301" s="12">
        <f>SUM(D301:J301)</f>
        <v>5</v>
      </c>
      <c r="M301" s="25"/>
      <c r="N301" s="6"/>
      <c r="O301" s="6"/>
      <c r="P301" s="6"/>
      <c r="Q301" s="6"/>
      <c r="R301" s="6"/>
      <c r="S301" s="6"/>
      <c r="T301" s="6"/>
      <c r="U301" s="6"/>
      <c r="V301" s="20"/>
      <c r="W301" s="20"/>
      <c r="X301" s="20"/>
      <c r="Y301" s="20"/>
      <c r="Z301" s="20"/>
      <c r="AA301" s="20"/>
      <c r="AB301" s="20"/>
      <c r="AD301" s="6"/>
      <c r="AE301" s="6"/>
      <c r="AF301" s="6"/>
      <c r="AG301" s="6"/>
      <c r="AH301" s="6"/>
      <c r="AI301" s="6"/>
      <c r="AJ301" s="6"/>
    </row>
    <row r="302" spans="1:36" x14ac:dyDescent="0.2">
      <c r="A302" s="64" t="s">
        <v>150</v>
      </c>
      <c r="B302" s="40"/>
      <c r="C302" s="32" t="s">
        <v>4</v>
      </c>
      <c r="D302" s="33"/>
      <c r="E302" s="33"/>
      <c r="F302" s="33"/>
      <c r="G302" s="33"/>
      <c r="H302" s="33"/>
      <c r="I302" s="33"/>
      <c r="J302" s="33"/>
      <c r="K302" s="17"/>
      <c r="L302" s="6"/>
      <c r="M302" s="25"/>
      <c r="N302" s="6"/>
      <c r="O302" s="6"/>
      <c r="P302" s="6"/>
      <c r="Q302" s="6"/>
      <c r="R302" s="6"/>
      <c r="S302" s="6"/>
      <c r="T302" s="6"/>
      <c r="U302" s="6"/>
      <c r="V302" s="20"/>
      <c r="W302" s="20"/>
      <c r="X302" s="20"/>
      <c r="Y302" s="20"/>
      <c r="Z302" s="20"/>
      <c r="AA302" s="20"/>
      <c r="AB302" s="20"/>
      <c r="AD302" s="6"/>
      <c r="AE302" s="6"/>
      <c r="AF302" s="6"/>
      <c r="AG302" s="6"/>
      <c r="AH302" s="6"/>
      <c r="AI302" s="6"/>
      <c r="AJ302" s="6"/>
    </row>
    <row r="303" spans="1:36" ht="13.5" thickBot="1" x14ac:dyDescent="0.25">
      <c r="A303" s="41"/>
      <c r="B303" s="42"/>
      <c r="C303" s="35" t="s">
        <v>28</v>
      </c>
      <c r="D303" s="36"/>
      <c r="E303" s="36"/>
      <c r="F303" s="36"/>
      <c r="G303" s="36"/>
      <c r="H303" s="36"/>
      <c r="I303" s="36"/>
      <c r="J303" s="36"/>
      <c r="K303" s="34"/>
      <c r="L303" s="6"/>
      <c r="M303" s="25"/>
      <c r="N303" s="6"/>
      <c r="O303" s="6"/>
      <c r="P303" s="6"/>
      <c r="Q303" s="6"/>
      <c r="R303" s="6"/>
      <c r="S303" s="6"/>
      <c r="T303" s="6"/>
      <c r="U303" s="6"/>
      <c r="V303" s="20"/>
      <c r="W303" s="20"/>
      <c r="X303" s="20"/>
      <c r="Y303" s="20"/>
      <c r="Z303" s="20"/>
      <c r="AA303" s="20"/>
      <c r="AB303" s="20"/>
      <c r="AD303" s="6"/>
      <c r="AE303" s="6"/>
      <c r="AF303" s="6"/>
      <c r="AG303" s="6"/>
      <c r="AH303" s="6"/>
      <c r="AI303" s="6"/>
      <c r="AJ303" s="6"/>
    </row>
    <row r="304" spans="1:36" ht="21.75" customHeight="1" x14ac:dyDescent="0.2">
      <c r="A304" s="37" t="s">
        <v>107</v>
      </c>
      <c r="B304" s="38" t="s">
        <v>113</v>
      </c>
      <c r="C304" s="14" t="s">
        <v>0</v>
      </c>
      <c r="D304" s="26"/>
      <c r="E304" s="26">
        <v>0.54166666666666663</v>
      </c>
      <c r="F304" s="26">
        <v>0.54166666666666663</v>
      </c>
      <c r="G304" s="26">
        <v>0.77083333333333337</v>
      </c>
      <c r="H304" s="26"/>
      <c r="I304" s="26"/>
      <c r="J304" s="26">
        <v>0.77083333333333337</v>
      </c>
      <c r="K304" s="16"/>
      <c r="L304" s="6"/>
      <c r="M304" s="21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D304" s="6">
        <f>IF((D304&lt;&gt;"")*(D308=""),IF((D304&lt;=$B$440)*((D305&gt;=$C$440)+(D305&lt;2/24)),1,0),0)</f>
        <v>0</v>
      </c>
      <c r="AE304" s="6">
        <f>IF((E304&lt;&gt;"")*(E308=""),IF((E304&lt;=$B$440)*((E305&gt;=$C$440)+(E305&lt;2/24)),1,0),0)</f>
        <v>0</v>
      </c>
      <c r="AF304" s="6">
        <f>IF((F304&lt;&gt;"")*(F308=""),IF((F304&lt;=$B$440)*((F305&gt;=$C$440)+(F305&lt;2/24)),1,0),0)</f>
        <v>0</v>
      </c>
      <c r="AG304" s="6">
        <f>IF((G304&lt;&gt;"")*(G308=""),IF((G304&lt;=$B$440)*((G305&gt;=$C$440)+(G305&lt;2/24)),1,0),0)</f>
        <v>0</v>
      </c>
      <c r="AH304" s="6">
        <f>IF((H304&lt;&gt;"")*(H308=""),IF((H304&lt;=$B$440)*((H305&gt;=$C$440)+(H305&lt;2/24)),1,0),0)</f>
        <v>0</v>
      </c>
      <c r="AI304" s="6">
        <f>IF((I304&lt;&gt;"")*(I308=""),IF((I304&lt;=$B$440)*((I305&gt;=$C$440)+(I305&lt;2/24)),1,0),0)</f>
        <v>0</v>
      </c>
      <c r="AJ304" s="6">
        <f>IF((J304&lt;&gt;"")*(J308=""),IF((J304&lt;=$B$440)*((J305&gt;=$C$440)+(J305&lt;2/24)),1,0),0)</f>
        <v>0</v>
      </c>
    </row>
    <row r="305" spans="1:36" x14ac:dyDescent="0.2">
      <c r="A305" s="39"/>
      <c r="B305" s="40"/>
      <c r="C305" s="15" t="s">
        <v>1</v>
      </c>
      <c r="D305" s="27"/>
      <c r="E305" s="27">
        <v>0.75</v>
      </c>
      <c r="F305" s="27">
        <v>0.75</v>
      </c>
      <c r="G305" s="27">
        <v>0.95833333333333337</v>
      </c>
      <c r="H305" s="27"/>
      <c r="I305" s="27"/>
      <c r="J305" s="27">
        <v>0.95833333333333337</v>
      </c>
      <c r="K305" s="17"/>
      <c r="L305" s="6"/>
      <c r="M305" s="21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D305" s="6">
        <f>IF((D304&lt;&gt;"")*(D308=""),IF((D304&lt;=$B$441)*((D305&gt;=$C$441)+(D305&lt;2/24)),1,0),0)</f>
        <v>0</v>
      </c>
      <c r="AE305" s="6">
        <f>IF((E304&lt;&gt;"")*(E308=""),IF((E304&lt;=$B$441)*((E305&gt;=$C$441)+(E305&lt;2/24)),1,0),0)</f>
        <v>1</v>
      </c>
      <c r="AF305" s="6">
        <f>IF((F304&lt;&gt;"")*(F308=""),IF((F304&lt;=$B$441)*((F305&gt;=$C$441)+(F305&lt;2/24)),1,0),0)</f>
        <v>1</v>
      </c>
      <c r="AG305" s="6">
        <f>IF((G304&lt;&gt;"")*(G308=""),IF((G304&lt;=$B$441)*((G305&gt;=$C$441)+(G305&lt;2/24)),1,0),0)</f>
        <v>0</v>
      </c>
      <c r="AH305" s="6">
        <f>IF((H304&lt;&gt;"")*(H308=""),IF((H304&lt;=$B$441)*((H305&gt;=$C$441)+(H305&lt;2/24)),1,0),0)</f>
        <v>0</v>
      </c>
      <c r="AI305" s="6">
        <f>IF((I304&lt;&gt;"")*(I308=""),IF((I304&lt;=$B$441)*((I305&gt;=$C$441)+(I305&lt;2/24)),1,0),0)</f>
        <v>0</v>
      </c>
      <c r="AJ305" s="6">
        <f>IF((J304&lt;&gt;"")*(J308=""),IF((J304&lt;=$B$441)*((J305&gt;=$C$441)+(J305&lt;2/24)),1,0),0)</f>
        <v>0</v>
      </c>
    </row>
    <row r="306" spans="1:36" x14ac:dyDescent="0.2">
      <c r="A306" s="64" t="s">
        <v>179</v>
      </c>
      <c r="B306" s="40"/>
      <c r="C306" s="15" t="s">
        <v>2</v>
      </c>
      <c r="D306" s="4"/>
      <c r="E306" s="4"/>
      <c r="F306" s="4"/>
      <c r="G306" s="58"/>
      <c r="H306" s="4"/>
      <c r="I306" s="4"/>
      <c r="J306" s="4"/>
      <c r="K306" s="17"/>
      <c r="L306" s="6"/>
      <c r="M306" s="21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D306" s="6">
        <f>IF((D304&lt;&gt;"")*(D308=""),IF((D304&lt;=$B$442)*((D305&gt;=$C$442)+(D305&lt;2/24)),1,0),0)</f>
        <v>0</v>
      </c>
      <c r="AE306" s="6">
        <f>IF((E304&lt;&gt;"")*(E308=""),IF((E304&lt;=$B$442)*((E305&gt;=$C$442)+(E305&lt;2/24)),1,0),0)</f>
        <v>0</v>
      </c>
      <c r="AF306" s="6">
        <f>IF((F304&lt;&gt;"")*(F308=""),IF((F304&lt;=$B$442)*((F305&gt;=$C$442)+(F305&lt;2/24)),1,0),0)</f>
        <v>0</v>
      </c>
      <c r="AG306" s="6">
        <f>IF((G304&lt;&gt;"")*(G308=""),IF((G304&lt;=$B$442)*((G305&gt;=$C$442)+(G305&lt;2/24)),1,0),0)</f>
        <v>1</v>
      </c>
      <c r="AH306" s="6">
        <f>IF((H304&lt;&gt;"")*(H308=""),IF((H304&lt;=$B$442)*((H305&gt;=$C$442)+(H305&lt;2/24)),1,0),0)</f>
        <v>0</v>
      </c>
      <c r="AI306" s="6">
        <f>IF((I304&lt;&gt;"")*(I308=""),IF((I304&lt;=$B$442)*((I305&gt;=$C$442)+(I305&lt;2/24)),1,0),0)</f>
        <v>0</v>
      </c>
      <c r="AJ306" s="6">
        <f>IF((J304&lt;&gt;"")*(J308=""),IF((J304&lt;=$B$442)*((J305&gt;=$C$442)+(J305&lt;2/24)),1,0),0)</f>
        <v>1</v>
      </c>
    </row>
    <row r="307" spans="1:36" x14ac:dyDescent="0.2">
      <c r="A307" s="64" t="s">
        <v>152</v>
      </c>
      <c r="B307" s="40"/>
      <c r="C307" s="15" t="s">
        <v>3</v>
      </c>
      <c r="D307" s="43" t="str">
        <f t="shared" ref="D307:I307" si="221">IF(D304="","",IF(D305&gt;D304,(D305-D304-D306)*24,(1-D304-D306+D305)*24))</f>
        <v/>
      </c>
      <c r="E307" s="43">
        <v>5</v>
      </c>
      <c r="F307" s="43">
        <f t="shared" ref="F307" si="222">IF(F304="","",IF(F305&gt;F304,(F305-F304-F306)*24,(1-F304-F306+F305)*24))</f>
        <v>5.0000000000000009</v>
      </c>
      <c r="G307" s="55">
        <f t="shared" si="221"/>
        <v>4.5</v>
      </c>
      <c r="H307" s="55" t="str">
        <f t="shared" si="221"/>
        <v/>
      </c>
      <c r="I307" s="43" t="str">
        <f t="shared" si="221"/>
        <v/>
      </c>
      <c r="J307" s="44">
        <v>4.5</v>
      </c>
      <c r="K307" s="18">
        <f>SUMIF(D308:J308,"",D307:J307)</f>
        <v>19</v>
      </c>
      <c r="L307" s="12">
        <f>SUM(D307:J307)</f>
        <v>19</v>
      </c>
      <c r="M307" s="24"/>
      <c r="N307" s="10" t="str">
        <f t="shared" ref="N307" si="223">IF(D308="",D307,0)</f>
        <v/>
      </c>
      <c r="O307" s="10">
        <f t="shared" ref="O307" si="224">IF(E308="",E307,0)</f>
        <v>5</v>
      </c>
      <c r="P307" s="10">
        <f t="shared" ref="P307" si="225">IF(F308="",F307,0)</f>
        <v>5.0000000000000009</v>
      </c>
      <c r="Q307" s="10">
        <f t="shared" ref="Q307" si="226">IF(G308="",G307,0)</f>
        <v>4.5</v>
      </c>
      <c r="R307" s="10" t="str">
        <f t="shared" ref="R307" si="227">IF(H308="",H307,0)</f>
        <v/>
      </c>
      <c r="S307" s="10" t="str">
        <f t="shared" ref="S307" si="228">IF(I308="",I307,0)</f>
        <v/>
      </c>
      <c r="T307" s="10">
        <f t="shared" ref="T307" si="229">IF(J308="",J307,0)</f>
        <v>4.5</v>
      </c>
      <c r="U307" s="10"/>
      <c r="V307" s="10" t="str">
        <f t="shared" ref="V307" si="230">D307</f>
        <v/>
      </c>
      <c r="W307" s="10">
        <f t="shared" ref="W307" si="231">E307</f>
        <v>5</v>
      </c>
      <c r="X307" s="10">
        <f t="shared" ref="X307" si="232">F307</f>
        <v>5.0000000000000009</v>
      </c>
      <c r="Y307" s="10">
        <f t="shared" ref="Y307" si="233">G307</f>
        <v>4.5</v>
      </c>
      <c r="Z307" s="10" t="str">
        <f t="shared" ref="Z307" si="234">H307</f>
        <v/>
      </c>
      <c r="AA307" s="10" t="str">
        <f t="shared" ref="AA307" si="235">I307</f>
        <v/>
      </c>
      <c r="AB307" s="10">
        <f t="shared" ref="AB307" si="236">J307</f>
        <v>4.5</v>
      </c>
      <c r="AD307" s="6">
        <f>IF((D304&lt;&gt;"")*(D308=""),IF((D304&lt;=$B$443)*((D305&gt;=$C$443)+(D305&lt;2/24)),1,0),0)</f>
        <v>0</v>
      </c>
      <c r="AE307" s="6">
        <f>IF((E304&lt;&gt;"")*(E308=""),IF((E304&lt;=$B$443)*((E305&gt;=$C$443)+(E305&lt;2/24)),1,0),0)</f>
        <v>1</v>
      </c>
      <c r="AF307" s="6">
        <f>IF((F304&lt;&gt;"")*(F308=""),IF((F304&lt;=$B$443)*((F305&gt;=$C$443)+(F305&lt;2/24)),1,0),0)</f>
        <v>1</v>
      </c>
      <c r="AG307" s="6">
        <f>IF((G304&lt;&gt;"")*(G308=""),IF((G304&lt;=$B$443)*((G305&gt;=$C$443)+(G305&lt;2/24)),1,0),0)</f>
        <v>1</v>
      </c>
      <c r="AH307" s="6">
        <f>IF((H304&lt;&gt;"")*(H308=""),IF((H304&lt;=$B$443)*((H305&gt;=$C$443)+(H305&lt;2/24)),1,0),0)</f>
        <v>0</v>
      </c>
      <c r="AI307" s="6">
        <f>IF((I304&lt;&gt;"")*(I308=""),IF((I304&lt;=$B$443)*((I305&gt;=$C$443)+(I305&lt;2/24)),1,0),0)</f>
        <v>0</v>
      </c>
      <c r="AJ307" s="6">
        <f>IF((J304&lt;&gt;"")*(J308=""),IF((J304&lt;=$B$443)*((J305&gt;=$C$443)+(J305&lt;2/24)),1,0),0)</f>
        <v>1</v>
      </c>
    </row>
    <row r="308" spans="1:36" x14ac:dyDescent="0.2">
      <c r="A308" s="39"/>
      <c r="B308" s="40"/>
      <c r="C308" s="32" t="s">
        <v>4</v>
      </c>
      <c r="D308" s="33"/>
      <c r="E308" s="33"/>
      <c r="F308" s="33"/>
      <c r="G308" s="33"/>
      <c r="H308" s="33"/>
      <c r="I308" s="33"/>
      <c r="J308" s="33"/>
      <c r="K308" s="17"/>
      <c r="L308" s="6"/>
      <c r="M308" s="25"/>
      <c r="N308" s="6"/>
      <c r="O308" s="6"/>
      <c r="P308" s="6"/>
      <c r="Q308" s="6"/>
      <c r="R308" s="6"/>
      <c r="S308" s="6"/>
      <c r="T308" s="6"/>
      <c r="U308" s="6"/>
      <c r="V308" s="20"/>
      <c r="W308" s="20"/>
      <c r="X308" s="20"/>
      <c r="Y308" s="20"/>
      <c r="Z308" s="20"/>
      <c r="AA308" s="20"/>
      <c r="AB308" s="20"/>
      <c r="AD308" s="6">
        <f>IF((D304&lt;&gt;"")*(D308=""),IF((D304&lt;=$B$444)*((D305&gt;=$C$444)+(D305&lt;2/24)),1,0),0)</f>
        <v>0</v>
      </c>
      <c r="AE308" s="6">
        <f>IF((E304&lt;&gt;"")*(E308=""),IF((E304&lt;=$B$444)*((E305&gt;=$C$444)+(E305&lt;2/24)),1,0),0)</f>
        <v>1</v>
      </c>
      <c r="AF308" s="6">
        <f>IF((F304&lt;&gt;"")*(F308=""),IF((F304&lt;=$B$444)*((F305&gt;=$C$444)+(F305&lt;2/24)),1,0),0)</f>
        <v>1</v>
      </c>
      <c r="AG308" s="6">
        <f>IF((G304&lt;&gt;"")*(G308=""),IF((G304&lt;=$B$444)*((G305&gt;=$C$444)+(G305&lt;2/24)),1,0),0)</f>
        <v>1</v>
      </c>
      <c r="AH308" s="6">
        <f>IF((H304&lt;&gt;"")*(H308=""),IF((H304&lt;=$B$444)*((H305&gt;=$C$444)+(H305&lt;2/24)),1,0),0)</f>
        <v>0</v>
      </c>
      <c r="AI308" s="6">
        <f>IF((I304&lt;&gt;"")*(I308=""),IF((I304&lt;=$B$444)*((I305&gt;=$C$444)+(I305&lt;2/24)),1,0),0)</f>
        <v>0</v>
      </c>
      <c r="AJ308" s="6">
        <f>IF((J304&lt;&gt;"")*(J308=""),IF((J304&lt;=$B$444)*((J305&gt;=$C$444)+(J305&lt;2/24)),1,0),0)</f>
        <v>1</v>
      </c>
    </row>
    <row r="309" spans="1:36" ht="13.5" thickBot="1" x14ac:dyDescent="0.25">
      <c r="A309" s="41"/>
      <c r="B309" s="42"/>
      <c r="C309" s="35" t="s">
        <v>28</v>
      </c>
      <c r="D309" s="36"/>
      <c r="E309" s="36"/>
      <c r="F309" s="36"/>
      <c r="G309" s="36"/>
      <c r="H309" s="36"/>
      <c r="I309" s="36"/>
      <c r="J309" s="36"/>
      <c r="K309" s="34"/>
      <c r="L309" s="6"/>
      <c r="M309" s="25"/>
      <c r="N309" s="6"/>
      <c r="O309" s="6"/>
      <c r="P309" s="6"/>
      <c r="Q309" s="6"/>
      <c r="R309" s="6"/>
      <c r="S309" s="6"/>
      <c r="T309" s="6"/>
      <c r="U309" s="6"/>
      <c r="V309" s="20"/>
      <c r="W309" s="20"/>
      <c r="X309" s="20"/>
      <c r="Y309" s="20"/>
      <c r="Z309" s="20"/>
      <c r="AA309" s="20"/>
      <c r="AB309" s="20"/>
      <c r="AD309" s="6"/>
      <c r="AE309" s="6"/>
      <c r="AF309" s="6"/>
      <c r="AG309" s="6"/>
      <c r="AH309" s="6"/>
      <c r="AI309" s="6"/>
      <c r="AJ309" s="6"/>
    </row>
    <row r="310" spans="1:36" x14ac:dyDescent="0.2">
      <c r="A310" s="37" t="s">
        <v>131</v>
      </c>
      <c r="B310" s="38" t="s">
        <v>132</v>
      </c>
      <c r="C310" s="14" t="s">
        <v>0</v>
      </c>
      <c r="D310" s="26"/>
      <c r="E310" s="26"/>
      <c r="F310" s="26"/>
      <c r="G310" s="26">
        <v>0.54166666666666663</v>
      </c>
      <c r="H310" s="26">
        <v>0.41666666666666669</v>
      </c>
      <c r="I310" s="26"/>
      <c r="J310" s="26"/>
      <c r="K310" s="16"/>
      <c r="L310" s="6"/>
      <c r="M310" s="21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D310" s="6">
        <f>IF((D310&lt;&gt;"")*(D314=""),IF((D310&lt;=$B$463)*((D311&gt;=$C$463)+(D311&lt;2/24)),1,0),0)</f>
        <v>0</v>
      </c>
      <c r="AE310" s="6">
        <f>IF((E310&lt;&gt;"")*(E314=""),IF((E310&lt;=$B$463)*((E311&gt;=$C$463)+(E311&lt;2/24)),1,0),0)</f>
        <v>0</v>
      </c>
      <c r="AF310" s="6">
        <f>IF((F310&lt;&gt;"")*(F314=""),IF((F310&lt;=$B$463)*((F311&gt;=$C$463)+(F311&lt;2/24)),1,0),0)</f>
        <v>0</v>
      </c>
      <c r="AG310" s="6">
        <f>IF((G310&lt;&gt;"")*(G314=""),IF((G310&lt;=$B$463)*((G311&gt;=$C$463)+(G311&lt;2/24)),1,0),0)</f>
        <v>0</v>
      </c>
      <c r="AH310" s="6">
        <f>IF((H310&lt;&gt;"")*(H314=""),IF((H310&lt;=$B$463)*((H311&gt;=$C$463)+(H311&lt;2/24)),1,0),0)</f>
        <v>0</v>
      </c>
      <c r="AI310" s="6">
        <f>IF((I310&lt;&gt;"")*(I314=""),IF((I310&lt;=$B$463)*((I311&gt;=$C$463)+(I311&lt;2/24)),1,0),0)</f>
        <v>0</v>
      </c>
      <c r="AJ310" s="6">
        <f>IF((J310&lt;&gt;"")*(J314=""),IF((J310&lt;=$B$463)*((J311&gt;=$C$463)+(J311&lt;2/24)),1,0),0)</f>
        <v>0</v>
      </c>
    </row>
    <row r="311" spans="1:36" x14ac:dyDescent="0.2">
      <c r="A311" s="39"/>
      <c r="B311" s="40"/>
      <c r="C311" s="15" t="s">
        <v>1</v>
      </c>
      <c r="D311" s="27"/>
      <c r="E311" s="27"/>
      <c r="F311" s="27"/>
      <c r="G311" s="27">
        <v>0.75</v>
      </c>
      <c r="H311" s="27">
        <v>0.75</v>
      </c>
      <c r="I311" s="27"/>
      <c r="J311" s="27"/>
      <c r="K311" s="17"/>
      <c r="L311" s="6"/>
      <c r="M311" s="21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D311" s="6">
        <f>IF((D310&lt;&gt;"")*(D314=""),IF((D310&lt;=$B$464)*((D311&gt;=$C$464)+(D311&lt;2/24)),1,0),0)</f>
        <v>0</v>
      </c>
      <c r="AE311" s="6">
        <f>IF((E310&lt;&gt;"")*(E314=""),IF((E310&lt;=$B$464)*((E311&gt;=$C$464)+(E311&lt;2/24)),1,0),0)</f>
        <v>0</v>
      </c>
      <c r="AF311" s="6">
        <f>IF((F310&lt;&gt;"")*(F314=""),IF((F310&lt;=$B$464)*((F311&gt;=$C$464)+(F311&lt;2/24)),1,0),0)</f>
        <v>0</v>
      </c>
      <c r="AG311" s="6">
        <f>IF((G310&lt;&gt;"")*(G314=""),IF((G310&lt;=$B$464)*((G311&gt;=$C$464)+(G311&lt;2/24)),1,0),0)</f>
        <v>0</v>
      </c>
      <c r="AH311" s="6">
        <f>IF((H310&lt;&gt;"")*(H314=""),IF((H310&lt;=$B$464)*((H311&gt;=$C$464)+(H311&lt;2/24)),1,0),0)</f>
        <v>0</v>
      </c>
      <c r="AI311" s="6">
        <f>IF((I310&lt;&gt;"")*(I314=""),IF((I310&lt;=$B$464)*((I311&gt;=$C$464)+(I311&lt;2/24)),1,0),0)</f>
        <v>0</v>
      </c>
      <c r="AJ311" s="6">
        <f>IF((J310&lt;&gt;"")*(J314=""),IF((J310&lt;=$B$464)*((J311&gt;=$C$464)+(J311&lt;2/24)),1,0),0)</f>
        <v>0</v>
      </c>
    </row>
    <row r="312" spans="1:36" x14ac:dyDescent="0.2">
      <c r="A312" s="64" t="s">
        <v>169</v>
      </c>
      <c r="B312" s="40"/>
      <c r="C312" s="15" t="s">
        <v>2</v>
      </c>
      <c r="D312" s="4"/>
      <c r="E312" s="4"/>
      <c r="F312" s="4"/>
      <c r="G312" s="4"/>
      <c r="H312" s="4">
        <v>4.1666666666666664E-2</v>
      </c>
      <c r="I312" s="4"/>
      <c r="J312" s="4"/>
      <c r="K312" s="17"/>
      <c r="L312" s="6"/>
      <c r="M312" s="21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D312" s="6">
        <f>IF((D310&lt;&gt;"")*(D314=""),IF((D310&lt;=$B$465)*((D311&gt;=$C$465)+(D311&lt;2/24)),1,0),0)</f>
        <v>0</v>
      </c>
      <c r="AE312" s="6">
        <f>IF((E310&lt;&gt;"")*(E314=""),IF((E310&lt;=$B$465)*((E311&gt;=$C$465)+(E311&lt;2/24)),1,0),0)</f>
        <v>0</v>
      </c>
      <c r="AF312" s="6">
        <f>IF((F310&lt;&gt;"")*(F314=""),IF((F310&lt;=$B$465)*((F311&gt;=$C$465)+(F311&lt;2/24)),1,0),0)</f>
        <v>0</v>
      </c>
      <c r="AG312" s="6">
        <f>IF((G310&lt;&gt;"")*(G314=""),IF((G310&lt;=$B$465)*((G311&gt;=$C$465)+(G311&lt;2/24)),1,0),0)</f>
        <v>0</v>
      </c>
      <c r="AH312" s="6">
        <f>IF((H310&lt;&gt;"")*(H314=""),IF((H310&lt;=$B$465)*((H311&gt;=$C$465)+(H311&lt;2/24)),1,0),0)</f>
        <v>0</v>
      </c>
      <c r="AI312" s="6">
        <f>IF((I310&lt;&gt;"")*(I314=""),IF((I310&lt;=$B$465)*((I311&gt;=$C$465)+(I311&lt;2/24)),1,0),0)</f>
        <v>0</v>
      </c>
      <c r="AJ312" s="6">
        <f>IF((J310&lt;&gt;"")*(J314=""),IF((J310&lt;=$B$465)*((J311&gt;=$C$465)+(J311&lt;2/24)),1,0),0)</f>
        <v>0</v>
      </c>
    </row>
    <row r="313" spans="1:36" x14ac:dyDescent="0.2">
      <c r="A313" s="64" t="s">
        <v>150</v>
      </c>
      <c r="B313" s="40"/>
      <c r="C313" s="15" t="s">
        <v>3</v>
      </c>
      <c r="D313" s="43" t="str">
        <f t="shared" ref="D313:I313" si="237">IF(D310="","",IF(D311&gt;D310,(D311-D310-D312)*24,(1-D310-D312+D311)*24))</f>
        <v/>
      </c>
      <c r="E313" s="43"/>
      <c r="F313" s="43"/>
      <c r="G313" s="43">
        <f t="shared" si="237"/>
        <v>5.0000000000000009</v>
      </c>
      <c r="H313" s="43">
        <f t="shared" si="237"/>
        <v>6.9999999999999991</v>
      </c>
      <c r="I313" s="43" t="str">
        <f t="shared" si="237"/>
        <v/>
      </c>
      <c r="J313" s="44"/>
      <c r="K313" s="18">
        <f>SUMIF(D314:J314,"",D313:J313)</f>
        <v>12</v>
      </c>
      <c r="L313" s="12">
        <f>SUM(D313:J313)</f>
        <v>12</v>
      </c>
      <c r="M313" s="24"/>
      <c r="N313" s="10" t="str">
        <f t="shared" ref="N313" si="238">IF(D314="",D313,0)</f>
        <v/>
      </c>
      <c r="O313" s="10">
        <f t="shared" ref="O313" si="239">IF(E314="",E313,0)</f>
        <v>0</v>
      </c>
      <c r="P313" s="10">
        <f t="shared" ref="P313" si="240">IF(F314="",F313,0)</f>
        <v>0</v>
      </c>
      <c r="Q313" s="10">
        <f t="shared" ref="Q313" si="241">IF(G314="",G313,0)</f>
        <v>5.0000000000000009</v>
      </c>
      <c r="R313" s="10">
        <f t="shared" ref="R313" si="242">IF(H314="",H313,0)</f>
        <v>6.9999999999999991</v>
      </c>
      <c r="S313" s="10" t="str">
        <f t="shared" ref="S313" si="243">IF(I314="",I313,0)</f>
        <v/>
      </c>
      <c r="T313" s="10">
        <f t="shared" ref="T313" si="244">IF(J314="",J313,0)</f>
        <v>0</v>
      </c>
      <c r="U313" s="10"/>
      <c r="V313" s="10" t="str">
        <f t="shared" ref="V313" si="245">D313</f>
        <v/>
      </c>
      <c r="W313" s="10">
        <f t="shared" ref="W313" si="246">E313</f>
        <v>0</v>
      </c>
      <c r="X313" s="10">
        <f t="shared" ref="X313" si="247">F313</f>
        <v>0</v>
      </c>
      <c r="Y313" s="10">
        <f t="shared" ref="Y313" si="248">G313</f>
        <v>5.0000000000000009</v>
      </c>
      <c r="Z313" s="10">
        <f t="shared" ref="Z313" si="249">H313</f>
        <v>6.9999999999999991</v>
      </c>
      <c r="AA313" s="10" t="str">
        <f t="shared" ref="AA313" si="250">I313</f>
        <v/>
      </c>
      <c r="AB313" s="10">
        <f t="shared" ref="AB313" si="251">J313</f>
        <v>0</v>
      </c>
      <c r="AD313" s="6">
        <f>IF((D310&lt;&gt;"")*(D314=""),IF((D310&lt;=$B$466)*((D311&gt;=$C$466)+(D311&lt;2/24)),1,0),0)</f>
        <v>0</v>
      </c>
      <c r="AE313" s="6">
        <f>IF((E310&lt;&gt;"")*(E314=""),IF((E310&lt;=$B$466)*((E311&gt;=$C$466)+(E311&lt;2/24)),1,0),0)</f>
        <v>0</v>
      </c>
      <c r="AF313" s="6">
        <f>IF((F310&lt;&gt;"")*(F314=""),IF((F310&lt;=$B$466)*((F311&gt;=$C$466)+(F311&lt;2/24)),1,0),0)</f>
        <v>0</v>
      </c>
      <c r="AG313" s="6">
        <f>IF((G310&lt;&gt;"")*(G314=""),IF((G310&lt;=$B$466)*((G311&gt;=$C$466)+(G311&lt;2/24)),1,0),0)</f>
        <v>0</v>
      </c>
      <c r="AH313" s="6">
        <f>IF((H310&lt;&gt;"")*(H314=""),IF((H310&lt;=$B$466)*((H311&gt;=$C$466)+(H311&lt;2/24)),1,0),0)</f>
        <v>0</v>
      </c>
      <c r="AI313" s="6">
        <f>IF((I310&lt;&gt;"")*(I314=""),IF((I310&lt;=$B$466)*((I311&gt;=$C$466)+(I311&lt;2/24)),1,0),0)</f>
        <v>0</v>
      </c>
      <c r="AJ313" s="6">
        <f>IF((J310&lt;&gt;"")*(J314=""),IF((J310&lt;=$B$466)*((J311&gt;=$C$466)+(J311&lt;2/24)),1,0),0)</f>
        <v>0</v>
      </c>
    </row>
    <row r="314" spans="1:36" x14ac:dyDescent="0.2">
      <c r="A314" s="39"/>
      <c r="B314" s="40"/>
      <c r="C314" s="32" t="s">
        <v>4</v>
      </c>
      <c r="D314" s="33"/>
      <c r="E314" s="33"/>
      <c r="F314" s="33"/>
      <c r="G314" s="33"/>
      <c r="H314" s="33"/>
      <c r="I314" s="33"/>
      <c r="J314" s="33"/>
      <c r="K314" s="17"/>
      <c r="L314" s="6"/>
      <c r="M314" s="25"/>
      <c r="N314" s="6"/>
      <c r="O314" s="6"/>
      <c r="P314" s="6"/>
      <c r="Q314" s="6"/>
      <c r="R314" s="6"/>
      <c r="S314" s="6"/>
      <c r="T314" s="6"/>
      <c r="U314" s="6"/>
      <c r="V314" s="20"/>
      <c r="W314" s="20"/>
      <c r="X314" s="20"/>
      <c r="Y314" s="20"/>
      <c r="Z314" s="20"/>
      <c r="AA314" s="20"/>
      <c r="AB314" s="20"/>
      <c r="AD314" s="6">
        <f>IF((D310&lt;&gt;"")*(D314=""),IF((D310&lt;=$B$467)*((D311&gt;=$C$467)+(D311&lt;2/24)),1,0),0)</f>
        <v>0</v>
      </c>
      <c r="AE314" s="6">
        <f>IF((E310&lt;&gt;"")*(E314=""),IF((E310&lt;=$B$467)*((E311&gt;=$C$467)+(E311&lt;2/24)),1,0),0)</f>
        <v>0</v>
      </c>
      <c r="AF314" s="6">
        <f>IF((F310&lt;&gt;"")*(F314=""),IF((F310&lt;=$B$467)*((F311&gt;=$C$467)+(F311&lt;2/24)),1,0),0)</f>
        <v>0</v>
      </c>
      <c r="AG314" s="6">
        <f>IF((G310&lt;&gt;"")*(G314=""),IF((G310&lt;=$B$467)*((G311&gt;=$C$467)+(G311&lt;2/24)),1,0),0)</f>
        <v>0</v>
      </c>
      <c r="AH314" s="6">
        <f>IF((H310&lt;&gt;"")*(H314=""),IF((H310&lt;=$B$467)*((H311&gt;=$C$467)+(H311&lt;2/24)),1,0),0)</f>
        <v>0</v>
      </c>
      <c r="AI314" s="6">
        <f>IF((I310&lt;&gt;"")*(I314=""),IF((I310&lt;=$B$467)*((I311&gt;=$C$467)+(I311&lt;2/24)),1,0),0)</f>
        <v>0</v>
      </c>
      <c r="AJ314" s="6">
        <f>IF((J310&lt;&gt;"")*(J314=""),IF((J310&lt;=$B$467)*((J311&gt;=$C$467)+(J311&lt;2/24)),1,0),0)</f>
        <v>0</v>
      </c>
    </row>
    <row r="315" spans="1:36" ht="13.5" thickBot="1" x14ac:dyDescent="0.25">
      <c r="A315" s="41"/>
      <c r="B315" s="42"/>
      <c r="C315" s="35" t="s">
        <v>28</v>
      </c>
      <c r="D315" s="36"/>
      <c r="E315" s="36"/>
      <c r="F315" s="36"/>
      <c r="G315" s="36"/>
      <c r="H315" s="36"/>
      <c r="I315" s="36"/>
      <c r="J315" s="36"/>
      <c r="K315" s="34"/>
      <c r="L315" s="6"/>
      <c r="M315" s="25"/>
      <c r="N315" s="6"/>
      <c r="O315" s="6"/>
      <c r="P315" s="6"/>
      <c r="Q315" s="6"/>
      <c r="R315" s="6"/>
      <c r="S315" s="6"/>
      <c r="T315" s="6"/>
      <c r="U315" s="6"/>
      <c r="V315" s="20"/>
      <c r="W315" s="20"/>
      <c r="X315" s="20"/>
      <c r="Y315" s="20"/>
      <c r="Z315" s="20"/>
      <c r="AA315" s="20"/>
      <c r="AB315" s="20"/>
      <c r="AD315" s="6"/>
      <c r="AE315" s="6"/>
      <c r="AF315" s="6"/>
      <c r="AG315" s="6"/>
      <c r="AH315" s="6"/>
      <c r="AI315" s="6"/>
      <c r="AJ315" s="6"/>
    </row>
    <row r="316" spans="1:36" x14ac:dyDescent="0.2">
      <c r="A316" s="37" t="s">
        <v>135</v>
      </c>
      <c r="B316" s="38" t="s">
        <v>136</v>
      </c>
      <c r="C316" s="14" t="s">
        <v>0</v>
      </c>
      <c r="D316" s="26"/>
      <c r="E316" s="26"/>
      <c r="F316" s="26"/>
      <c r="G316" s="26"/>
      <c r="H316" s="26"/>
      <c r="I316" s="26">
        <v>0.54166666666666663</v>
      </c>
      <c r="J316" s="26">
        <v>0.77083333333333337</v>
      </c>
      <c r="K316" s="16"/>
      <c r="L316" s="6"/>
      <c r="M316" s="21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D316" s="6">
        <f>IF((D316&lt;&gt;"")*(D320=""),IF((D316&lt;=$B$463)*((D317&gt;=$C$463)+(D317&lt;2/24)),1,0),0)</f>
        <v>0</v>
      </c>
      <c r="AE316" s="6">
        <f>IF((E316&lt;&gt;"")*(E320=""),IF((E316&lt;=$B$463)*((E317&gt;=$C$463)+(E317&lt;2/24)),1,0),0)</f>
        <v>0</v>
      </c>
      <c r="AF316" s="6">
        <f>IF((F316&lt;&gt;"")*(F320=""),IF((F316&lt;=$B$463)*((F317&gt;=$C$463)+(F317&lt;2/24)),1,0),0)</f>
        <v>0</v>
      </c>
      <c r="AG316" s="6">
        <f>IF((G316&lt;&gt;"")*(G320=""),IF((G316&lt;=$B$463)*((G317&gt;=$C$463)+(G317&lt;2/24)),1,0),0)</f>
        <v>0</v>
      </c>
      <c r="AH316" s="6">
        <f>IF((H316&lt;&gt;"")*(H320=""),IF((H316&lt;=$B$463)*((H317&gt;=$C$463)+(H317&lt;2/24)),1,0),0)</f>
        <v>0</v>
      </c>
      <c r="AI316" s="6">
        <f>IF((I316&lt;&gt;"")*(I320=""),IF((I316&lt;=$B$463)*((I317&gt;=$C$463)+(I317&lt;2/24)),1,0),0)</f>
        <v>0</v>
      </c>
      <c r="AJ316" s="6">
        <f>IF((J316&lt;&gt;"")*(J320=""),IF((J316&lt;=$B$463)*((J317&gt;=$C$463)+(J317&lt;2/24)),1,0),0)</f>
        <v>0</v>
      </c>
    </row>
    <row r="317" spans="1:36" x14ac:dyDescent="0.2">
      <c r="A317" s="39"/>
      <c r="B317" s="40"/>
      <c r="C317" s="15" t="s">
        <v>1</v>
      </c>
      <c r="D317" s="27"/>
      <c r="E317" s="27"/>
      <c r="F317" s="27"/>
      <c r="G317" s="27"/>
      <c r="H317" s="27"/>
      <c r="I317" s="27">
        <v>0.75</v>
      </c>
      <c r="J317" s="27">
        <v>0.95833333333333337</v>
      </c>
      <c r="K317" s="17"/>
      <c r="L317" s="6"/>
      <c r="M317" s="21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D317" s="6">
        <f>IF((D316&lt;&gt;"")*(D320=""),IF((D316&lt;=$B$464)*((D317&gt;=$C$464)+(D317&lt;2/24)),1,0),0)</f>
        <v>0</v>
      </c>
      <c r="AE317" s="6">
        <f>IF((E316&lt;&gt;"")*(E320=""),IF((E316&lt;=$B$464)*((E317&gt;=$C$464)+(E317&lt;2/24)),1,0),0)</f>
        <v>0</v>
      </c>
      <c r="AF317" s="6">
        <f>IF((F316&lt;&gt;"")*(F320=""),IF((F316&lt;=$B$464)*((F317&gt;=$C$464)+(F317&lt;2/24)),1,0),0)</f>
        <v>0</v>
      </c>
      <c r="AG317" s="6">
        <f>IF((G316&lt;&gt;"")*(G320=""),IF((G316&lt;=$B$464)*((G317&gt;=$C$464)+(G317&lt;2/24)),1,0),0)</f>
        <v>0</v>
      </c>
      <c r="AH317" s="6">
        <f>IF((H316&lt;&gt;"")*(H320=""),IF((H316&lt;=$B$464)*((H317&gt;=$C$464)+(H317&lt;2/24)),1,0),0)</f>
        <v>0</v>
      </c>
      <c r="AI317" s="6">
        <f>IF((I316&lt;&gt;"")*(I320=""),IF((I316&lt;=$B$464)*((I317&gt;=$C$464)+(I317&lt;2/24)),1,0),0)</f>
        <v>0</v>
      </c>
      <c r="AJ317" s="6">
        <f>IF((J316&lt;&gt;"")*(J320=""),IF((J316&lt;=$B$464)*((J317&gt;=$C$464)+(J317&lt;2/24)),1,0),0)</f>
        <v>0</v>
      </c>
    </row>
    <row r="318" spans="1:36" x14ac:dyDescent="0.2">
      <c r="A318" s="64" t="s">
        <v>177</v>
      </c>
      <c r="B318" s="40"/>
      <c r="C318" s="15" t="s">
        <v>2</v>
      </c>
      <c r="D318" s="4"/>
      <c r="E318" s="4"/>
      <c r="F318" s="4"/>
      <c r="G318" s="4"/>
      <c r="H318" s="4"/>
      <c r="I318" s="4"/>
      <c r="J318" s="4"/>
      <c r="K318" s="17"/>
      <c r="L318" s="6"/>
      <c r="M318" s="21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D318" s="6">
        <f>IF((D316&lt;&gt;"")*(D320=""),IF((D316&lt;=$B$465)*((D317&gt;=$C$465)+(D317&lt;2/24)),1,0),0)</f>
        <v>0</v>
      </c>
      <c r="AE318" s="6">
        <f>IF((E316&lt;&gt;"")*(E320=""),IF((E316&lt;=$B$465)*((E317&gt;=$C$465)+(E317&lt;2/24)),1,0),0)</f>
        <v>0</v>
      </c>
      <c r="AF318" s="6">
        <f>IF((F316&lt;&gt;"")*(F320=""),IF((F316&lt;=$B$465)*((F317&gt;=$C$465)+(F317&lt;2/24)),1,0),0)</f>
        <v>0</v>
      </c>
      <c r="AG318" s="6">
        <f>IF((G316&lt;&gt;"")*(G320=""),IF((G316&lt;=$B$465)*((G317&gt;=$C$465)+(G317&lt;2/24)),1,0),0)</f>
        <v>0</v>
      </c>
      <c r="AH318" s="6">
        <f>IF((H316&lt;&gt;"")*(H320=""),IF((H316&lt;=$B$465)*((H317&gt;=$C$465)+(H317&lt;2/24)),1,0),0)</f>
        <v>0</v>
      </c>
      <c r="AI318" s="6">
        <f>IF((I316&lt;&gt;"")*(I320=""),IF((I316&lt;=$B$465)*((I317&gt;=$C$465)+(I317&lt;2/24)),1,0),0)</f>
        <v>0</v>
      </c>
      <c r="AJ318" s="6">
        <f>IF((J316&lt;&gt;"")*(J320=""),IF((J316&lt;=$B$465)*((J317&gt;=$C$465)+(J317&lt;2/24)),1,0),0)</f>
        <v>0</v>
      </c>
    </row>
    <row r="319" spans="1:36" x14ac:dyDescent="0.2">
      <c r="A319" s="64" t="s">
        <v>150</v>
      </c>
      <c r="B319" s="40"/>
      <c r="C319" s="15" t="s">
        <v>3</v>
      </c>
      <c r="D319" s="43" t="str">
        <f t="shared" ref="D319:I319" si="252">IF(D316="","",IF(D317&gt;D316,(D317-D316-D318)*24,(1-D316-D318+D317)*24))</f>
        <v/>
      </c>
      <c r="E319" s="43"/>
      <c r="F319" s="43" t="str">
        <f t="shared" si="252"/>
        <v/>
      </c>
      <c r="G319" s="43" t="str">
        <f t="shared" si="252"/>
        <v/>
      </c>
      <c r="H319" s="43" t="str">
        <f t="shared" si="252"/>
        <v/>
      </c>
      <c r="I319" s="43">
        <f t="shared" si="252"/>
        <v>5.0000000000000009</v>
      </c>
      <c r="J319" s="44">
        <v>4.5</v>
      </c>
      <c r="K319" s="18">
        <f>SUMIF(D320:J320,"",D319:J319)</f>
        <v>9.5</v>
      </c>
      <c r="L319" s="12">
        <f>SUM(D319:J319)</f>
        <v>9.5</v>
      </c>
      <c r="M319" s="24"/>
      <c r="N319" s="10" t="str">
        <f t="shared" ref="N319" si="253">IF(D320="",D319,0)</f>
        <v/>
      </c>
      <c r="O319" s="10">
        <f t="shared" ref="O319" si="254">IF(E320="",E319,0)</f>
        <v>0</v>
      </c>
      <c r="P319" s="10" t="str">
        <f t="shared" ref="P319" si="255">IF(F320="",F319,0)</f>
        <v/>
      </c>
      <c r="Q319" s="10" t="str">
        <f t="shared" ref="Q319" si="256">IF(G320="",G319,0)</f>
        <v/>
      </c>
      <c r="R319" s="10" t="str">
        <f t="shared" ref="R319" si="257">IF(H320="",H319,0)</f>
        <v/>
      </c>
      <c r="S319" s="10">
        <f t="shared" ref="S319" si="258">IF(I320="",I319,0)</f>
        <v>5.0000000000000009</v>
      </c>
      <c r="T319" s="10">
        <f t="shared" ref="T319" si="259">IF(J320="",J319,0)</f>
        <v>4.5</v>
      </c>
      <c r="U319" s="10"/>
      <c r="V319" s="10" t="str">
        <f t="shared" ref="V319" si="260">D319</f>
        <v/>
      </c>
      <c r="W319" s="10">
        <f t="shared" ref="W319" si="261">E319</f>
        <v>0</v>
      </c>
      <c r="X319" s="10" t="str">
        <f t="shared" ref="X319" si="262">F319</f>
        <v/>
      </c>
      <c r="Y319" s="10" t="str">
        <f t="shared" ref="Y319" si="263">G319</f>
        <v/>
      </c>
      <c r="Z319" s="10" t="str">
        <f t="shared" ref="Z319" si="264">H319</f>
        <v/>
      </c>
      <c r="AA319" s="10">
        <f t="shared" ref="AA319" si="265">I319</f>
        <v>5.0000000000000009</v>
      </c>
      <c r="AB319" s="10">
        <f t="shared" ref="AB319" si="266">J319</f>
        <v>4.5</v>
      </c>
      <c r="AD319" s="6">
        <f>IF((D316&lt;&gt;"")*(D320=""),IF((D316&lt;=$B$466)*((D317&gt;=$C$466)+(D317&lt;2/24)),1,0),0)</f>
        <v>0</v>
      </c>
      <c r="AE319" s="6">
        <f>IF((E316&lt;&gt;"")*(E320=""),IF((E316&lt;=$B$466)*((E317&gt;=$C$466)+(E317&lt;2/24)),1,0),0)</f>
        <v>0</v>
      </c>
      <c r="AF319" s="6">
        <f>IF((F316&lt;&gt;"")*(F320=""),IF((F316&lt;=$B$466)*((F317&gt;=$C$466)+(F317&lt;2/24)),1,0),0)</f>
        <v>0</v>
      </c>
      <c r="AG319" s="6">
        <f>IF((G316&lt;&gt;"")*(G320=""),IF((G316&lt;=$B$466)*((G317&gt;=$C$466)+(G317&lt;2/24)),1,0),0)</f>
        <v>0</v>
      </c>
      <c r="AH319" s="6">
        <f>IF((H316&lt;&gt;"")*(H320=""),IF((H316&lt;=$B$466)*((H317&gt;=$C$466)+(H317&lt;2/24)),1,0),0)</f>
        <v>0</v>
      </c>
      <c r="AI319" s="6">
        <f>IF((I316&lt;&gt;"")*(I320=""),IF((I316&lt;=$B$466)*((I317&gt;=$C$466)+(I317&lt;2/24)),1,0),0)</f>
        <v>0</v>
      </c>
      <c r="AJ319" s="6">
        <f>IF((J316&lt;&gt;"")*(J320=""),IF((J316&lt;=$B$466)*((J317&gt;=$C$466)+(J317&lt;2/24)),1,0),0)</f>
        <v>0</v>
      </c>
    </row>
    <row r="320" spans="1:36" x14ac:dyDescent="0.2">
      <c r="A320" s="39"/>
      <c r="B320" s="40"/>
      <c r="C320" s="32" t="s">
        <v>4</v>
      </c>
      <c r="D320" s="33"/>
      <c r="E320" s="33"/>
      <c r="F320" s="33"/>
      <c r="G320" s="33"/>
      <c r="H320" s="33"/>
      <c r="I320" s="33"/>
      <c r="J320" s="33"/>
      <c r="K320" s="17"/>
      <c r="L320" s="6"/>
      <c r="M320" s="25"/>
      <c r="N320" s="6"/>
      <c r="O320" s="6"/>
      <c r="P320" s="6"/>
      <c r="Q320" s="6"/>
      <c r="R320" s="6"/>
      <c r="S320" s="6"/>
      <c r="T320" s="6"/>
      <c r="U320" s="6"/>
      <c r="V320" s="20"/>
      <c r="W320" s="20"/>
      <c r="X320" s="20"/>
      <c r="Y320" s="20"/>
      <c r="Z320" s="20"/>
      <c r="AA320" s="20"/>
      <c r="AB320" s="20"/>
      <c r="AD320" s="6">
        <f>IF((D316&lt;&gt;"")*(D320=""),IF((D316&lt;=$B$467)*((D317&gt;=$C$467)+(D317&lt;2/24)),1,0),0)</f>
        <v>0</v>
      </c>
      <c r="AE320" s="6">
        <f>IF((E316&lt;&gt;"")*(E320=""),IF((E316&lt;=$B$467)*((E317&gt;=$C$467)+(E317&lt;2/24)),1,0),0)</f>
        <v>0</v>
      </c>
      <c r="AF320" s="6">
        <f>IF((F316&lt;&gt;"")*(F320=""),IF((F316&lt;=$B$467)*((F317&gt;=$C$467)+(F317&lt;2/24)),1,0),0)</f>
        <v>0</v>
      </c>
      <c r="AG320" s="6">
        <f>IF((G316&lt;&gt;"")*(G320=""),IF((G316&lt;=$B$467)*((G317&gt;=$C$467)+(G317&lt;2/24)),1,0),0)</f>
        <v>0</v>
      </c>
      <c r="AH320" s="6">
        <f>IF((H316&lt;&gt;"")*(H320=""),IF((H316&lt;=$B$467)*((H317&gt;=$C$467)+(H317&lt;2/24)),1,0),0)</f>
        <v>0</v>
      </c>
      <c r="AI320" s="6">
        <f>IF((I316&lt;&gt;"")*(I320=""),IF((I316&lt;=$B$467)*((I317&gt;=$C$467)+(I317&lt;2/24)),1,0),0)</f>
        <v>0</v>
      </c>
      <c r="AJ320" s="6">
        <f>IF((J316&lt;&gt;"")*(J320=""),IF((J316&lt;=$B$467)*((J317&gt;=$C$467)+(J317&lt;2/24)),1,0),0)</f>
        <v>0</v>
      </c>
    </row>
    <row r="321" spans="1:36" ht="13.5" thickBot="1" x14ac:dyDescent="0.25">
      <c r="A321" s="41"/>
      <c r="B321" s="42"/>
      <c r="C321" s="35" t="s">
        <v>28</v>
      </c>
      <c r="D321" s="36"/>
      <c r="E321" s="36"/>
      <c r="F321" s="36"/>
      <c r="G321" s="36"/>
      <c r="H321" s="36"/>
      <c r="I321" s="36"/>
      <c r="J321" s="36"/>
      <c r="K321" s="34"/>
      <c r="L321" s="6"/>
      <c r="M321" s="25"/>
      <c r="N321" s="6"/>
      <c r="O321" s="6"/>
      <c r="P321" s="6"/>
      <c r="Q321" s="6"/>
      <c r="R321" s="6"/>
      <c r="S321" s="6"/>
      <c r="T321" s="6"/>
      <c r="U321" s="6"/>
      <c r="V321" s="20"/>
      <c r="W321" s="20"/>
      <c r="X321" s="20"/>
      <c r="Y321" s="20"/>
      <c r="Z321" s="20"/>
      <c r="AA321" s="20"/>
      <c r="AB321" s="20"/>
      <c r="AD321" s="6"/>
      <c r="AE321" s="6"/>
      <c r="AF321" s="6"/>
      <c r="AG321" s="6"/>
      <c r="AH321" s="6"/>
      <c r="AI321" s="6"/>
      <c r="AJ321" s="6"/>
    </row>
    <row r="322" spans="1:36" x14ac:dyDescent="0.2">
      <c r="A322" s="37" t="s">
        <v>137</v>
      </c>
      <c r="B322" s="38" t="s">
        <v>138</v>
      </c>
      <c r="C322" s="14" t="s">
        <v>0</v>
      </c>
      <c r="D322" s="26"/>
      <c r="E322" s="26"/>
      <c r="F322" s="26"/>
      <c r="G322" s="26"/>
      <c r="H322" s="26"/>
      <c r="I322" s="26">
        <v>0.77083333333333337</v>
      </c>
      <c r="J322" s="26"/>
      <c r="K322" s="16"/>
      <c r="L322" s="6"/>
      <c r="M322" s="21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D322" s="6">
        <f>IF((D322&lt;&gt;"")*(D326=""),IF((D322&lt;=$B$463)*((D323&gt;=$C$463)+(D323&lt;2/24)),1,0),0)</f>
        <v>0</v>
      </c>
      <c r="AE322" s="6">
        <f>IF((E322&lt;&gt;"")*(E326=""),IF((E322&lt;=$B$463)*((E323&gt;=$C$463)+(E323&lt;2/24)),1,0),0)</f>
        <v>0</v>
      </c>
      <c r="AF322" s="6">
        <f>IF((F322&lt;&gt;"")*(F326=""),IF((F322&lt;=$B$463)*((F323&gt;=$C$463)+(F323&lt;2/24)),1,0),0)</f>
        <v>0</v>
      </c>
      <c r="AG322" s="6">
        <f>IF((G322&lt;&gt;"")*(G326=""),IF((G322&lt;=$B$463)*((G323&gt;=$C$463)+(G323&lt;2/24)),1,0),0)</f>
        <v>0</v>
      </c>
      <c r="AH322" s="6">
        <f>IF((H322&lt;&gt;"")*(H326=""),IF((H322&lt;=$B$463)*((H323&gt;=$C$463)+(H323&lt;2/24)),1,0),0)</f>
        <v>0</v>
      </c>
      <c r="AI322" s="6">
        <f>IF((I322&lt;&gt;"")*(I326=""),IF((I322&lt;=$B$463)*((I323&gt;=$C$463)+(I323&lt;2/24)),1,0),0)</f>
        <v>0</v>
      </c>
      <c r="AJ322" s="6">
        <f>IF((J322&lt;&gt;"")*(J326=""),IF((J322&lt;=$B$463)*((J323&gt;=$C$463)+(J323&lt;2/24)),1,0),0)</f>
        <v>0</v>
      </c>
    </row>
    <row r="323" spans="1:36" x14ac:dyDescent="0.2">
      <c r="A323" s="39"/>
      <c r="B323" s="40"/>
      <c r="C323" s="15" t="s">
        <v>1</v>
      </c>
      <c r="D323" s="27"/>
      <c r="E323" s="27"/>
      <c r="F323" s="27"/>
      <c r="G323" s="27"/>
      <c r="H323" s="27"/>
      <c r="I323" s="27">
        <v>0.95833333333333337</v>
      </c>
      <c r="J323" s="27"/>
      <c r="K323" s="17"/>
      <c r="L323" s="6"/>
      <c r="M323" s="21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D323" s="6">
        <f>IF((D322&lt;&gt;"")*(D326=""),IF((D322&lt;=$B$464)*((D323&gt;=$C$464)+(D323&lt;2/24)),1,0),0)</f>
        <v>0</v>
      </c>
      <c r="AE323" s="6">
        <f>IF((E322&lt;&gt;"")*(E326=""),IF((E322&lt;=$B$464)*((E323&gt;=$C$464)+(E323&lt;2/24)),1,0),0)</f>
        <v>0</v>
      </c>
      <c r="AF323" s="6">
        <f>IF((F322&lt;&gt;"")*(F326=""),IF((F322&lt;=$B$464)*((F323&gt;=$C$464)+(F323&lt;2/24)),1,0),0)</f>
        <v>0</v>
      </c>
      <c r="AG323" s="6">
        <f>IF((G322&lt;&gt;"")*(G326=""),IF((G322&lt;=$B$464)*((G323&gt;=$C$464)+(G323&lt;2/24)),1,0),0)</f>
        <v>0</v>
      </c>
      <c r="AH323" s="6">
        <f>IF((H322&lt;&gt;"")*(H326=""),IF((H322&lt;=$B$464)*((H323&gt;=$C$464)+(H323&lt;2/24)),1,0),0)</f>
        <v>0</v>
      </c>
      <c r="AI323" s="6">
        <f>IF((I322&lt;&gt;"")*(I326=""),IF((I322&lt;=$B$464)*((I323&gt;=$C$464)+(I323&lt;2/24)),1,0),0)</f>
        <v>0</v>
      </c>
      <c r="AJ323" s="6">
        <f>IF((J322&lt;&gt;"")*(J326=""),IF((J322&lt;=$B$464)*((J323&gt;=$C$464)+(J323&lt;2/24)),1,0),0)</f>
        <v>0</v>
      </c>
    </row>
    <row r="324" spans="1:36" x14ac:dyDescent="0.2">
      <c r="A324" s="64" t="s">
        <v>177</v>
      </c>
      <c r="B324" s="40"/>
      <c r="C324" s="15" t="s">
        <v>2</v>
      </c>
      <c r="D324" s="4"/>
      <c r="E324" s="4"/>
      <c r="F324" s="4"/>
      <c r="G324" s="4"/>
      <c r="H324" s="4"/>
      <c r="I324" s="4"/>
      <c r="J324" s="4"/>
      <c r="K324" s="17"/>
      <c r="L324" s="6"/>
      <c r="M324" s="21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D324" s="6">
        <f>IF((D322&lt;&gt;"")*(D326=""),IF((D322&lt;=$B$465)*((D323&gt;=$C$465)+(D323&lt;2/24)),1,0),0)</f>
        <v>0</v>
      </c>
      <c r="AE324" s="6">
        <f>IF((E322&lt;&gt;"")*(E326=""),IF((E322&lt;=$B$465)*((E323&gt;=$C$465)+(E323&lt;2/24)),1,0),0)</f>
        <v>0</v>
      </c>
      <c r="AF324" s="6">
        <f>IF((F322&lt;&gt;"")*(F326=""),IF((F322&lt;=$B$465)*((F323&gt;=$C$465)+(F323&lt;2/24)),1,0),0)</f>
        <v>0</v>
      </c>
      <c r="AG324" s="6">
        <f>IF((G322&lt;&gt;"")*(G326=""),IF((G322&lt;=$B$465)*((G323&gt;=$C$465)+(G323&lt;2/24)),1,0),0)</f>
        <v>0</v>
      </c>
      <c r="AH324" s="6">
        <f>IF((H322&lt;&gt;"")*(H326=""),IF((H322&lt;=$B$465)*((H323&gt;=$C$465)+(H323&lt;2/24)),1,0),0)</f>
        <v>0</v>
      </c>
      <c r="AI324" s="6">
        <f>IF((I322&lt;&gt;"")*(I326=""),IF((I322&lt;=$B$465)*((I323&gt;=$C$465)+(I323&lt;2/24)),1,0),0)</f>
        <v>0</v>
      </c>
      <c r="AJ324" s="6">
        <f>IF((J322&lt;&gt;"")*(J326=""),IF((J322&lt;=$B$465)*((J323&gt;=$C$465)+(J323&lt;2/24)),1,0),0)</f>
        <v>0</v>
      </c>
    </row>
    <row r="325" spans="1:36" x14ac:dyDescent="0.2">
      <c r="A325" s="64" t="s">
        <v>150</v>
      </c>
      <c r="B325" s="40"/>
      <c r="C325" s="15" t="s">
        <v>3</v>
      </c>
      <c r="D325" s="43" t="str">
        <f t="shared" ref="D325:I325" si="267">IF(D322="","",IF(D323&gt;D322,(D323-D322-D324)*24,(1-D322-D324+D323)*24))</f>
        <v/>
      </c>
      <c r="E325" s="43" t="str">
        <f t="shared" si="267"/>
        <v/>
      </c>
      <c r="F325" s="43" t="str">
        <f t="shared" si="267"/>
        <v/>
      </c>
      <c r="G325" s="43" t="str">
        <f t="shared" si="267"/>
        <v/>
      </c>
      <c r="H325" s="43" t="str">
        <f t="shared" si="267"/>
        <v/>
      </c>
      <c r="I325" s="43">
        <f t="shared" si="267"/>
        <v>4.5</v>
      </c>
      <c r="J325" s="44"/>
      <c r="K325" s="18">
        <f>SUMIF(D326:J326,"",D325:J325)</f>
        <v>4.5</v>
      </c>
      <c r="L325" s="12">
        <f>SUM(D325:J325)</f>
        <v>4.5</v>
      </c>
      <c r="M325" s="24"/>
      <c r="N325" s="10" t="str">
        <f t="shared" ref="N325" si="268">IF(D326="",D325,0)</f>
        <v/>
      </c>
      <c r="O325" s="10" t="str">
        <f t="shared" ref="O325" si="269">IF(E326="",E325,0)</f>
        <v/>
      </c>
      <c r="P325" s="10" t="str">
        <f t="shared" ref="P325" si="270">IF(F326="",F325,0)</f>
        <v/>
      </c>
      <c r="Q325" s="10" t="str">
        <f t="shared" ref="Q325" si="271">IF(G326="",G325,0)</f>
        <v/>
      </c>
      <c r="R325" s="10" t="str">
        <f t="shared" ref="R325" si="272">IF(H326="",H325,0)</f>
        <v/>
      </c>
      <c r="S325" s="10">
        <f t="shared" ref="S325" si="273">IF(I326="",I325,0)</f>
        <v>4.5</v>
      </c>
      <c r="T325" s="10">
        <f t="shared" ref="T325" si="274">IF(J326="",J325,0)</f>
        <v>0</v>
      </c>
      <c r="U325" s="10"/>
      <c r="V325" s="10" t="str">
        <f t="shared" ref="V325" si="275">D325</f>
        <v/>
      </c>
      <c r="W325" s="10" t="str">
        <f t="shared" ref="W325" si="276">E325</f>
        <v/>
      </c>
      <c r="X325" s="10" t="str">
        <f t="shared" ref="X325" si="277">F325</f>
        <v/>
      </c>
      <c r="Y325" s="10" t="str">
        <f t="shared" ref="Y325" si="278">G325</f>
        <v/>
      </c>
      <c r="Z325" s="10" t="str">
        <f t="shared" ref="Z325" si="279">H325</f>
        <v/>
      </c>
      <c r="AA325" s="10">
        <f t="shared" ref="AA325" si="280">I325</f>
        <v>4.5</v>
      </c>
      <c r="AB325" s="10">
        <f t="shared" ref="AB325" si="281">J325</f>
        <v>0</v>
      </c>
      <c r="AD325" s="6">
        <f>IF((D322&lt;&gt;"")*(D326=""),IF((D322&lt;=$B$466)*((D323&gt;=$C$466)+(D323&lt;2/24)),1,0),0)</f>
        <v>0</v>
      </c>
      <c r="AE325" s="6">
        <f>IF((E322&lt;&gt;"")*(E326=""),IF((E322&lt;=$B$466)*((E323&gt;=$C$466)+(E323&lt;2/24)),1,0),0)</f>
        <v>0</v>
      </c>
      <c r="AF325" s="6">
        <f>IF((F322&lt;&gt;"")*(F326=""),IF((F322&lt;=$B$466)*((F323&gt;=$C$466)+(F323&lt;2/24)),1,0),0)</f>
        <v>0</v>
      </c>
      <c r="AG325" s="6">
        <f>IF((G322&lt;&gt;"")*(G326=""),IF((G322&lt;=$B$466)*((G323&gt;=$C$466)+(G323&lt;2/24)),1,0),0)</f>
        <v>0</v>
      </c>
      <c r="AH325" s="6">
        <f>IF((H322&lt;&gt;"")*(H326=""),IF((H322&lt;=$B$466)*((H323&gt;=$C$466)+(H323&lt;2/24)),1,0),0)</f>
        <v>0</v>
      </c>
      <c r="AI325" s="6">
        <f>IF((I322&lt;&gt;"")*(I326=""),IF((I322&lt;=$B$466)*((I323&gt;=$C$466)+(I323&lt;2/24)),1,0),0)</f>
        <v>0</v>
      </c>
      <c r="AJ325" s="6">
        <f>IF((J322&lt;&gt;"")*(J326=""),IF((J322&lt;=$B$466)*((J323&gt;=$C$466)+(J323&lt;2/24)),1,0),0)</f>
        <v>0</v>
      </c>
    </row>
    <row r="326" spans="1:36" x14ac:dyDescent="0.2">
      <c r="A326" s="39"/>
      <c r="B326" s="40"/>
      <c r="C326" s="32" t="s">
        <v>4</v>
      </c>
      <c r="D326" s="33"/>
      <c r="E326" s="33"/>
      <c r="F326" s="33"/>
      <c r="G326" s="33"/>
      <c r="H326" s="33"/>
      <c r="I326" s="33"/>
      <c r="J326" s="33"/>
      <c r="K326" s="17"/>
      <c r="L326" s="6"/>
      <c r="M326" s="25"/>
      <c r="N326" s="6"/>
      <c r="O326" s="6"/>
      <c r="P326" s="6"/>
      <c r="Q326" s="6"/>
      <c r="R326" s="6"/>
      <c r="S326" s="6"/>
      <c r="T326" s="6"/>
      <c r="U326" s="6"/>
      <c r="V326" s="20"/>
      <c r="W326" s="20"/>
      <c r="X326" s="20"/>
      <c r="Y326" s="20"/>
      <c r="Z326" s="20"/>
      <c r="AA326" s="20"/>
      <c r="AB326" s="20"/>
      <c r="AD326" s="6">
        <f>IF((D322&lt;&gt;"")*(D326=""),IF((D322&lt;=$B$467)*((D323&gt;=$C$467)+(D323&lt;2/24)),1,0),0)</f>
        <v>0</v>
      </c>
      <c r="AE326" s="6">
        <f>IF((E322&lt;&gt;"")*(E326=""),IF((E322&lt;=$B$467)*((E323&gt;=$C$467)+(E323&lt;2/24)),1,0),0)</f>
        <v>0</v>
      </c>
      <c r="AF326" s="6">
        <f>IF((F322&lt;&gt;"")*(F326=""),IF((F322&lt;=$B$467)*((F323&gt;=$C$467)+(F323&lt;2/24)),1,0),0)</f>
        <v>0</v>
      </c>
      <c r="AG326" s="6">
        <f>IF((G322&lt;&gt;"")*(G326=""),IF((G322&lt;=$B$467)*((G323&gt;=$C$467)+(G323&lt;2/24)),1,0),0)</f>
        <v>0</v>
      </c>
      <c r="AH326" s="6">
        <f>IF((H322&lt;&gt;"")*(H326=""),IF((H322&lt;=$B$467)*((H323&gt;=$C$467)+(H323&lt;2/24)),1,0),0)</f>
        <v>0</v>
      </c>
      <c r="AI326" s="6">
        <f>IF((I322&lt;&gt;"")*(I326=""),IF((I322&lt;=$B$467)*((I323&gt;=$C$467)+(I323&lt;2/24)),1,0),0)</f>
        <v>0</v>
      </c>
      <c r="AJ326" s="6">
        <f>IF((J322&lt;&gt;"")*(J326=""),IF((J322&lt;=$B$467)*((J323&gt;=$C$467)+(J323&lt;2/24)),1,0),0)</f>
        <v>0</v>
      </c>
    </row>
    <row r="327" spans="1:36" ht="13.5" thickBot="1" x14ac:dyDescent="0.25">
      <c r="A327" s="41"/>
      <c r="B327" s="42"/>
      <c r="C327" s="35" t="s">
        <v>28</v>
      </c>
      <c r="D327" s="36"/>
      <c r="E327" s="36"/>
      <c r="F327" s="36"/>
      <c r="G327" s="36"/>
      <c r="H327" s="36"/>
      <c r="I327" s="36"/>
      <c r="J327" s="36"/>
      <c r="K327" s="34"/>
      <c r="L327" s="6"/>
      <c r="M327" s="25"/>
      <c r="N327" s="6"/>
      <c r="O327" s="6"/>
      <c r="P327" s="6"/>
      <c r="Q327" s="6"/>
      <c r="R327" s="6"/>
      <c r="S327" s="6"/>
      <c r="T327" s="6"/>
      <c r="U327" s="6"/>
      <c r="V327" s="20"/>
      <c r="W327" s="20"/>
      <c r="X327" s="20"/>
      <c r="Y327" s="20"/>
      <c r="Z327" s="20"/>
      <c r="AA327" s="20"/>
      <c r="AB327" s="20"/>
      <c r="AD327" s="6"/>
      <c r="AE327" s="6"/>
      <c r="AF327" s="6"/>
      <c r="AG327" s="6"/>
      <c r="AH327" s="6"/>
      <c r="AI327" s="6"/>
      <c r="AJ327" s="6"/>
    </row>
    <row r="328" spans="1:36" x14ac:dyDescent="0.2">
      <c r="A328" s="37" t="s">
        <v>139</v>
      </c>
      <c r="B328" s="38" t="s">
        <v>140</v>
      </c>
      <c r="C328" s="14" t="s">
        <v>0</v>
      </c>
      <c r="D328" s="26"/>
      <c r="E328" s="26"/>
      <c r="F328" s="26"/>
      <c r="G328" s="26"/>
      <c r="H328" s="26"/>
      <c r="I328" s="26"/>
      <c r="J328" s="26"/>
      <c r="K328" s="16"/>
      <c r="L328" s="6"/>
      <c r="M328" s="21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D328" s="6">
        <f>IF((D328&lt;&gt;"")*(D332=""),IF((D328&lt;=$B$463)*((D329&gt;=$C$463)+(D329&lt;2/24)),1,0),0)</f>
        <v>0</v>
      </c>
      <c r="AE328" s="6">
        <f>IF((E328&lt;&gt;"")*(E332=""),IF((E328&lt;=$B$463)*((E329&gt;=$C$463)+(E329&lt;2/24)),1,0),0)</f>
        <v>0</v>
      </c>
      <c r="AF328" s="6">
        <f>IF((F328&lt;&gt;"")*(F332=""),IF((F328&lt;=$B$463)*((F329&gt;=$C$463)+(F329&lt;2/24)),1,0),0)</f>
        <v>0</v>
      </c>
      <c r="AG328" s="6">
        <f>IF((G328&lt;&gt;"")*(G332=""),IF((G328&lt;=$B$463)*((G329&gt;=$C$463)+(G329&lt;2/24)),1,0),0)</f>
        <v>0</v>
      </c>
      <c r="AH328" s="6">
        <f>IF((H328&lt;&gt;"")*(H332=""),IF((H328&lt;=$B$463)*((H329&gt;=$C$463)+(H329&lt;2/24)),1,0),0)</f>
        <v>0</v>
      </c>
      <c r="AI328" s="6">
        <f>IF((I328&lt;&gt;"")*(I332=""),IF((I328&lt;=$B$463)*((I329&gt;=$C$463)+(I329&lt;2/24)),1,0),0)</f>
        <v>0</v>
      </c>
      <c r="AJ328" s="6">
        <f>IF((J328&lt;&gt;"")*(J332=""),IF((J328&lt;=$B$463)*((J329&gt;=$C$463)+(J329&lt;2/24)),1,0),0)</f>
        <v>0</v>
      </c>
    </row>
    <row r="329" spans="1:36" x14ac:dyDescent="0.2">
      <c r="A329" s="39"/>
      <c r="B329" s="40"/>
      <c r="C329" s="15" t="s">
        <v>1</v>
      </c>
      <c r="D329" s="27"/>
      <c r="E329" s="27"/>
      <c r="F329" s="27"/>
      <c r="G329" s="27"/>
      <c r="H329" s="27"/>
      <c r="I329" s="27"/>
      <c r="J329" s="27"/>
      <c r="K329" s="17"/>
      <c r="L329" s="6"/>
      <c r="M329" s="21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D329" s="6">
        <f>IF((D328&lt;&gt;"")*(D332=""),IF((D328&lt;=$B$464)*((D329&gt;=$C$464)+(D329&lt;2/24)),1,0),0)</f>
        <v>0</v>
      </c>
      <c r="AE329" s="6">
        <f>IF((E328&lt;&gt;"")*(E332=""),IF((E328&lt;=$B$464)*((E329&gt;=$C$464)+(E329&lt;2/24)),1,0),0)</f>
        <v>0</v>
      </c>
      <c r="AF329" s="6">
        <f>IF((F328&lt;&gt;"")*(F332=""),IF((F328&lt;=$B$464)*((F329&gt;=$C$464)+(F329&lt;2/24)),1,0),0)</f>
        <v>0</v>
      </c>
      <c r="AG329" s="6">
        <f>IF((G328&lt;&gt;"")*(G332=""),IF((G328&lt;=$B$464)*((G329&gt;=$C$464)+(G329&lt;2/24)),1,0),0)</f>
        <v>0</v>
      </c>
      <c r="AH329" s="6">
        <f>IF((H328&lt;&gt;"")*(H332=""),IF((H328&lt;=$B$464)*((H329&gt;=$C$464)+(H329&lt;2/24)),1,0),0)</f>
        <v>0</v>
      </c>
      <c r="AI329" s="6">
        <f>IF((I328&lt;&gt;"")*(I332=""),IF((I328&lt;=$B$464)*((I329&gt;=$C$464)+(I329&lt;2/24)),1,0),0)</f>
        <v>0</v>
      </c>
      <c r="AJ329" s="6">
        <f>IF((J328&lt;&gt;"")*(J332=""),IF((J328&lt;=$B$464)*((J329&gt;=$C$464)+(J329&lt;2/24)),1,0),0)</f>
        <v>0</v>
      </c>
    </row>
    <row r="330" spans="1:36" x14ac:dyDescent="0.2">
      <c r="A330" s="64" t="s">
        <v>170</v>
      </c>
      <c r="B330" s="40"/>
      <c r="C330" s="15" t="s">
        <v>2</v>
      </c>
      <c r="D330" s="4"/>
      <c r="E330" s="4"/>
      <c r="F330" s="4"/>
      <c r="G330" s="4"/>
      <c r="H330" s="4"/>
      <c r="I330" s="4"/>
      <c r="J330" s="4"/>
      <c r="K330" s="17"/>
      <c r="L330" s="6"/>
      <c r="M330" s="21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D330" s="6">
        <f>IF((D328&lt;&gt;"")*(D332=""),IF((D328&lt;=$B$465)*((D329&gt;=$C$465)+(D329&lt;2/24)),1,0),0)</f>
        <v>0</v>
      </c>
      <c r="AE330" s="6">
        <f>IF((E328&lt;&gt;"")*(E332=""),IF((E328&lt;=$B$465)*((E329&gt;=$C$465)+(E329&lt;2/24)),1,0),0)</f>
        <v>0</v>
      </c>
      <c r="AF330" s="6">
        <f>IF((F328&lt;&gt;"")*(F332=""),IF((F328&lt;=$B$465)*((F329&gt;=$C$465)+(F329&lt;2/24)),1,0),0)</f>
        <v>0</v>
      </c>
      <c r="AG330" s="6">
        <f>IF((G328&lt;&gt;"")*(G332=""),IF((G328&lt;=$B$465)*((G329&gt;=$C$465)+(G329&lt;2/24)),1,0),0)</f>
        <v>0</v>
      </c>
      <c r="AH330" s="6">
        <f>IF((H328&lt;&gt;"")*(H332=""),IF((H328&lt;=$B$465)*((H329&gt;=$C$465)+(H329&lt;2/24)),1,0),0)</f>
        <v>0</v>
      </c>
      <c r="AI330" s="6">
        <f>IF((I328&lt;&gt;"")*(I332=""),IF((I328&lt;=$B$465)*((I329&gt;=$C$465)+(I329&lt;2/24)),1,0),0)</f>
        <v>0</v>
      </c>
      <c r="AJ330" s="6">
        <f>IF((J328&lt;&gt;"")*(J332=""),IF((J328&lt;=$B$465)*((J329&gt;=$C$465)+(J329&lt;2/24)),1,0),0)</f>
        <v>0</v>
      </c>
    </row>
    <row r="331" spans="1:36" x14ac:dyDescent="0.2">
      <c r="A331" s="64" t="s">
        <v>150</v>
      </c>
      <c r="B331" s="40"/>
      <c r="C331" s="15" t="s">
        <v>3</v>
      </c>
      <c r="D331" s="43" t="str">
        <f t="shared" ref="D331:I331" si="282">IF(D328="","",IF(D329&gt;D328,(D329-D328-D330)*24,(1-D328-D330+D329)*24))</f>
        <v/>
      </c>
      <c r="E331" s="43" t="str">
        <f t="shared" si="282"/>
        <v/>
      </c>
      <c r="F331" s="43" t="str">
        <f t="shared" si="282"/>
        <v/>
      </c>
      <c r="G331" s="43" t="str">
        <f t="shared" si="282"/>
        <v/>
      </c>
      <c r="H331" s="43" t="str">
        <f t="shared" si="282"/>
        <v/>
      </c>
      <c r="I331" s="43" t="str">
        <f t="shared" si="282"/>
        <v/>
      </c>
      <c r="J331" s="44"/>
      <c r="K331" s="18">
        <f>SUMIF(D332:J332,"",D331:J331)</f>
        <v>0</v>
      </c>
      <c r="L331" s="12">
        <f>SUM(D331:J331)</f>
        <v>0</v>
      </c>
      <c r="M331" s="24"/>
      <c r="N331" s="10" t="str">
        <f t="shared" ref="N331" si="283">IF(D332="",D331,0)</f>
        <v/>
      </c>
      <c r="O331" s="10" t="str">
        <f t="shared" ref="O331" si="284">IF(E332="",E331,0)</f>
        <v/>
      </c>
      <c r="P331" s="10" t="str">
        <f t="shared" ref="P331" si="285">IF(F332="",F331,0)</f>
        <v/>
      </c>
      <c r="Q331" s="10" t="str">
        <f t="shared" ref="Q331" si="286">IF(G332="",G331,0)</f>
        <v/>
      </c>
      <c r="R331" s="10" t="str">
        <f t="shared" ref="R331" si="287">IF(H332="",H331,0)</f>
        <v/>
      </c>
      <c r="S331" s="10" t="str">
        <f t="shared" ref="S331" si="288">IF(I332="",I331,0)</f>
        <v/>
      </c>
      <c r="T331" s="10">
        <f t="shared" ref="T331" si="289">IF(J332="",J331,0)</f>
        <v>0</v>
      </c>
      <c r="U331" s="10"/>
      <c r="V331" s="10" t="str">
        <f t="shared" ref="V331" si="290">D331</f>
        <v/>
      </c>
      <c r="W331" s="10" t="str">
        <f t="shared" ref="W331" si="291">E331</f>
        <v/>
      </c>
      <c r="X331" s="10" t="str">
        <f t="shared" ref="X331" si="292">F331</f>
        <v/>
      </c>
      <c r="Y331" s="10" t="str">
        <f t="shared" ref="Y331" si="293">G331</f>
        <v/>
      </c>
      <c r="Z331" s="10" t="str">
        <f t="shared" ref="Z331" si="294">H331</f>
        <v/>
      </c>
      <c r="AA331" s="10" t="str">
        <f t="shared" ref="AA331" si="295">I331</f>
        <v/>
      </c>
      <c r="AB331" s="10">
        <f t="shared" ref="AB331" si="296">J331</f>
        <v>0</v>
      </c>
      <c r="AD331" s="6">
        <f>IF((D328&lt;&gt;"")*(D332=""),IF((D328&lt;=$B$466)*((D329&gt;=$C$466)+(D329&lt;2/24)),1,0),0)</f>
        <v>0</v>
      </c>
      <c r="AE331" s="6">
        <f>IF((E328&lt;&gt;"")*(E332=""),IF((E328&lt;=$B$466)*((E329&gt;=$C$466)+(E329&lt;2/24)),1,0),0)</f>
        <v>0</v>
      </c>
      <c r="AF331" s="6">
        <f>IF((F328&lt;&gt;"")*(F332=""),IF((F328&lt;=$B$466)*((F329&gt;=$C$466)+(F329&lt;2/24)),1,0),0)</f>
        <v>0</v>
      </c>
      <c r="AG331" s="6">
        <f>IF((G328&lt;&gt;"")*(G332=""),IF((G328&lt;=$B$466)*((G329&gt;=$C$466)+(G329&lt;2/24)),1,0),0)</f>
        <v>0</v>
      </c>
      <c r="AH331" s="6">
        <f>IF((H328&lt;&gt;"")*(H332=""),IF((H328&lt;=$B$466)*((H329&gt;=$C$466)+(H329&lt;2/24)),1,0),0)</f>
        <v>0</v>
      </c>
      <c r="AI331" s="6">
        <f>IF((I328&lt;&gt;"")*(I332=""),IF((I328&lt;=$B$466)*((I329&gt;=$C$466)+(I329&lt;2/24)),1,0),0)</f>
        <v>0</v>
      </c>
      <c r="AJ331" s="6">
        <f>IF((J328&lt;&gt;"")*(J332=""),IF((J328&lt;=$B$466)*((J329&gt;=$C$466)+(J329&lt;2/24)),1,0),0)</f>
        <v>0</v>
      </c>
    </row>
    <row r="332" spans="1:36" x14ac:dyDescent="0.2">
      <c r="A332" s="39"/>
      <c r="B332" s="40"/>
      <c r="C332" s="32" t="s">
        <v>4</v>
      </c>
      <c r="D332" s="33"/>
      <c r="E332" s="33"/>
      <c r="F332" s="33"/>
      <c r="G332" s="33"/>
      <c r="H332" s="33"/>
      <c r="I332" s="33"/>
      <c r="J332" s="33"/>
      <c r="K332" s="17"/>
      <c r="L332" s="6"/>
      <c r="M332" s="25"/>
      <c r="N332" s="6"/>
      <c r="O332" s="6"/>
      <c r="P332" s="6"/>
      <c r="Q332" s="6"/>
      <c r="R332" s="6"/>
      <c r="S332" s="6"/>
      <c r="T332" s="6"/>
      <c r="U332" s="6"/>
      <c r="V332" s="20"/>
      <c r="W332" s="20"/>
      <c r="X332" s="20"/>
      <c r="Y332" s="20"/>
      <c r="Z332" s="20"/>
      <c r="AA332" s="20"/>
      <c r="AB332" s="20"/>
      <c r="AD332" s="6">
        <f>IF((D328&lt;&gt;"")*(D332=""),IF((D328&lt;=$B$467)*((D329&gt;=$C$467)+(D329&lt;2/24)),1,0),0)</f>
        <v>0</v>
      </c>
      <c r="AE332" s="6">
        <f>IF((E328&lt;&gt;"")*(E332=""),IF((E328&lt;=$B$467)*((E329&gt;=$C$467)+(E329&lt;2/24)),1,0),0)</f>
        <v>0</v>
      </c>
      <c r="AF332" s="6">
        <f>IF((F328&lt;&gt;"")*(F332=""),IF((F328&lt;=$B$467)*((F329&gt;=$C$467)+(F329&lt;2/24)),1,0),0)</f>
        <v>0</v>
      </c>
      <c r="AG332" s="6">
        <f>IF((G328&lt;&gt;"")*(G332=""),IF((G328&lt;=$B$467)*((G329&gt;=$C$467)+(G329&lt;2/24)),1,0),0)</f>
        <v>0</v>
      </c>
      <c r="AH332" s="6">
        <f>IF((H328&lt;&gt;"")*(H332=""),IF((H328&lt;=$B$467)*((H329&gt;=$C$467)+(H329&lt;2/24)),1,0),0)</f>
        <v>0</v>
      </c>
      <c r="AI332" s="6">
        <f>IF((I328&lt;&gt;"")*(I332=""),IF((I328&lt;=$B$467)*((I329&gt;=$C$467)+(I329&lt;2/24)),1,0),0)</f>
        <v>0</v>
      </c>
      <c r="AJ332" s="6">
        <f>IF((J328&lt;&gt;"")*(J332=""),IF((J328&lt;=$B$467)*((J329&gt;=$C$467)+(J329&lt;2/24)),1,0),0)</f>
        <v>0</v>
      </c>
    </row>
    <row r="333" spans="1:36" ht="13.5" thickBot="1" x14ac:dyDescent="0.25">
      <c r="A333" s="41"/>
      <c r="B333" s="42"/>
      <c r="C333" s="35" t="s">
        <v>28</v>
      </c>
      <c r="D333" s="36"/>
      <c r="E333" s="36"/>
      <c r="F333" s="36"/>
      <c r="G333" s="36"/>
      <c r="H333" s="36"/>
      <c r="I333" s="36"/>
      <c r="J333" s="36"/>
      <c r="K333" s="34"/>
      <c r="L333" s="6"/>
      <c r="M333" s="25"/>
      <c r="N333" s="6"/>
      <c r="O333" s="6"/>
      <c r="P333" s="6"/>
      <c r="Q333" s="6"/>
      <c r="R333" s="6"/>
      <c r="S333" s="6"/>
      <c r="T333" s="6"/>
      <c r="U333" s="6"/>
      <c r="V333" s="20"/>
      <c r="W333" s="20"/>
      <c r="X333" s="20"/>
      <c r="Y333" s="20"/>
      <c r="Z333" s="20"/>
      <c r="AA333" s="20"/>
      <c r="AB333" s="20"/>
      <c r="AD333" s="6"/>
      <c r="AE333" s="6"/>
      <c r="AF333" s="6"/>
      <c r="AG333" s="6"/>
      <c r="AH333" s="6"/>
      <c r="AI333" s="6"/>
      <c r="AJ333" s="6"/>
    </row>
    <row r="334" spans="1:36" x14ac:dyDescent="0.2">
      <c r="A334" s="37" t="s">
        <v>100</v>
      </c>
      <c r="B334" s="38" t="s">
        <v>101</v>
      </c>
      <c r="C334" s="14" t="s">
        <v>0</v>
      </c>
      <c r="D334" s="26"/>
      <c r="E334" s="26"/>
      <c r="F334" s="26"/>
      <c r="G334" s="26"/>
      <c r="H334" s="26"/>
      <c r="I334" s="26"/>
      <c r="J334" s="26"/>
      <c r="K334" s="16"/>
      <c r="L334" s="6"/>
      <c r="M334" s="21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D334" s="6">
        <f>IF((D334&lt;&gt;"")*(D338=""),IF((D334&lt;=$B$463)*((D335&gt;=$C$463)+(D335&lt;2/24)),1,0),0)</f>
        <v>0</v>
      </c>
      <c r="AE334" s="6">
        <f>IF((E334&lt;&gt;"")*(E338=""),IF((E334&lt;=$B$463)*((E335&gt;=$C$463)+(E335&lt;2/24)),1,0),0)</f>
        <v>0</v>
      </c>
      <c r="AF334" s="6">
        <f>IF((F334&lt;&gt;"")*(F338=""),IF((F334&lt;=$B$463)*((F335&gt;=$C$463)+(F335&lt;2/24)),1,0),0)</f>
        <v>0</v>
      </c>
      <c r="AG334" s="6">
        <f>IF((G334&lt;&gt;"")*(G338=""),IF((G334&lt;=$B$463)*((G335&gt;=$C$463)+(G335&lt;2/24)),1,0),0)</f>
        <v>0</v>
      </c>
      <c r="AH334" s="6">
        <f>IF((H334&lt;&gt;"")*(H338=""),IF((H334&lt;=$B$463)*((H335&gt;=$C$463)+(H335&lt;2/24)),1,0),0)</f>
        <v>0</v>
      </c>
      <c r="AI334" s="6">
        <f>IF((I334&lt;&gt;"")*(I338=""),IF((I334&lt;=$B$463)*((I335&gt;=$C$463)+(I335&lt;2/24)),1,0),0)</f>
        <v>0</v>
      </c>
      <c r="AJ334" s="6">
        <f>IF((J334&lt;&gt;"")*(J338=""),IF((J334&lt;=$B$463)*((J335&gt;=$C$463)+(J335&lt;2/24)),1,0),0)</f>
        <v>0</v>
      </c>
    </row>
    <row r="335" spans="1:36" x14ac:dyDescent="0.2">
      <c r="A335" s="39"/>
      <c r="B335" s="40"/>
      <c r="C335" s="15" t="s">
        <v>1</v>
      </c>
      <c r="D335" s="27"/>
      <c r="E335" s="27"/>
      <c r="F335" s="27"/>
      <c r="G335" s="27"/>
      <c r="H335" s="27"/>
      <c r="I335" s="27"/>
      <c r="J335" s="27"/>
      <c r="K335" s="17"/>
      <c r="L335" s="6"/>
      <c r="M335" s="21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D335" s="6">
        <f>IF((D334&lt;&gt;"")*(D338=""),IF((D334&lt;=$B$464)*((D335&gt;=$C$464)+(D335&lt;2/24)),1,0),0)</f>
        <v>0</v>
      </c>
      <c r="AE335" s="6">
        <f>IF((E334&lt;&gt;"")*(E338=""),IF((E334&lt;=$B$464)*((E335&gt;=$C$464)+(E335&lt;2/24)),1,0),0)</f>
        <v>0</v>
      </c>
      <c r="AF335" s="6">
        <f>IF((F334&lt;&gt;"")*(F338=""),IF((F334&lt;=$B$464)*((F335&gt;=$C$464)+(F335&lt;2/24)),1,0),0)</f>
        <v>0</v>
      </c>
      <c r="AG335" s="6">
        <f>IF((G334&lt;&gt;"")*(G338=""),IF((G334&lt;=$B$464)*((G335&gt;=$C$464)+(G335&lt;2/24)),1,0),0)</f>
        <v>0</v>
      </c>
      <c r="AH335" s="6">
        <f>IF((H334&lt;&gt;"")*(H338=""),IF((H334&lt;=$B$464)*((H335&gt;=$C$464)+(H335&lt;2/24)),1,0),0)</f>
        <v>0</v>
      </c>
      <c r="AI335" s="6">
        <f>IF((I334&lt;&gt;"")*(I338=""),IF((I334&lt;=$B$464)*((I335&gt;=$C$464)+(I335&lt;2/24)),1,0),0)</f>
        <v>0</v>
      </c>
      <c r="AJ335" s="6">
        <f>IF((J334&lt;&gt;"")*(J338=""),IF((J334&lt;=$B$464)*((J335&gt;=$C$464)+(J335&lt;2/24)),1,0),0)</f>
        <v>0</v>
      </c>
    </row>
    <row r="336" spans="1:36" x14ac:dyDescent="0.2">
      <c r="A336" s="64" t="s">
        <v>166</v>
      </c>
      <c r="B336" s="40"/>
      <c r="C336" s="15" t="s">
        <v>2</v>
      </c>
      <c r="D336" s="4"/>
      <c r="E336" s="4"/>
      <c r="F336" s="4"/>
      <c r="G336" s="4"/>
      <c r="H336" s="4"/>
      <c r="I336" s="4"/>
      <c r="J336" s="4"/>
      <c r="K336" s="17"/>
      <c r="L336" s="6"/>
      <c r="M336" s="21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D336" s="6">
        <f>IF((D334&lt;&gt;"")*(D338=""),IF((D334&lt;=$B$465)*((D335&gt;=$C$465)+(D335&lt;2/24)),1,0),0)</f>
        <v>0</v>
      </c>
      <c r="AE336" s="6">
        <f>IF((E334&lt;&gt;"")*(E338=""),IF((E334&lt;=$B$465)*((E335&gt;=$C$465)+(E335&lt;2/24)),1,0),0)</f>
        <v>0</v>
      </c>
      <c r="AF336" s="6">
        <f>IF((F334&lt;&gt;"")*(F338=""),IF((F334&lt;=$B$465)*((F335&gt;=$C$465)+(F335&lt;2/24)),1,0),0)</f>
        <v>0</v>
      </c>
      <c r="AG336" s="6">
        <f>IF((G334&lt;&gt;"")*(G338=""),IF((G334&lt;=$B$465)*((G335&gt;=$C$465)+(G335&lt;2/24)),1,0),0)</f>
        <v>0</v>
      </c>
      <c r="AH336" s="6">
        <f>IF((H334&lt;&gt;"")*(H338=""),IF((H334&lt;=$B$465)*((H335&gt;=$C$465)+(H335&lt;2/24)),1,0),0)</f>
        <v>0</v>
      </c>
      <c r="AI336" s="6">
        <f>IF((I334&lt;&gt;"")*(I338=""),IF((I334&lt;=$B$465)*((I335&gt;=$C$465)+(I335&lt;2/24)),1,0),0)</f>
        <v>0</v>
      </c>
      <c r="AJ336" s="6">
        <f>IF((J334&lt;&gt;"")*(J338=""),IF((J334&lt;=$B$465)*((J335&gt;=$C$465)+(J335&lt;2/24)),1,0),0)</f>
        <v>0</v>
      </c>
    </row>
    <row r="337" spans="1:36" x14ac:dyDescent="0.2">
      <c r="A337" s="64" t="s">
        <v>150</v>
      </c>
      <c r="B337" s="40"/>
      <c r="C337" s="15" t="s">
        <v>3</v>
      </c>
      <c r="D337" s="43" t="str">
        <f t="shared" ref="D337:I337" si="297">IF(D334="","",IF(D335&gt;D334,(D335-D334-D336)*24,(1-D334-D336+D335)*24))</f>
        <v/>
      </c>
      <c r="E337" s="43" t="str">
        <f t="shared" si="297"/>
        <v/>
      </c>
      <c r="F337" s="43" t="str">
        <f t="shared" si="297"/>
        <v/>
      </c>
      <c r="G337" s="43" t="str">
        <f t="shared" si="297"/>
        <v/>
      </c>
      <c r="H337" s="43" t="str">
        <f t="shared" si="297"/>
        <v/>
      </c>
      <c r="I337" s="43" t="str">
        <f t="shared" si="297"/>
        <v/>
      </c>
      <c r="J337" s="44"/>
      <c r="K337" s="18">
        <f>SUMIF(D338:J338,"",D337:J337)</f>
        <v>0</v>
      </c>
      <c r="L337" s="12">
        <f>SUM(D337:J337)</f>
        <v>0</v>
      </c>
      <c r="M337" s="24"/>
      <c r="N337" s="10" t="str">
        <f t="shared" ref="N337" si="298">IF(D338="",D337,0)</f>
        <v/>
      </c>
      <c r="O337" s="10" t="str">
        <f t="shared" ref="O337" si="299">IF(E338="",E337,0)</f>
        <v/>
      </c>
      <c r="P337" s="10" t="str">
        <f t="shared" ref="P337" si="300">IF(F338="",F337,0)</f>
        <v/>
      </c>
      <c r="Q337" s="10" t="str">
        <f t="shared" ref="Q337" si="301">IF(G338="",G337,0)</f>
        <v/>
      </c>
      <c r="R337" s="10" t="str">
        <f t="shared" ref="R337" si="302">IF(H338="",H337,0)</f>
        <v/>
      </c>
      <c r="S337" s="10" t="str">
        <f t="shared" ref="S337" si="303">IF(I338="",I337,0)</f>
        <v/>
      </c>
      <c r="T337" s="10">
        <f t="shared" ref="T337" si="304">IF(J338="",J337,0)</f>
        <v>0</v>
      </c>
      <c r="U337" s="10"/>
      <c r="V337" s="10" t="str">
        <f t="shared" ref="V337" si="305">D337</f>
        <v/>
      </c>
      <c r="W337" s="10" t="str">
        <f t="shared" ref="W337" si="306">E337</f>
        <v/>
      </c>
      <c r="X337" s="10" t="str">
        <f t="shared" ref="X337" si="307">F337</f>
        <v/>
      </c>
      <c r="Y337" s="10" t="str">
        <f t="shared" ref="Y337" si="308">G337</f>
        <v/>
      </c>
      <c r="Z337" s="10" t="str">
        <f t="shared" ref="Z337" si="309">H337</f>
        <v/>
      </c>
      <c r="AA337" s="10" t="str">
        <f t="shared" ref="AA337" si="310">I337</f>
        <v/>
      </c>
      <c r="AB337" s="10">
        <f t="shared" ref="AB337" si="311">J337</f>
        <v>0</v>
      </c>
      <c r="AD337" s="6">
        <f>IF((D334&lt;&gt;"")*(D338=""),IF((D334&lt;=$B$466)*((D335&gt;=$C$466)+(D335&lt;2/24)),1,0),0)</f>
        <v>0</v>
      </c>
      <c r="AE337" s="6">
        <f>IF((E334&lt;&gt;"")*(E338=""),IF((E334&lt;=$B$466)*((E335&gt;=$C$466)+(E335&lt;2/24)),1,0),0)</f>
        <v>0</v>
      </c>
      <c r="AF337" s="6">
        <f>IF((F334&lt;&gt;"")*(F338=""),IF((F334&lt;=$B$466)*((F335&gt;=$C$466)+(F335&lt;2/24)),1,0),0)</f>
        <v>0</v>
      </c>
      <c r="AG337" s="6">
        <f>IF((G334&lt;&gt;"")*(G338=""),IF((G334&lt;=$B$466)*((G335&gt;=$C$466)+(G335&lt;2/24)),1,0),0)</f>
        <v>0</v>
      </c>
      <c r="AH337" s="6">
        <f>IF((H334&lt;&gt;"")*(H338=""),IF((H334&lt;=$B$466)*((H335&gt;=$C$466)+(H335&lt;2/24)),1,0),0)</f>
        <v>0</v>
      </c>
      <c r="AI337" s="6">
        <f>IF((I334&lt;&gt;"")*(I338=""),IF((I334&lt;=$B$466)*((I335&gt;=$C$466)+(I335&lt;2/24)),1,0),0)</f>
        <v>0</v>
      </c>
      <c r="AJ337" s="6">
        <f>IF((J334&lt;&gt;"")*(J338=""),IF((J334&lt;=$B$466)*((J335&gt;=$C$466)+(J335&lt;2/24)),1,0),0)</f>
        <v>0</v>
      </c>
    </row>
    <row r="338" spans="1:36" x14ac:dyDescent="0.2">
      <c r="A338" s="64"/>
      <c r="B338" s="40"/>
      <c r="C338" s="32" t="s">
        <v>4</v>
      </c>
      <c r="D338" s="33"/>
      <c r="E338" s="33"/>
      <c r="F338" s="33"/>
      <c r="G338" s="33"/>
      <c r="H338" s="33"/>
      <c r="I338" s="33"/>
      <c r="J338" s="33"/>
      <c r="K338" s="17"/>
      <c r="L338" s="6"/>
      <c r="M338" s="25"/>
      <c r="N338" s="6"/>
      <c r="O338" s="6"/>
      <c r="P338" s="6"/>
      <c r="Q338" s="6"/>
      <c r="R338" s="6"/>
      <c r="S338" s="6"/>
      <c r="T338" s="6"/>
      <c r="U338" s="6"/>
      <c r="V338" s="20"/>
      <c r="W338" s="20"/>
      <c r="X338" s="20"/>
      <c r="Y338" s="20"/>
      <c r="Z338" s="20"/>
      <c r="AA338" s="20"/>
      <c r="AB338" s="20"/>
      <c r="AD338" s="6">
        <f>IF((D334&lt;&gt;"")*(D338=""),IF((D334&lt;=$B$467)*((D335&gt;=$C$467)+(D335&lt;2/24)),1,0),0)</f>
        <v>0</v>
      </c>
      <c r="AE338" s="6">
        <f>IF((E334&lt;&gt;"")*(E338=""),IF((E334&lt;=$B$467)*((E335&gt;=$C$467)+(E335&lt;2/24)),1,0),0)</f>
        <v>0</v>
      </c>
      <c r="AF338" s="6">
        <f>IF((F334&lt;&gt;"")*(F338=""),IF((F334&lt;=$B$467)*((F335&gt;=$C$467)+(F335&lt;2/24)),1,0),0)</f>
        <v>0</v>
      </c>
      <c r="AG338" s="6">
        <f>IF((G334&lt;&gt;"")*(G338=""),IF((G334&lt;=$B$467)*((G335&gt;=$C$467)+(G335&lt;2/24)),1,0),0)</f>
        <v>0</v>
      </c>
      <c r="AH338" s="6">
        <f>IF((H334&lt;&gt;"")*(H338=""),IF((H334&lt;=$B$467)*((H335&gt;=$C$467)+(H335&lt;2/24)),1,0),0)</f>
        <v>0</v>
      </c>
      <c r="AI338" s="6">
        <f>IF((I334&lt;&gt;"")*(I338=""),IF((I334&lt;=$B$467)*((I335&gt;=$C$467)+(I335&lt;2/24)),1,0),0)</f>
        <v>0</v>
      </c>
      <c r="AJ338" s="6">
        <f>IF((J334&lt;&gt;"")*(J338=""),IF((J334&lt;=$B$467)*((J335&gt;=$C$467)+(J335&lt;2/24)),1,0),0)</f>
        <v>0</v>
      </c>
    </row>
    <row r="339" spans="1:36" ht="13.5" thickBot="1" x14ac:dyDescent="0.25">
      <c r="A339" s="41"/>
      <c r="B339" s="42"/>
      <c r="C339" s="35" t="s">
        <v>28</v>
      </c>
      <c r="D339" s="36"/>
      <c r="E339" s="36"/>
      <c r="F339" s="36"/>
      <c r="G339" s="36"/>
      <c r="H339" s="36"/>
      <c r="I339" s="36"/>
      <c r="J339" s="36"/>
      <c r="K339" s="34"/>
      <c r="L339" s="6"/>
      <c r="M339" s="25"/>
      <c r="N339" s="6"/>
      <c r="O339" s="6"/>
      <c r="P339" s="6"/>
      <c r="Q339" s="6"/>
      <c r="R339" s="6"/>
      <c r="S339" s="6"/>
      <c r="T339" s="6"/>
      <c r="U339" s="6"/>
      <c r="V339" s="20"/>
      <c r="W339" s="20"/>
      <c r="X339" s="20"/>
      <c r="Y339" s="20"/>
      <c r="Z339" s="20"/>
      <c r="AA339" s="20"/>
      <c r="AB339" s="20"/>
      <c r="AD339" s="6"/>
      <c r="AE339" s="6"/>
      <c r="AF339" s="6"/>
      <c r="AG339" s="6"/>
      <c r="AH339" s="6"/>
      <c r="AI339" s="6"/>
      <c r="AJ339" s="6"/>
    </row>
    <row r="340" spans="1:36" x14ac:dyDescent="0.2">
      <c r="A340" s="37" t="s">
        <v>108</v>
      </c>
      <c r="B340" s="38" t="s">
        <v>109</v>
      </c>
      <c r="C340" s="14" t="s">
        <v>0</v>
      </c>
      <c r="D340" s="26"/>
      <c r="E340" s="26"/>
      <c r="F340" s="26"/>
      <c r="G340" s="26"/>
      <c r="H340" s="26"/>
      <c r="I340" s="26"/>
      <c r="J340" s="26"/>
      <c r="K340" s="16"/>
      <c r="L340" s="6"/>
      <c r="M340" s="21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D340" s="6">
        <f>IF((D340&lt;&gt;"")*(D344=""),IF((D340&lt;=$B$463)*((D341&gt;=$C$463)+(D341&lt;2/24)),1,0),0)</f>
        <v>0</v>
      </c>
      <c r="AE340" s="6">
        <f>IF((E340&lt;&gt;"")*(E344=""),IF((E340&lt;=$B$463)*((E341&gt;=$C$463)+(E341&lt;2/24)),1,0),0)</f>
        <v>0</v>
      </c>
      <c r="AF340" s="6">
        <f>IF((F340&lt;&gt;"")*(F344=""),IF((F340&lt;=$B$463)*((F341&gt;=$C$463)+(F341&lt;2/24)),1,0),0)</f>
        <v>0</v>
      </c>
      <c r="AG340" s="6">
        <f>IF((G340&lt;&gt;"")*(G344=""),IF((G340&lt;=$B$463)*((G341&gt;=$C$463)+(G341&lt;2/24)),1,0),0)</f>
        <v>0</v>
      </c>
      <c r="AH340" s="6">
        <f>IF((H340&lt;&gt;"")*(H344=""),IF((H340&lt;=$B$463)*((H341&gt;=$C$463)+(H341&lt;2/24)),1,0),0)</f>
        <v>0</v>
      </c>
      <c r="AI340" s="6">
        <f>IF((I340&lt;&gt;"")*(I344=""),IF((I340&lt;=$B$463)*((I341&gt;=$C$463)+(I341&lt;2/24)),1,0),0)</f>
        <v>0</v>
      </c>
      <c r="AJ340" s="6">
        <f>IF((J340&lt;&gt;"")*(J344=""),IF((J340&lt;=$B$463)*((J341&gt;=$C$463)+(J341&lt;2/24)),1,0),0)</f>
        <v>0</v>
      </c>
    </row>
    <row r="341" spans="1:36" x14ac:dyDescent="0.2">
      <c r="A341" s="39"/>
      <c r="B341" s="40"/>
      <c r="C341" s="15" t="s">
        <v>1</v>
      </c>
      <c r="D341" s="27"/>
      <c r="E341" s="27"/>
      <c r="F341" s="27"/>
      <c r="G341" s="27"/>
      <c r="H341" s="27"/>
      <c r="I341" s="27"/>
      <c r="J341" s="27"/>
      <c r="K341" s="17"/>
      <c r="L341" s="6"/>
      <c r="M341" s="21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D341" s="6">
        <f>IF((D340&lt;&gt;"")*(D344=""),IF((D340&lt;=$B$464)*((D341&gt;=$C$464)+(D341&lt;2/24)),1,0),0)</f>
        <v>0</v>
      </c>
      <c r="AE341" s="6">
        <f>IF((E340&lt;&gt;"")*(E344=""),IF((E340&lt;=$B$464)*((E341&gt;=$C$464)+(E341&lt;2/24)),1,0),0)</f>
        <v>0</v>
      </c>
      <c r="AF341" s="6">
        <f>IF((F340&lt;&gt;"")*(F344=""),IF((F340&lt;=$B$464)*((F341&gt;=$C$464)+(F341&lt;2/24)),1,0),0)</f>
        <v>0</v>
      </c>
      <c r="AG341" s="6">
        <f>IF((G340&lt;&gt;"")*(G344=""),IF((G340&lt;=$B$464)*((G341&gt;=$C$464)+(G341&lt;2/24)),1,0),0)</f>
        <v>0</v>
      </c>
      <c r="AH341" s="6">
        <f>IF((H340&lt;&gt;"")*(H344=""),IF((H340&lt;=$B$464)*((H341&gt;=$C$464)+(H341&lt;2/24)),1,0),0)</f>
        <v>0</v>
      </c>
      <c r="AI341" s="6">
        <f>IF((I340&lt;&gt;"")*(I344=""),IF((I340&lt;=$B$464)*((I341&gt;=$C$464)+(I341&lt;2/24)),1,0),0)</f>
        <v>0</v>
      </c>
      <c r="AJ341" s="6">
        <f>IF((J340&lt;&gt;"")*(J344=""),IF((J340&lt;=$B$464)*((J341&gt;=$C$464)+(J341&lt;2/24)),1,0),0)</f>
        <v>0</v>
      </c>
    </row>
    <row r="342" spans="1:36" x14ac:dyDescent="0.2">
      <c r="A342" s="64" t="s">
        <v>179</v>
      </c>
      <c r="B342" s="40"/>
      <c r="C342" s="15" t="s">
        <v>2</v>
      </c>
      <c r="D342" s="4"/>
      <c r="E342" s="4"/>
      <c r="F342" s="4"/>
      <c r="G342" s="4"/>
      <c r="H342" s="4"/>
      <c r="I342" s="4"/>
      <c r="J342" s="4"/>
      <c r="K342" s="17"/>
      <c r="L342" s="6"/>
      <c r="M342" s="21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D342" s="6">
        <f>IF((D340&lt;&gt;"")*(D344=""),IF((D340&lt;=$B$465)*((D341&gt;=$C$465)+(D341&lt;2/24)),1,0),0)</f>
        <v>0</v>
      </c>
      <c r="AE342" s="6">
        <f>IF((E340&lt;&gt;"")*(E344=""),IF((E340&lt;=$B$465)*((E341&gt;=$C$465)+(E341&lt;2/24)),1,0),0)</f>
        <v>0</v>
      </c>
      <c r="AF342" s="6">
        <f>IF((F340&lt;&gt;"")*(F344=""),IF((F340&lt;=$B$465)*((F341&gt;=$C$465)+(F341&lt;2/24)),1,0),0)</f>
        <v>0</v>
      </c>
      <c r="AG342" s="6">
        <f>IF((G340&lt;&gt;"")*(G344=""),IF((G340&lt;=$B$465)*((G341&gt;=$C$465)+(G341&lt;2/24)),1,0),0)</f>
        <v>0</v>
      </c>
      <c r="AH342" s="6">
        <f>IF((H340&lt;&gt;"")*(H344=""),IF((H340&lt;=$B$465)*((H341&gt;=$C$465)+(H341&lt;2/24)),1,0),0)</f>
        <v>0</v>
      </c>
      <c r="AI342" s="6">
        <f>IF((I340&lt;&gt;"")*(I344=""),IF((I340&lt;=$B$465)*((I341&gt;=$C$465)+(I341&lt;2/24)),1,0),0)</f>
        <v>0</v>
      </c>
      <c r="AJ342" s="6">
        <f>IF((J340&lt;&gt;"")*(J344=""),IF((J340&lt;=$B$465)*((J341&gt;=$C$465)+(J341&lt;2/24)),1,0),0)</f>
        <v>0</v>
      </c>
    </row>
    <row r="343" spans="1:36" x14ac:dyDescent="0.2">
      <c r="A343" s="64" t="s">
        <v>150</v>
      </c>
      <c r="B343" s="40"/>
      <c r="C343" s="15" t="s">
        <v>3</v>
      </c>
      <c r="D343" s="43" t="str">
        <f t="shared" ref="D343:I343" si="312">IF(D340="","",IF(D341&gt;D340,(D341-D340-D342)*24,(1-D340-D342+D341)*24))</f>
        <v/>
      </c>
      <c r="E343" s="43"/>
      <c r="F343" s="43" t="str">
        <f t="shared" si="312"/>
        <v/>
      </c>
      <c r="G343" s="43" t="str">
        <f t="shared" si="312"/>
        <v/>
      </c>
      <c r="H343" s="43" t="str">
        <f t="shared" si="312"/>
        <v/>
      </c>
      <c r="I343" s="43" t="str">
        <f t="shared" si="312"/>
        <v/>
      </c>
      <c r="J343" s="44"/>
      <c r="K343" s="18">
        <f>SUMIF(D344:J344,"",D343:J343)</f>
        <v>0</v>
      </c>
      <c r="L343" s="12">
        <f>SUM(D343:J343)</f>
        <v>0</v>
      </c>
      <c r="M343" s="24"/>
      <c r="N343" s="10" t="str">
        <f t="shared" ref="N343" si="313">IF(D344="",D343,0)</f>
        <v/>
      </c>
      <c r="O343" s="10">
        <f t="shared" ref="O343" si="314">IF(E344="",E343,0)</f>
        <v>0</v>
      </c>
      <c r="P343" s="10" t="str">
        <f t="shared" ref="P343" si="315">IF(F344="",F343,0)</f>
        <v/>
      </c>
      <c r="Q343" s="10" t="str">
        <f t="shared" ref="Q343" si="316">IF(G344="",G343,0)</f>
        <v/>
      </c>
      <c r="R343" s="10" t="str">
        <f t="shared" ref="R343" si="317">IF(H344="",H343,0)</f>
        <v/>
      </c>
      <c r="S343" s="10" t="str">
        <f t="shared" ref="S343" si="318">IF(I344="",I343,0)</f>
        <v/>
      </c>
      <c r="T343" s="10">
        <f t="shared" ref="T343" si="319">IF(J344="",J343,0)</f>
        <v>0</v>
      </c>
      <c r="U343" s="10"/>
      <c r="V343" s="10" t="str">
        <f t="shared" ref="V343" si="320">D343</f>
        <v/>
      </c>
      <c r="W343" s="10">
        <f t="shared" ref="W343" si="321">E343</f>
        <v>0</v>
      </c>
      <c r="X343" s="10" t="str">
        <f t="shared" ref="X343" si="322">F343</f>
        <v/>
      </c>
      <c r="Y343" s="10" t="str">
        <f t="shared" ref="Y343" si="323">G343</f>
        <v/>
      </c>
      <c r="Z343" s="10" t="str">
        <f t="shared" ref="Z343" si="324">H343</f>
        <v/>
      </c>
      <c r="AA343" s="10" t="str">
        <f t="shared" ref="AA343" si="325">I343</f>
        <v/>
      </c>
      <c r="AB343" s="10">
        <f t="shared" ref="AB343" si="326">J343</f>
        <v>0</v>
      </c>
      <c r="AD343" s="6">
        <f>IF((D340&lt;&gt;"")*(D344=""),IF((D340&lt;=$B$466)*((D341&gt;=$C$466)+(D341&lt;2/24)),1,0),0)</f>
        <v>0</v>
      </c>
      <c r="AE343" s="6">
        <f>IF((E340&lt;&gt;"")*(E344=""),IF((E340&lt;=$B$466)*((E341&gt;=$C$466)+(E341&lt;2/24)),1,0),0)</f>
        <v>0</v>
      </c>
      <c r="AF343" s="6">
        <f>IF((F340&lt;&gt;"")*(F344=""),IF((F340&lt;=$B$466)*((F341&gt;=$C$466)+(F341&lt;2/24)),1,0),0)</f>
        <v>0</v>
      </c>
      <c r="AG343" s="6">
        <f>IF((G340&lt;&gt;"")*(G344=""),IF((G340&lt;=$B$466)*((G341&gt;=$C$466)+(G341&lt;2/24)),1,0),0)</f>
        <v>0</v>
      </c>
      <c r="AH343" s="6">
        <f>IF((H340&lt;&gt;"")*(H344=""),IF((H340&lt;=$B$466)*((H341&gt;=$C$466)+(H341&lt;2/24)),1,0),0)</f>
        <v>0</v>
      </c>
      <c r="AI343" s="6">
        <f>IF((I340&lt;&gt;"")*(I344=""),IF((I340&lt;=$B$466)*((I341&gt;=$C$466)+(I341&lt;2/24)),1,0),0)</f>
        <v>0</v>
      </c>
      <c r="AJ343" s="6">
        <f>IF((J340&lt;&gt;"")*(J344=""),IF((J340&lt;=$B$466)*((J341&gt;=$C$466)+(J341&lt;2/24)),1,0),0)</f>
        <v>0</v>
      </c>
    </row>
    <row r="344" spans="1:36" x14ac:dyDescent="0.2">
      <c r="A344" s="64"/>
      <c r="B344" s="40"/>
      <c r="C344" s="32" t="s">
        <v>4</v>
      </c>
      <c r="D344" s="33"/>
      <c r="E344" s="33"/>
      <c r="F344" s="33"/>
      <c r="G344" s="33"/>
      <c r="H344" s="33"/>
      <c r="I344" s="33"/>
      <c r="J344" s="33"/>
      <c r="K344" s="17"/>
      <c r="L344" s="6"/>
      <c r="M344" s="25"/>
      <c r="N344" s="6"/>
      <c r="O344" s="6"/>
      <c r="P344" s="6"/>
      <c r="Q344" s="6"/>
      <c r="R344" s="6"/>
      <c r="S344" s="6"/>
      <c r="T344" s="6"/>
      <c r="U344" s="6"/>
      <c r="V344" s="20"/>
      <c r="W344" s="20"/>
      <c r="X344" s="20"/>
      <c r="Y344" s="20"/>
      <c r="Z344" s="20"/>
      <c r="AA344" s="20"/>
      <c r="AB344" s="20"/>
      <c r="AD344" s="6">
        <f>IF((D340&lt;&gt;"")*(D344=""),IF((D340&lt;=$B$467)*((D341&gt;=$C$467)+(D341&lt;2/24)),1,0),0)</f>
        <v>0</v>
      </c>
      <c r="AE344" s="6">
        <f>IF((E340&lt;&gt;"")*(E344=""),IF((E340&lt;=$B$467)*((E341&gt;=$C$467)+(E341&lt;2/24)),1,0),0)</f>
        <v>0</v>
      </c>
      <c r="AF344" s="6">
        <f>IF((F340&lt;&gt;"")*(F344=""),IF((F340&lt;=$B$467)*((F341&gt;=$C$467)+(F341&lt;2/24)),1,0),0)</f>
        <v>0</v>
      </c>
      <c r="AG344" s="6">
        <f>IF((G340&lt;&gt;"")*(G344=""),IF((G340&lt;=$B$467)*((G341&gt;=$C$467)+(G341&lt;2/24)),1,0),0)</f>
        <v>0</v>
      </c>
      <c r="AH344" s="6">
        <f>IF((H340&lt;&gt;"")*(H344=""),IF((H340&lt;=$B$467)*((H341&gt;=$C$467)+(H341&lt;2/24)),1,0),0)</f>
        <v>0</v>
      </c>
      <c r="AI344" s="6">
        <f>IF((I340&lt;&gt;"")*(I344=""),IF((I340&lt;=$B$467)*((I341&gt;=$C$467)+(I341&lt;2/24)),1,0),0)</f>
        <v>0</v>
      </c>
      <c r="AJ344" s="6">
        <f>IF((J340&lt;&gt;"")*(J344=""),IF((J340&lt;=$B$467)*((J341&gt;=$C$467)+(J341&lt;2/24)),1,0),0)</f>
        <v>0</v>
      </c>
    </row>
    <row r="345" spans="1:36" ht="13.5" thickBot="1" x14ac:dyDescent="0.25">
      <c r="A345" s="92"/>
      <c r="B345" s="42"/>
      <c r="C345" s="35" t="s">
        <v>28</v>
      </c>
      <c r="D345" s="93"/>
      <c r="E345" s="93"/>
      <c r="F345" s="93"/>
      <c r="G345" s="93"/>
      <c r="H345" s="93"/>
      <c r="I345" s="93"/>
      <c r="J345" s="93"/>
      <c r="K345" s="94"/>
      <c r="L345" s="6"/>
      <c r="M345" s="25"/>
      <c r="N345" s="6"/>
      <c r="O345" s="6"/>
      <c r="P345" s="6"/>
      <c r="Q345" s="6"/>
      <c r="R345" s="6"/>
      <c r="S345" s="6"/>
      <c r="T345" s="6"/>
      <c r="U345" s="6"/>
      <c r="V345" s="20"/>
      <c r="W345" s="20"/>
      <c r="X345" s="20"/>
      <c r="Y345" s="20"/>
      <c r="Z345" s="20"/>
      <c r="AA345" s="20"/>
      <c r="AB345" s="20"/>
      <c r="AD345" s="6"/>
      <c r="AE345" s="6"/>
      <c r="AF345" s="6"/>
      <c r="AG345" s="6"/>
      <c r="AH345" s="6"/>
      <c r="AI345" s="6"/>
      <c r="AJ345" s="6"/>
    </row>
    <row r="346" spans="1:36" x14ac:dyDescent="0.2">
      <c r="A346" s="37" t="s">
        <v>161</v>
      </c>
      <c r="B346" s="38" t="s">
        <v>143</v>
      </c>
      <c r="C346" s="14" t="s">
        <v>0</v>
      </c>
      <c r="D346" s="26"/>
      <c r="E346" s="26"/>
      <c r="F346" s="26"/>
      <c r="G346" s="26"/>
      <c r="H346" s="26"/>
      <c r="I346" s="26"/>
      <c r="J346" s="26"/>
      <c r="K346" s="16"/>
      <c r="L346" s="6"/>
      <c r="M346" s="25"/>
      <c r="N346" s="6"/>
      <c r="O346" s="6"/>
      <c r="P346" s="6"/>
      <c r="Q346" s="6"/>
      <c r="R346" s="6"/>
      <c r="S346" s="6"/>
      <c r="T346" s="6"/>
      <c r="U346" s="6"/>
      <c r="V346" s="20"/>
      <c r="W346" s="20"/>
      <c r="X346" s="20"/>
      <c r="Y346" s="20"/>
      <c r="Z346" s="20"/>
      <c r="AA346" s="20"/>
      <c r="AB346" s="20"/>
      <c r="AD346" s="6"/>
      <c r="AE346" s="6"/>
      <c r="AF346" s="6"/>
      <c r="AG346" s="6"/>
      <c r="AH346" s="6"/>
      <c r="AI346" s="6"/>
      <c r="AJ346" s="6"/>
    </row>
    <row r="347" spans="1:36" x14ac:dyDescent="0.2">
      <c r="A347" s="39"/>
      <c r="B347" s="40"/>
      <c r="C347" s="15" t="s">
        <v>1</v>
      </c>
      <c r="D347" s="27"/>
      <c r="E347" s="27"/>
      <c r="F347" s="27"/>
      <c r="G347" s="27"/>
      <c r="H347" s="27"/>
      <c r="I347" s="27"/>
      <c r="J347" s="27"/>
      <c r="K347" s="17"/>
      <c r="L347" s="6"/>
      <c r="M347" s="25"/>
      <c r="N347" s="6"/>
      <c r="O347" s="6"/>
      <c r="P347" s="6"/>
      <c r="Q347" s="6"/>
      <c r="R347" s="6"/>
      <c r="S347" s="6"/>
      <c r="T347" s="6"/>
      <c r="U347" s="6"/>
      <c r="V347" s="20"/>
      <c r="W347" s="20"/>
      <c r="X347" s="20"/>
      <c r="Y347" s="20"/>
      <c r="Z347" s="20"/>
      <c r="AA347" s="20"/>
      <c r="AB347" s="20"/>
      <c r="AD347" s="6"/>
      <c r="AE347" s="6"/>
      <c r="AF347" s="6"/>
      <c r="AG347" s="6"/>
      <c r="AH347" s="6"/>
      <c r="AI347" s="6"/>
      <c r="AJ347" s="6"/>
    </row>
    <row r="348" spans="1:36" x14ac:dyDescent="0.2">
      <c r="A348" s="64" t="s">
        <v>178</v>
      </c>
      <c r="B348" s="40"/>
      <c r="C348" s="15" t="s">
        <v>2</v>
      </c>
      <c r="D348" s="4"/>
      <c r="E348" s="4"/>
      <c r="F348" s="4"/>
      <c r="G348" s="4"/>
      <c r="H348" s="4"/>
      <c r="I348" s="4"/>
      <c r="J348" s="4"/>
      <c r="K348" s="17"/>
      <c r="L348" s="6"/>
      <c r="M348" s="25"/>
      <c r="N348" s="6"/>
      <c r="O348" s="6"/>
      <c r="P348" s="6"/>
      <c r="Q348" s="6"/>
      <c r="R348" s="6"/>
      <c r="S348" s="6"/>
      <c r="T348" s="6"/>
      <c r="U348" s="6"/>
      <c r="V348" s="20"/>
      <c r="W348" s="20"/>
      <c r="X348" s="20"/>
      <c r="Y348" s="20"/>
      <c r="Z348" s="20"/>
      <c r="AA348" s="20"/>
      <c r="AB348" s="20"/>
      <c r="AD348" s="6"/>
      <c r="AE348" s="6"/>
      <c r="AF348" s="6"/>
      <c r="AG348" s="6"/>
      <c r="AH348" s="6"/>
      <c r="AI348" s="6"/>
      <c r="AJ348" s="6"/>
    </row>
    <row r="349" spans="1:36" x14ac:dyDescent="0.2">
      <c r="A349" s="64" t="s">
        <v>150</v>
      </c>
      <c r="B349" s="40"/>
      <c r="C349" s="15" t="s">
        <v>3</v>
      </c>
      <c r="D349" s="43" t="str">
        <f t="shared" ref="D349" si="327">IF(D346="","",IF(D347&gt;D346,(D347-D346-D348)*24,(1-D346-D348+D347)*24))</f>
        <v/>
      </c>
      <c r="E349" s="43"/>
      <c r="F349" s="43" t="str">
        <f t="shared" ref="F349:I349" si="328">IF(F346="","",IF(F347&gt;F346,(F347-F346-F348)*24,(1-F346-F348+F347)*24))</f>
        <v/>
      </c>
      <c r="G349" s="43" t="str">
        <f t="shared" si="328"/>
        <v/>
      </c>
      <c r="H349" s="43" t="str">
        <f t="shared" si="328"/>
        <v/>
      </c>
      <c r="I349" s="43" t="str">
        <f t="shared" si="328"/>
        <v/>
      </c>
      <c r="J349" s="44"/>
      <c r="K349" s="18">
        <f>SUMIF(D350:J350,"",D349:J349)</f>
        <v>0</v>
      </c>
      <c r="L349" s="12">
        <f>SUM(D349:J349)</f>
        <v>0</v>
      </c>
      <c r="M349" s="25"/>
      <c r="N349" s="6"/>
      <c r="O349" s="6"/>
      <c r="P349" s="6"/>
      <c r="Q349" s="6"/>
      <c r="R349" s="6"/>
      <c r="S349" s="6"/>
      <c r="T349" s="6"/>
      <c r="U349" s="6"/>
      <c r="V349" s="20"/>
      <c r="W349" s="20"/>
      <c r="X349" s="20"/>
      <c r="Y349" s="20"/>
      <c r="Z349" s="20"/>
      <c r="AA349" s="20"/>
      <c r="AB349" s="20"/>
      <c r="AD349" s="6"/>
      <c r="AE349" s="6"/>
      <c r="AF349" s="6"/>
      <c r="AG349" s="6"/>
      <c r="AH349" s="6"/>
      <c r="AI349" s="6"/>
      <c r="AJ349" s="6"/>
    </row>
    <row r="350" spans="1:36" x14ac:dyDescent="0.2">
      <c r="A350" s="64"/>
      <c r="B350" s="40"/>
      <c r="C350" s="32" t="s">
        <v>4</v>
      </c>
      <c r="D350" s="33"/>
      <c r="E350" s="33"/>
      <c r="F350" s="33"/>
      <c r="G350" s="33"/>
      <c r="H350" s="33"/>
      <c r="I350" s="33"/>
      <c r="J350" s="33"/>
      <c r="K350" s="17"/>
      <c r="L350" s="6"/>
      <c r="M350" s="25"/>
      <c r="N350" s="6"/>
      <c r="O350" s="6"/>
      <c r="P350" s="6"/>
      <c r="Q350" s="6"/>
      <c r="R350" s="6"/>
      <c r="S350" s="6"/>
      <c r="T350" s="6"/>
      <c r="U350" s="6"/>
      <c r="V350" s="20"/>
      <c r="W350" s="20"/>
      <c r="X350" s="20"/>
      <c r="Y350" s="20"/>
      <c r="Z350" s="20"/>
      <c r="AA350" s="20"/>
      <c r="AB350" s="20"/>
      <c r="AD350" s="6"/>
      <c r="AE350" s="6"/>
      <c r="AF350" s="6"/>
      <c r="AG350" s="6"/>
      <c r="AH350" s="6"/>
      <c r="AI350" s="6"/>
      <c r="AJ350" s="6"/>
    </row>
    <row r="351" spans="1:36" ht="13.5" thickBot="1" x14ac:dyDescent="0.25">
      <c r="A351" s="92"/>
      <c r="B351" s="42"/>
      <c r="C351" s="35" t="s">
        <v>28</v>
      </c>
      <c r="D351" s="93"/>
      <c r="E351" s="93"/>
      <c r="F351" s="93"/>
      <c r="G351" s="93"/>
      <c r="H351" s="93"/>
      <c r="I351" s="93"/>
      <c r="J351" s="93"/>
      <c r="K351" s="94"/>
      <c r="L351" s="6"/>
      <c r="M351" s="25"/>
      <c r="N351" s="6"/>
      <c r="O351" s="6"/>
      <c r="P351" s="6"/>
      <c r="Q351" s="6"/>
      <c r="R351" s="6"/>
      <c r="S351" s="6"/>
      <c r="T351" s="6"/>
      <c r="U351" s="6"/>
      <c r="V351" s="20"/>
      <c r="W351" s="20"/>
      <c r="X351" s="20"/>
      <c r="Y351" s="20"/>
      <c r="Z351" s="20"/>
      <c r="AA351" s="20"/>
      <c r="AB351" s="20"/>
      <c r="AD351" s="6"/>
      <c r="AE351" s="6"/>
      <c r="AF351" s="6"/>
      <c r="AG351" s="6"/>
      <c r="AH351" s="6"/>
      <c r="AI351" s="6"/>
      <c r="AJ351" s="6"/>
    </row>
    <row r="352" spans="1:36" x14ac:dyDescent="0.2">
      <c r="A352" s="37" t="s">
        <v>100</v>
      </c>
      <c r="B352" s="38" t="s">
        <v>125</v>
      </c>
      <c r="C352" s="14" t="s">
        <v>0</v>
      </c>
      <c r="D352" s="26"/>
      <c r="E352" s="26"/>
      <c r="F352" s="26"/>
      <c r="G352" s="26">
        <v>0.77083333333333337</v>
      </c>
      <c r="H352" s="26">
        <v>0.77083333333333337</v>
      </c>
      <c r="I352" s="26">
        <v>0.77083333333333337</v>
      </c>
      <c r="J352" s="26"/>
      <c r="K352" s="16"/>
      <c r="L352" s="6"/>
      <c r="M352" s="21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D352" s="6">
        <f>IF((D352&lt;&gt;"")*(D356=""),IF((D352&lt;=$B$463)*((D353&gt;=$C$463)+(D353&lt;2/24)),1,0),0)</f>
        <v>0</v>
      </c>
      <c r="AE352" s="6">
        <f>IF((E352&lt;&gt;"")*(E356=""),IF((E352&lt;=$B$463)*((E353&gt;=$C$463)+(E353&lt;2/24)),1,0),0)</f>
        <v>0</v>
      </c>
      <c r="AF352" s="6">
        <f>IF((F352&lt;&gt;"")*(F356=""),IF((F352&lt;=$B$463)*((F353&gt;=$C$463)+(F353&lt;2/24)),1,0),0)</f>
        <v>0</v>
      </c>
      <c r="AG352" s="6">
        <f>IF((G352&lt;&gt;"")*(G356=""),IF((G352&lt;=$B$463)*((G353&gt;=$C$463)+(G353&lt;2/24)),1,0),0)</f>
        <v>0</v>
      </c>
      <c r="AH352" s="6">
        <f>IF((H352&lt;&gt;"")*(H356=""),IF((H352&lt;=$B$463)*((H353&gt;=$C$463)+(H353&lt;2/24)),1,0),0)</f>
        <v>0</v>
      </c>
      <c r="AI352" s="6">
        <f>IF((I352&lt;&gt;"")*(I356=""),IF((I352&lt;=$B$463)*((I353&gt;=$C$463)+(I353&lt;2/24)),1,0),0)</f>
        <v>0</v>
      </c>
      <c r="AJ352" s="6">
        <f>IF((J352&lt;&gt;"")*(J356=""),IF((J352&lt;=$B$463)*((J353&gt;=$C$463)+(J353&lt;2/24)),1,0),0)</f>
        <v>0</v>
      </c>
    </row>
    <row r="353" spans="1:36" x14ac:dyDescent="0.2">
      <c r="A353" s="39"/>
      <c r="B353" s="40"/>
      <c r="C353" s="15" t="s">
        <v>1</v>
      </c>
      <c r="D353" s="27"/>
      <c r="E353" s="27"/>
      <c r="F353" s="27"/>
      <c r="G353" s="27">
        <v>0.95833333333333337</v>
      </c>
      <c r="H353" s="27">
        <v>0.95833333333333337</v>
      </c>
      <c r="I353" s="27">
        <v>0.95833333333333337</v>
      </c>
      <c r="J353" s="27"/>
      <c r="K353" s="17"/>
      <c r="L353" s="6"/>
      <c r="M353" s="21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D353" s="6">
        <f>IF((D352&lt;&gt;"")*(D356=""),IF((D352&lt;=$B$464)*((D353&gt;=$C$464)+(D353&lt;2/24)),1,0),0)</f>
        <v>0</v>
      </c>
      <c r="AE353" s="6">
        <f>IF((E352&lt;&gt;"")*(E356=""),IF((E352&lt;=$B$464)*((E353&gt;=$C$464)+(E353&lt;2/24)),1,0),0)</f>
        <v>0</v>
      </c>
      <c r="AF353" s="6">
        <f>IF((F352&lt;&gt;"")*(F356=""),IF((F352&lt;=$B$464)*((F353&gt;=$C$464)+(F353&lt;2/24)),1,0),0)</f>
        <v>0</v>
      </c>
      <c r="AG353" s="6">
        <f>IF((G352&lt;&gt;"")*(G356=""),IF((G352&lt;=$B$464)*((G353&gt;=$C$464)+(G353&lt;2/24)),1,0),0)</f>
        <v>0</v>
      </c>
      <c r="AH353" s="6">
        <f>IF((H352&lt;&gt;"")*(H356=""),IF((H352&lt;=$B$464)*((H353&gt;=$C$464)+(H353&lt;2/24)),1,0),0)</f>
        <v>0</v>
      </c>
      <c r="AI353" s="6">
        <f>IF((I352&lt;&gt;"")*(I356=""),IF((I352&lt;=$B$464)*((I353&gt;=$C$464)+(I353&lt;2/24)),1,0),0)</f>
        <v>0</v>
      </c>
      <c r="AJ353" s="6">
        <f>IF((J352&lt;&gt;"")*(J356=""),IF((J352&lt;=$B$464)*((J353&gt;=$C$464)+(J353&lt;2/24)),1,0),0)</f>
        <v>0</v>
      </c>
    </row>
    <row r="354" spans="1:36" x14ac:dyDescent="0.2">
      <c r="A354" s="64" t="s">
        <v>165</v>
      </c>
      <c r="B354" s="40"/>
      <c r="C354" s="15" t="s">
        <v>2</v>
      </c>
      <c r="D354" s="4"/>
      <c r="E354" s="4"/>
      <c r="F354" s="4"/>
      <c r="G354" s="4"/>
      <c r="H354" s="4"/>
      <c r="I354" s="4"/>
      <c r="J354" s="4"/>
      <c r="K354" s="17"/>
      <c r="L354" s="6"/>
      <c r="M354" s="21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D354" s="6">
        <f>IF((D352&lt;&gt;"")*(D356=""),IF((D352&lt;=$B$465)*((D353&gt;=$C$465)+(D353&lt;2/24)),1,0),0)</f>
        <v>0</v>
      </c>
      <c r="AE354" s="6">
        <f>IF((E352&lt;&gt;"")*(E356=""),IF((E352&lt;=$B$465)*((E353&gt;=$C$465)+(E353&lt;2/24)),1,0),0)</f>
        <v>0</v>
      </c>
      <c r="AF354" s="6">
        <f>IF((F352&lt;&gt;"")*(F356=""),IF((F352&lt;=$B$465)*((F353&gt;=$C$465)+(F353&lt;2/24)),1,0),0)</f>
        <v>0</v>
      </c>
      <c r="AG354" s="6">
        <f>IF((G352&lt;&gt;"")*(G356=""),IF((G352&lt;=$B$465)*((G353&gt;=$C$465)+(G353&lt;2/24)),1,0),0)</f>
        <v>0</v>
      </c>
      <c r="AH354" s="6">
        <f>IF((H352&lt;&gt;"")*(H356=""),IF((H352&lt;=$B$465)*((H353&gt;=$C$465)+(H353&lt;2/24)),1,0),0)</f>
        <v>0</v>
      </c>
      <c r="AI354" s="6">
        <f>IF((I352&lt;&gt;"")*(I356=""),IF((I352&lt;=$B$465)*((I353&gt;=$C$465)+(I353&lt;2/24)),1,0),0)</f>
        <v>0</v>
      </c>
      <c r="AJ354" s="6">
        <f>IF((J352&lt;&gt;"")*(J356=""),IF((J352&lt;=$B$465)*((J353&gt;=$C$465)+(J353&lt;2/24)),1,0),0)</f>
        <v>0</v>
      </c>
    </row>
    <row r="355" spans="1:36" x14ac:dyDescent="0.2">
      <c r="A355" s="64" t="s">
        <v>150</v>
      </c>
      <c r="B355" s="40"/>
      <c r="C355" s="15" t="s">
        <v>3</v>
      </c>
      <c r="D355" s="43" t="str">
        <f t="shared" ref="D355:J355" si="329">IF(D352="","",IF(D353&gt;D352,(D353-D352-D354)*24,(1-D352-D354+D353)*24))</f>
        <v/>
      </c>
      <c r="E355" s="43" t="str">
        <f t="shared" si="329"/>
        <v/>
      </c>
      <c r="F355" s="43" t="str">
        <f t="shared" si="329"/>
        <v/>
      </c>
      <c r="G355" s="43">
        <f t="shared" si="329"/>
        <v>4.5</v>
      </c>
      <c r="H355" s="43">
        <f t="shared" si="329"/>
        <v>4.5</v>
      </c>
      <c r="I355" s="43">
        <f t="shared" si="329"/>
        <v>4.5</v>
      </c>
      <c r="J355" s="44" t="str">
        <f t="shared" si="329"/>
        <v/>
      </c>
      <c r="K355" s="18">
        <f>SUMIF(D356:J356,"",D355:J355)</f>
        <v>13.5</v>
      </c>
      <c r="L355" s="12">
        <f>SUM(D355:J355)</f>
        <v>13.5</v>
      </c>
      <c r="M355" s="24"/>
      <c r="N355" s="10" t="str">
        <f t="shared" ref="N355" si="330">IF(D356="",D355,0)</f>
        <v/>
      </c>
      <c r="O355" s="10" t="str">
        <f t="shared" ref="O355" si="331">IF(E356="",E355,0)</f>
        <v/>
      </c>
      <c r="P355" s="10" t="str">
        <f t="shared" ref="P355" si="332">IF(F356="",F355,0)</f>
        <v/>
      </c>
      <c r="Q355" s="10">
        <f t="shared" ref="Q355" si="333">IF(G356="",G355,0)</f>
        <v>4.5</v>
      </c>
      <c r="R355" s="10">
        <f t="shared" ref="R355" si="334">IF(H356="",H355,0)</f>
        <v>4.5</v>
      </c>
      <c r="S355" s="10">
        <f t="shared" ref="S355" si="335">IF(I356="",I355,0)</f>
        <v>4.5</v>
      </c>
      <c r="T355" s="10" t="str">
        <f t="shared" ref="T355" si="336">IF(J356="",J355,0)</f>
        <v/>
      </c>
      <c r="U355" s="10"/>
      <c r="V355" s="10" t="str">
        <f t="shared" ref="V355" si="337">D355</f>
        <v/>
      </c>
      <c r="W355" s="10" t="str">
        <f t="shared" ref="W355" si="338">E355</f>
        <v/>
      </c>
      <c r="X355" s="10" t="str">
        <f t="shared" ref="X355" si="339">F355</f>
        <v/>
      </c>
      <c r="Y355" s="10">
        <f t="shared" ref="Y355" si="340">G355</f>
        <v>4.5</v>
      </c>
      <c r="Z355" s="10">
        <f t="shared" ref="Z355" si="341">H355</f>
        <v>4.5</v>
      </c>
      <c r="AA355" s="10">
        <f t="shared" ref="AA355" si="342">I355</f>
        <v>4.5</v>
      </c>
      <c r="AB355" s="10" t="str">
        <f t="shared" ref="AB355" si="343">J355</f>
        <v/>
      </c>
      <c r="AD355" s="6">
        <f>IF((D352&lt;&gt;"")*(D356=""),IF((D352&lt;=$B$466)*((D353&gt;=$C$466)+(D353&lt;2/24)),1,0),0)</f>
        <v>0</v>
      </c>
      <c r="AE355" s="6">
        <f>IF((E352&lt;&gt;"")*(E356=""),IF((E352&lt;=$B$466)*((E353&gt;=$C$466)+(E353&lt;2/24)),1,0),0)</f>
        <v>0</v>
      </c>
      <c r="AF355" s="6">
        <f>IF((F352&lt;&gt;"")*(F356=""),IF((F352&lt;=$B$466)*((F353&gt;=$C$466)+(F353&lt;2/24)),1,0),0)</f>
        <v>0</v>
      </c>
      <c r="AG355" s="6">
        <f>IF((G352&lt;&gt;"")*(G356=""),IF((G352&lt;=$B$466)*((G353&gt;=$C$466)+(G353&lt;2/24)),1,0),0)</f>
        <v>0</v>
      </c>
      <c r="AH355" s="6">
        <f>IF((H352&lt;&gt;"")*(H356=""),IF((H352&lt;=$B$466)*((H353&gt;=$C$466)+(H353&lt;2/24)),1,0),0)</f>
        <v>0</v>
      </c>
      <c r="AI355" s="6">
        <f>IF((I352&lt;&gt;"")*(I356=""),IF((I352&lt;=$B$466)*((I353&gt;=$C$466)+(I353&lt;2/24)),1,0),0)</f>
        <v>0</v>
      </c>
      <c r="AJ355" s="6">
        <f>IF((J352&lt;&gt;"")*(J356=""),IF((J352&lt;=$B$466)*((J353&gt;=$C$466)+(J353&lt;2/24)),1,0),0)</f>
        <v>0</v>
      </c>
    </row>
    <row r="356" spans="1:36" x14ac:dyDescent="0.2">
      <c r="A356" s="39"/>
      <c r="B356" s="40"/>
      <c r="C356" s="32" t="s">
        <v>4</v>
      </c>
      <c r="D356" s="33"/>
      <c r="E356" s="33"/>
      <c r="F356" s="33"/>
      <c r="G356" s="33"/>
      <c r="H356" s="33"/>
      <c r="I356" s="33"/>
      <c r="J356" s="33"/>
      <c r="K356" s="17"/>
      <c r="L356" s="6"/>
      <c r="M356" s="25"/>
      <c r="N356" s="6"/>
      <c r="O356" s="6"/>
      <c r="P356" s="6"/>
      <c r="Q356" s="6"/>
      <c r="R356" s="6"/>
      <c r="S356" s="6"/>
      <c r="T356" s="6"/>
      <c r="U356" s="6"/>
      <c r="V356" s="20"/>
      <c r="W356" s="20"/>
      <c r="X356" s="20"/>
      <c r="Y356" s="20"/>
      <c r="Z356" s="20"/>
      <c r="AA356" s="20"/>
      <c r="AB356" s="20"/>
      <c r="AD356" s="6">
        <f>IF((D352&lt;&gt;"")*(D356=""),IF((D352&lt;=$B$467)*((D353&gt;=$C$467)+(D353&lt;2/24)),1,0),0)</f>
        <v>0</v>
      </c>
      <c r="AE356" s="6">
        <f>IF((E352&lt;&gt;"")*(E356=""),IF((E352&lt;=$B$467)*((E353&gt;=$C$467)+(E353&lt;2/24)),1,0),0)</f>
        <v>0</v>
      </c>
      <c r="AF356" s="6">
        <f>IF((F352&lt;&gt;"")*(F356=""),IF((F352&lt;=$B$467)*((F353&gt;=$C$467)+(F353&lt;2/24)),1,0),0)</f>
        <v>0</v>
      </c>
      <c r="AG356" s="6">
        <f>IF((G352&lt;&gt;"")*(G356=""),IF((G352&lt;=$B$467)*((G353&gt;=$C$467)+(G353&lt;2/24)),1,0),0)</f>
        <v>0</v>
      </c>
      <c r="AH356" s="6">
        <f>IF((H352&lt;&gt;"")*(H356=""),IF((H352&lt;=$B$467)*((H353&gt;=$C$467)+(H353&lt;2/24)),1,0),0)</f>
        <v>0</v>
      </c>
      <c r="AI356" s="6">
        <f>IF((I352&lt;&gt;"")*(I356=""),IF((I352&lt;=$B$467)*((I353&gt;=$C$467)+(I353&lt;2/24)),1,0),0)</f>
        <v>0</v>
      </c>
      <c r="AJ356" s="6">
        <f>IF((J352&lt;&gt;"")*(J356=""),IF((J352&lt;=$B$467)*((J353&gt;=$C$467)+(J353&lt;2/24)),1,0),0)</f>
        <v>0</v>
      </c>
    </row>
    <row r="357" spans="1:36" ht="13.5" thickBot="1" x14ac:dyDescent="0.25">
      <c r="A357" s="41"/>
      <c r="B357" s="42"/>
      <c r="C357" s="35" t="s">
        <v>28</v>
      </c>
      <c r="D357" s="36"/>
      <c r="E357" s="36"/>
      <c r="F357" s="36"/>
      <c r="G357" s="36"/>
      <c r="H357" s="36"/>
      <c r="I357" s="36"/>
      <c r="J357" s="36"/>
      <c r="K357" s="34"/>
      <c r="L357" s="6"/>
      <c r="M357" s="25"/>
      <c r="N357" s="6"/>
      <c r="O357" s="6"/>
      <c r="P357" s="6"/>
      <c r="Q357" s="6"/>
      <c r="R357" s="6"/>
      <c r="S357" s="6"/>
      <c r="T357" s="6"/>
      <c r="U357" s="6"/>
      <c r="V357" s="20"/>
      <c r="W357" s="20"/>
      <c r="X357" s="20"/>
      <c r="Y357" s="20"/>
      <c r="Z357" s="20"/>
      <c r="AA357" s="20"/>
      <c r="AB357" s="20"/>
      <c r="AD357" s="6"/>
      <c r="AE357" s="6"/>
      <c r="AF357" s="6"/>
      <c r="AG357" s="6"/>
      <c r="AH357" s="6"/>
      <c r="AI357" s="6"/>
      <c r="AJ357" s="6"/>
    </row>
    <row r="358" spans="1:36" x14ac:dyDescent="0.2">
      <c r="A358" s="37" t="s">
        <v>157</v>
      </c>
      <c r="B358" s="38" t="s">
        <v>158</v>
      </c>
      <c r="C358" s="14" t="s">
        <v>0</v>
      </c>
      <c r="D358" s="26"/>
      <c r="E358" s="26"/>
      <c r="F358" s="26"/>
      <c r="G358" s="26"/>
      <c r="H358" s="26">
        <v>0.54166666666666663</v>
      </c>
      <c r="I358" s="26"/>
      <c r="J358" s="26"/>
      <c r="K358" s="16"/>
      <c r="L358" s="6"/>
      <c r="M358" s="21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D358" s="6">
        <f>IF((D358&lt;&gt;"")*(D362=""),IF((D358&lt;=$B$463)*((D359&gt;=$C$463)+(D359&lt;2/24)),1,0),0)</f>
        <v>0</v>
      </c>
      <c r="AE358" s="6">
        <f>IF((E358&lt;&gt;"")*(E362=""),IF((E358&lt;=$B$463)*((E359&gt;=$C$463)+(E359&lt;2/24)),1,0),0)</f>
        <v>0</v>
      </c>
      <c r="AF358" s="6">
        <f>IF((F358&lt;&gt;"")*(F362=""),IF((F358&lt;=$B$463)*((F359&gt;=$C$463)+(F359&lt;2/24)),1,0),0)</f>
        <v>0</v>
      </c>
      <c r="AG358" s="6">
        <f>IF((G358&lt;&gt;"")*(G362=""),IF((G358&lt;=$B$463)*((G359&gt;=$C$463)+(G359&lt;2/24)),1,0),0)</f>
        <v>0</v>
      </c>
      <c r="AH358" s="6">
        <f>IF((H358&lt;&gt;"")*(H362=""),IF((H358&lt;=$B$463)*((H359&gt;=$C$463)+(H359&lt;2/24)),1,0),0)</f>
        <v>0</v>
      </c>
      <c r="AI358" s="6">
        <f>IF((I358&lt;&gt;"")*(I362=""),IF((I358&lt;=$B$463)*((I359&gt;=$C$463)+(I359&lt;2/24)),1,0),0)</f>
        <v>0</v>
      </c>
      <c r="AJ358" s="6">
        <f>IF((J358&lt;&gt;"")*(J362=""),IF((J358&lt;=$B$463)*((J359&gt;=$C$463)+(J359&lt;2/24)),1,0),0)</f>
        <v>0</v>
      </c>
    </row>
    <row r="359" spans="1:36" x14ac:dyDescent="0.2">
      <c r="A359" s="39"/>
      <c r="B359" s="40"/>
      <c r="C359" s="15" t="s">
        <v>1</v>
      </c>
      <c r="D359" s="27"/>
      <c r="E359" s="27"/>
      <c r="F359" s="27"/>
      <c r="G359" s="27"/>
      <c r="H359" s="27">
        <v>0.75</v>
      </c>
      <c r="I359" s="27"/>
      <c r="J359" s="27"/>
      <c r="K359" s="17"/>
      <c r="L359" s="6"/>
      <c r="M359" s="21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D359" s="6">
        <f>IF((D358&lt;&gt;"")*(D362=""),IF((D358&lt;=$B$464)*((D359&gt;=$C$464)+(D359&lt;2/24)),1,0),0)</f>
        <v>0</v>
      </c>
      <c r="AE359" s="6">
        <f>IF((E358&lt;&gt;"")*(E362=""),IF((E358&lt;=$B$464)*((E359&gt;=$C$464)+(E359&lt;2/24)),1,0),0)</f>
        <v>0</v>
      </c>
      <c r="AF359" s="6">
        <f>IF((F358&lt;&gt;"")*(F362=""),IF((F358&lt;=$B$464)*((F359&gt;=$C$464)+(F359&lt;2/24)),1,0),0)</f>
        <v>0</v>
      </c>
      <c r="AG359" s="6">
        <f>IF((G358&lt;&gt;"")*(G362=""),IF((G358&lt;=$B$464)*((G359&gt;=$C$464)+(G359&lt;2/24)),1,0),0)</f>
        <v>0</v>
      </c>
      <c r="AH359" s="6">
        <f>IF((H358&lt;&gt;"")*(H362=""),IF((H358&lt;=$B$464)*((H359&gt;=$C$464)+(H359&lt;2/24)),1,0),0)</f>
        <v>0</v>
      </c>
      <c r="AI359" s="6">
        <f>IF((I358&lt;&gt;"")*(I362=""),IF((I358&lt;=$B$464)*((I359&gt;=$C$464)+(I359&lt;2/24)),1,0),0)</f>
        <v>0</v>
      </c>
      <c r="AJ359" s="6">
        <f>IF((J358&lt;&gt;"")*(J362=""),IF((J358&lt;=$B$464)*((J359&gt;=$C$464)+(J359&lt;2/24)),1,0),0)</f>
        <v>0</v>
      </c>
    </row>
    <row r="360" spans="1:36" x14ac:dyDescent="0.2">
      <c r="A360" s="64"/>
      <c r="B360" s="40"/>
      <c r="C360" s="15" t="s">
        <v>2</v>
      </c>
      <c r="D360" s="4"/>
      <c r="E360" s="4"/>
      <c r="F360" s="4"/>
      <c r="G360" s="4"/>
      <c r="H360" s="4"/>
      <c r="I360" s="4"/>
      <c r="J360" s="4"/>
      <c r="K360" s="17"/>
      <c r="L360" s="6"/>
      <c r="M360" s="21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D360" s="6">
        <f>IF((D358&lt;&gt;"")*(D362=""),IF((D358&lt;=$B$465)*((D359&gt;=$C$465)+(D359&lt;2/24)),1,0),0)</f>
        <v>0</v>
      </c>
      <c r="AE360" s="6">
        <f>IF((E358&lt;&gt;"")*(E362=""),IF((E358&lt;=$B$465)*((E359&gt;=$C$465)+(E359&lt;2/24)),1,0),0)</f>
        <v>0</v>
      </c>
      <c r="AF360" s="6">
        <f>IF((F358&lt;&gt;"")*(F362=""),IF((F358&lt;=$B$465)*((F359&gt;=$C$465)+(F359&lt;2/24)),1,0),0)</f>
        <v>0</v>
      </c>
      <c r="AG360" s="6">
        <f>IF((G358&lt;&gt;"")*(G362=""),IF((G358&lt;=$B$465)*((G359&gt;=$C$465)+(G359&lt;2/24)),1,0),0)</f>
        <v>0</v>
      </c>
      <c r="AH360" s="6">
        <f>IF((H358&lt;&gt;"")*(H362=""),IF((H358&lt;=$B$465)*((H359&gt;=$C$465)+(H359&lt;2/24)),1,0),0)</f>
        <v>0</v>
      </c>
      <c r="AI360" s="6">
        <f>IF((I358&lt;&gt;"")*(I362=""),IF((I358&lt;=$B$465)*((I359&gt;=$C$465)+(I359&lt;2/24)),1,0),0)</f>
        <v>0</v>
      </c>
      <c r="AJ360" s="6">
        <f>IF((J358&lt;&gt;"")*(J362=""),IF((J358&lt;=$B$465)*((J359&gt;=$C$465)+(J359&lt;2/24)),1,0),0)</f>
        <v>0</v>
      </c>
    </row>
    <row r="361" spans="1:36" x14ac:dyDescent="0.2">
      <c r="A361" s="64" t="s">
        <v>179</v>
      </c>
      <c r="B361" s="40"/>
      <c r="C361" s="15" t="s">
        <v>3</v>
      </c>
      <c r="D361" s="43" t="str">
        <f t="shared" ref="D361" si="344">IF(D358="","",IF(D359&gt;D358,(D359-D358-D360)*24,(1-D358-D360+D359)*24))</f>
        <v/>
      </c>
      <c r="E361" s="43"/>
      <c r="F361" s="43" t="str">
        <f t="shared" ref="F361:J361" si="345">IF(F358="","",IF(F359&gt;F358,(F359-F358-F360)*24,(1-F358-F360+F359)*24))</f>
        <v/>
      </c>
      <c r="G361" s="43" t="str">
        <f t="shared" si="345"/>
        <v/>
      </c>
      <c r="H361" s="43">
        <f t="shared" si="345"/>
        <v>5.0000000000000009</v>
      </c>
      <c r="I361" s="43" t="str">
        <f t="shared" si="345"/>
        <v/>
      </c>
      <c r="J361" s="44" t="str">
        <f t="shared" si="345"/>
        <v/>
      </c>
      <c r="K361" s="18">
        <f>SUMIF(D362:J362,"",D361:J361)</f>
        <v>5.0000000000000009</v>
      </c>
      <c r="L361" s="12">
        <f>SUM(D361:J361)</f>
        <v>5.0000000000000009</v>
      </c>
      <c r="M361" s="24"/>
      <c r="N361" s="10" t="str">
        <f t="shared" ref="N361" si="346">IF(D362="",D361,0)</f>
        <v/>
      </c>
      <c r="O361" s="10">
        <f t="shared" ref="O361" si="347">IF(E362="",E361,0)</f>
        <v>0</v>
      </c>
      <c r="P361" s="10" t="str">
        <f t="shared" ref="P361" si="348">IF(F362="",F361,0)</f>
        <v/>
      </c>
      <c r="Q361" s="10" t="str">
        <f t="shared" ref="Q361" si="349">IF(G362="",G361,0)</f>
        <v/>
      </c>
      <c r="R361" s="10">
        <f t="shared" ref="R361" si="350">IF(H362="",H361,0)</f>
        <v>5.0000000000000009</v>
      </c>
      <c r="S361" s="10" t="str">
        <f t="shared" ref="S361" si="351">IF(I362="",I361,0)</f>
        <v/>
      </c>
      <c r="T361" s="10" t="str">
        <f t="shared" ref="T361" si="352">IF(J362="",J361,0)</f>
        <v/>
      </c>
      <c r="U361" s="10"/>
      <c r="V361" s="10" t="str">
        <f t="shared" ref="V361" si="353">D361</f>
        <v/>
      </c>
      <c r="W361" s="10">
        <f t="shared" ref="W361" si="354">E361</f>
        <v>0</v>
      </c>
      <c r="X361" s="10" t="str">
        <f t="shared" ref="X361" si="355">F361</f>
        <v/>
      </c>
      <c r="Y361" s="10" t="str">
        <f t="shared" ref="Y361" si="356">G361</f>
        <v/>
      </c>
      <c r="Z361" s="10">
        <f t="shared" ref="Z361" si="357">H361</f>
        <v>5.0000000000000009</v>
      </c>
      <c r="AA361" s="10" t="str">
        <f t="shared" ref="AA361" si="358">I361</f>
        <v/>
      </c>
      <c r="AB361" s="10" t="str">
        <f t="shared" ref="AB361" si="359">J361</f>
        <v/>
      </c>
      <c r="AD361" s="6">
        <f>IF((D358&lt;&gt;"")*(D362=""),IF((D358&lt;=$B$466)*((D359&gt;=$C$466)+(D359&lt;2/24)),1,0),0)</f>
        <v>0</v>
      </c>
      <c r="AE361" s="6">
        <f>IF((E358&lt;&gt;"")*(E362=""),IF((E358&lt;=$B$466)*((E359&gt;=$C$466)+(E359&lt;2/24)),1,0),0)</f>
        <v>0</v>
      </c>
      <c r="AF361" s="6">
        <f>IF((F358&lt;&gt;"")*(F362=""),IF((F358&lt;=$B$466)*((F359&gt;=$C$466)+(F359&lt;2/24)),1,0),0)</f>
        <v>0</v>
      </c>
      <c r="AG361" s="6">
        <f>IF((G358&lt;&gt;"")*(G362=""),IF((G358&lt;=$B$466)*((G359&gt;=$C$466)+(G359&lt;2/24)),1,0),0)</f>
        <v>0</v>
      </c>
      <c r="AH361" s="6">
        <f>IF((H358&lt;&gt;"")*(H362=""),IF((H358&lt;=$B$466)*((H359&gt;=$C$466)+(H359&lt;2/24)),1,0),0)</f>
        <v>0</v>
      </c>
      <c r="AI361" s="6">
        <f>IF((I358&lt;&gt;"")*(I362=""),IF((I358&lt;=$B$466)*((I359&gt;=$C$466)+(I359&lt;2/24)),1,0),0)</f>
        <v>0</v>
      </c>
      <c r="AJ361" s="6">
        <f>IF((J358&lt;&gt;"")*(J362=""),IF((J358&lt;=$B$466)*((J359&gt;=$C$466)+(J359&lt;2/24)),1,0),0)</f>
        <v>0</v>
      </c>
    </row>
    <row r="362" spans="1:36" x14ac:dyDescent="0.2">
      <c r="A362" s="64" t="s">
        <v>150</v>
      </c>
      <c r="B362" s="40"/>
      <c r="C362" s="32" t="s">
        <v>4</v>
      </c>
      <c r="D362" s="33"/>
      <c r="E362" s="33"/>
      <c r="F362" s="33"/>
      <c r="G362" s="33"/>
      <c r="H362" s="33"/>
      <c r="I362" s="33"/>
      <c r="J362" s="33"/>
      <c r="K362" s="17"/>
      <c r="L362" s="6"/>
      <c r="M362" s="25"/>
      <c r="N362" s="6"/>
      <c r="O362" s="6"/>
      <c r="P362" s="6"/>
      <c r="Q362" s="6"/>
      <c r="R362" s="6"/>
      <c r="S362" s="6"/>
      <c r="T362" s="6"/>
      <c r="U362" s="6"/>
      <c r="V362" s="20"/>
      <c r="W362" s="20"/>
      <c r="X362" s="20"/>
      <c r="Y362" s="20"/>
      <c r="Z362" s="20"/>
      <c r="AA362" s="20"/>
      <c r="AB362" s="20"/>
      <c r="AD362" s="6">
        <f>IF((D358&lt;&gt;"")*(D362=""),IF((D358&lt;=$B$467)*((D359&gt;=$C$467)+(D359&lt;2/24)),1,0),0)</f>
        <v>0</v>
      </c>
      <c r="AE362" s="6">
        <f>IF((E358&lt;&gt;"")*(E362=""),IF((E358&lt;=$B$467)*((E359&gt;=$C$467)+(E359&lt;2/24)),1,0),0)</f>
        <v>0</v>
      </c>
      <c r="AF362" s="6">
        <f>IF((F358&lt;&gt;"")*(F362=""),IF((F358&lt;=$B$467)*((F359&gt;=$C$467)+(F359&lt;2/24)),1,0),0)</f>
        <v>0</v>
      </c>
      <c r="AG362" s="6">
        <f>IF((G358&lt;&gt;"")*(G362=""),IF((G358&lt;=$B$467)*((G359&gt;=$C$467)+(G359&lt;2/24)),1,0),0)</f>
        <v>0</v>
      </c>
      <c r="AH362" s="6">
        <f>IF((H358&lt;&gt;"")*(H362=""),IF((H358&lt;=$B$467)*((H359&gt;=$C$467)+(H359&lt;2/24)),1,0),0)</f>
        <v>0</v>
      </c>
      <c r="AI362" s="6">
        <f>IF((I358&lt;&gt;"")*(I362=""),IF((I358&lt;=$B$467)*((I359&gt;=$C$467)+(I359&lt;2/24)),1,0),0)</f>
        <v>0</v>
      </c>
      <c r="AJ362" s="6">
        <f>IF((J358&lt;&gt;"")*(J362=""),IF((J358&lt;=$B$467)*((J359&gt;=$C$467)+(J359&lt;2/24)),1,0),0)</f>
        <v>0</v>
      </c>
    </row>
    <row r="363" spans="1:36" ht="13.5" thickBot="1" x14ac:dyDescent="0.25">
      <c r="A363" s="41"/>
      <c r="B363" s="42"/>
      <c r="C363" s="35" t="s">
        <v>28</v>
      </c>
      <c r="D363" s="36"/>
      <c r="E363" s="36"/>
      <c r="F363" s="36"/>
      <c r="G363" s="36"/>
      <c r="H363" s="36"/>
      <c r="I363" s="36"/>
      <c r="J363" s="36"/>
      <c r="K363" s="34"/>
      <c r="L363" s="6"/>
      <c r="M363" s="25"/>
      <c r="N363" s="6"/>
      <c r="O363" s="6"/>
      <c r="P363" s="6"/>
      <c r="Q363" s="6"/>
      <c r="R363" s="6"/>
      <c r="S363" s="6"/>
      <c r="T363" s="6"/>
      <c r="U363" s="6"/>
      <c r="V363" s="20"/>
      <c r="W363" s="20"/>
      <c r="X363" s="20"/>
      <c r="Y363" s="20"/>
      <c r="Z363" s="20"/>
      <c r="AA363" s="20"/>
      <c r="AB363" s="20"/>
      <c r="AD363" s="6"/>
      <c r="AE363" s="6"/>
      <c r="AF363" s="6"/>
      <c r="AG363" s="6"/>
      <c r="AH363" s="6"/>
      <c r="AI363" s="6"/>
      <c r="AJ363" s="6"/>
    </row>
    <row r="364" spans="1:36" x14ac:dyDescent="0.2">
      <c r="A364" s="37" t="s">
        <v>70</v>
      </c>
      <c r="B364" s="38" t="s">
        <v>71</v>
      </c>
      <c r="C364" s="14" t="s">
        <v>0</v>
      </c>
      <c r="D364" s="26"/>
      <c r="E364" s="99">
        <v>0.77083333333333337</v>
      </c>
      <c r="F364" s="26">
        <v>0.77083333333333337</v>
      </c>
      <c r="G364" s="26">
        <v>0.77083333333333337</v>
      </c>
      <c r="H364" s="26"/>
      <c r="I364" s="26"/>
      <c r="J364" s="26">
        <v>0.54166666666666663</v>
      </c>
      <c r="K364" s="16"/>
      <c r="L364" s="6"/>
      <c r="M364" s="21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D364" s="6">
        <f>IF((D364&lt;&gt;"")*(D368=""),IF((D364&lt;=$B$463)*((D365&gt;=$C$463)+(D365&lt;2/24)),1,0),0)</f>
        <v>0</v>
      </c>
      <c r="AE364" s="6">
        <f>IF((E364&lt;&gt;"")*(E368=""),IF((E364&lt;=$B$463)*((E365&gt;=$C$463)+(E365&lt;2/24)),1,0),0)</f>
        <v>0</v>
      </c>
      <c r="AF364" s="6">
        <f>IF((F364&lt;&gt;"")*(F368=""),IF((F364&lt;=$B$463)*((F365&gt;=$C$463)+(F365&lt;2/24)),1,0),0)</f>
        <v>0</v>
      </c>
      <c r="AG364" s="6">
        <f>IF((G364&lt;&gt;"")*(G368=""),IF((G364&lt;=$B$463)*((G365&gt;=$C$463)+(G365&lt;2/24)),1,0),0)</f>
        <v>0</v>
      </c>
      <c r="AH364" s="6">
        <f>IF((H364&lt;&gt;"")*(H368=""),IF((H364&lt;=$B$463)*((H365&gt;=$C$463)+(H365&lt;2/24)),1,0),0)</f>
        <v>0</v>
      </c>
      <c r="AI364" s="6">
        <f>IF((I364&lt;&gt;"")*(I368=""),IF((I364&lt;=$B$463)*((I365&gt;=$C$463)+(I365&lt;2/24)),1,0),0)</f>
        <v>0</v>
      </c>
      <c r="AJ364" s="6">
        <f>IF((J364&lt;&gt;"")*(J368=""),IF((J364&lt;=$B$463)*((J365&gt;=$C$463)+(J365&lt;2/24)),1,0),0)</f>
        <v>0</v>
      </c>
    </row>
    <row r="365" spans="1:36" x14ac:dyDescent="0.2">
      <c r="A365" s="39"/>
      <c r="B365" s="40"/>
      <c r="C365" s="15" t="s">
        <v>1</v>
      </c>
      <c r="D365" s="27"/>
      <c r="E365" s="100">
        <v>0.95833333333333337</v>
      </c>
      <c r="F365" s="27">
        <v>0.95833333333333337</v>
      </c>
      <c r="G365" s="27">
        <v>0.95833333333333337</v>
      </c>
      <c r="H365" s="27"/>
      <c r="I365" s="27"/>
      <c r="J365" s="27">
        <v>0.75</v>
      </c>
      <c r="K365" s="17"/>
      <c r="L365" s="6"/>
      <c r="M365" s="21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D365" s="6">
        <f>IF((D364&lt;&gt;"")*(D368=""),IF((D364&lt;=$B$464)*((D365&gt;=$C$464)+(D365&lt;2/24)),1,0),0)</f>
        <v>0</v>
      </c>
      <c r="AE365" s="6">
        <f>IF((E364&lt;&gt;"")*(E368=""),IF((E364&lt;=$B$464)*((E365&gt;=$C$464)+(E365&lt;2/24)),1,0),0)</f>
        <v>0</v>
      </c>
      <c r="AF365" s="6">
        <f>IF((F364&lt;&gt;"")*(F368=""),IF((F364&lt;=$B$464)*((F365&gt;=$C$464)+(F365&lt;2/24)),1,0),0)</f>
        <v>0</v>
      </c>
      <c r="AG365" s="6">
        <f>IF((G364&lt;&gt;"")*(G368=""),IF((G364&lt;=$B$464)*((G365&gt;=$C$464)+(G365&lt;2/24)),1,0),0)</f>
        <v>0</v>
      </c>
      <c r="AH365" s="6">
        <f>IF((H364&lt;&gt;"")*(H368=""),IF((H364&lt;=$B$464)*((H365&gt;=$C$464)+(H365&lt;2/24)),1,0),0)</f>
        <v>0</v>
      </c>
      <c r="AI365" s="6">
        <f>IF((I364&lt;&gt;"")*(I368=""),IF((I364&lt;=$B$464)*((I365&gt;=$C$464)+(I365&lt;2/24)),1,0),0)</f>
        <v>0</v>
      </c>
      <c r="AJ365" s="6">
        <f>IF((J364&lt;&gt;"")*(J368=""),IF((J364&lt;=$B$464)*((J365&gt;=$C$464)+(J365&lt;2/24)),1,0),0)</f>
        <v>0</v>
      </c>
    </row>
    <row r="366" spans="1:36" x14ac:dyDescent="0.2">
      <c r="A366" s="64"/>
      <c r="B366" s="40"/>
      <c r="C366" s="15" t="s">
        <v>2</v>
      </c>
      <c r="D366" s="4"/>
      <c r="E366" s="33"/>
      <c r="F366" s="4"/>
      <c r="G366" s="4"/>
      <c r="H366" s="4"/>
      <c r="I366" s="4"/>
      <c r="J366" s="4"/>
      <c r="K366" s="17"/>
      <c r="L366" s="6"/>
      <c r="M366" s="21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D366" s="6">
        <f>IF((D364&lt;&gt;"")*(D368=""),IF((D364&lt;=$B$465)*((D365&gt;=$C$465)+(D365&lt;2/24)),1,0),0)</f>
        <v>0</v>
      </c>
      <c r="AE366" s="6">
        <f>IF((E364&lt;&gt;"")*(E368=""),IF((E364&lt;=$B$465)*((E365&gt;=$C$465)+(E365&lt;2/24)),1,0),0)</f>
        <v>0</v>
      </c>
      <c r="AF366" s="6">
        <f>IF((F364&lt;&gt;"")*(F368=""),IF((F364&lt;=$B$465)*((F365&gt;=$C$465)+(F365&lt;2/24)),1,0),0)</f>
        <v>0</v>
      </c>
      <c r="AG366" s="6">
        <f>IF((G364&lt;&gt;"")*(G368=""),IF((G364&lt;=$B$465)*((G365&gt;=$C$465)+(G365&lt;2/24)),1,0),0)</f>
        <v>0</v>
      </c>
      <c r="AH366" s="6">
        <f>IF((H364&lt;&gt;"")*(H368=""),IF((H364&lt;=$B$465)*((H365&gt;=$C$465)+(H365&lt;2/24)),1,0),0)</f>
        <v>0</v>
      </c>
      <c r="AI366" s="6">
        <f>IF((I364&lt;&gt;"")*(I368=""),IF((I364&lt;=$B$465)*((I365&gt;=$C$465)+(I365&lt;2/24)),1,0),0)</f>
        <v>0</v>
      </c>
      <c r="AJ366" s="6">
        <f>IF((J364&lt;&gt;"")*(J368=""),IF((J364&lt;=$B$465)*((J365&gt;=$C$465)+(J365&lt;2/24)),1,0),0)</f>
        <v>0</v>
      </c>
    </row>
    <row r="367" spans="1:36" x14ac:dyDescent="0.2">
      <c r="A367" s="64" t="s">
        <v>178</v>
      </c>
      <c r="B367" s="40"/>
      <c r="C367" s="15" t="s">
        <v>3</v>
      </c>
      <c r="D367" s="43" t="str">
        <f t="shared" ref="D367:J367" si="360">IF(D364="","",IF(D365&gt;D364,(D365-D364-D366)*24,(1-D364-D366+D365)*24))</f>
        <v/>
      </c>
      <c r="E367" s="43">
        <f t="shared" si="360"/>
        <v>4.5</v>
      </c>
      <c r="F367" s="43">
        <f t="shared" si="360"/>
        <v>4.5</v>
      </c>
      <c r="G367" s="43">
        <f t="shared" si="360"/>
        <v>4.5</v>
      </c>
      <c r="H367" s="43" t="str">
        <f t="shared" si="360"/>
        <v/>
      </c>
      <c r="I367" s="43" t="str">
        <f t="shared" si="360"/>
        <v/>
      </c>
      <c r="J367" s="44">
        <f t="shared" si="360"/>
        <v>5.0000000000000009</v>
      </c>
      <c r="K367" s="18">
        <f>SUMIF(D368:J368,"",D367:J367)</f>
        <v>18.5</v>
      </c>
      <c r="L367" s="12">
        <f>SUM(D367:J367)</f>
        <v>18.5</v>
      </c>
      <c r="M367" s="24"/>
      <c r="N367" s="10" t="str">
        <f t="shared" ref="N367" si="361">IF(D368="",D367,0)</f>
        <v/>
      </c>
      <c r="O367" s="10">
        <f t="shared" ref="O367" si="362">IF(E368="",E367,0)</f>
        <v>4.5</v>
      </c>
      <c r="P367" s="10">
        <f t="shared" ref="P367" si="363">IF(F368="",F367,0)</f>
        <v>4.5</v>
      </c>
      <c r="Q367" s="10">
        <f t="shared" ref="Q367" si="364">IF(G368="",G367,0)</f>
        <v>4.5</v>
      </c>
      <c r="R367" s="10" t="str">
        <f t="shared" ref="R367" si="365">IF(H368="",H367,0)</f>
        <v/>
      </c>
      <c r="S367" s="10" t="str">
        <f t="shared" ref="S367" si="366">IF(I368="",I367,0)</f>
        <v/>
      </c>
      <c r="T367" s="10">
        <f t="shared" ref="T367" si="367">IF(J368="",J367,0)</f>
        <v>5.0000000000000009</v>
      </c>
      <c r="U367" s="10"/>
      <c r="V367" s="10" t="str">
        <f t="shared" ref="V367" si="368">D367</f>
        <v/>
      </c>
      <c r="W367" s="10">
        <f t="shared" ref="W367" si="369">E367</f>
        <v>4.5</v>
      </c>
      <c r="X367" s="10">
        <f t="shared" ref="X367" si="370">F367</f>
        <v>4.5</v>
      </c>
      <c r="Y367" s="10">
        <f t="shared" ref="Y367" si="371">G367</f>
        <v>4.5</v>
      </c>
      <c r="Z367" s="10" t="str">
        <f t="shared" ref="Z367" si="372">H367</f>
        <v/>
      </c>
      <c r="AA367" s="10" t="str">
        <f t="shared" ref="AA367" si="373">I367</f>
        <v/>
      </c>
      <c r="AB367" s="10">
        <f t="shared" ref="AB367" si="374">J367</f>
        <v>5.0000000000000009</v>
      </c>
      <c r="AD367" s="6">
        <f>IF((D364&lt;&gt;"")*(D368=""),IF((D364&lt;=$B$466)*((D365&gt;=$C$466)+(D365&lt;2/24)),1,0),0)</f>
        <v>0</v>
      </c>
      <c r="AE367" s="6">
        <f>IF((E364&lt;&gt;"")*(E368=""),IF((E364&lt;=$B$466)*((E365&gt;=$C$466)+(E365&lt;2/24)),1,0),0)</f>
        <v>0</v>
      </c>
      <c r="AF367" s="6">
        <f>IF((F364&lt;&gt;"")*(F368=""),IF((F364&lt;=$B$466)*((F365&gt;=$C$466)+(F365&lt;2/24)),1,0),0)</f>
        <v>0</v>
      </c>
      <c r="AG367" s="6">
        <f>IF((G364&lt;&gt;"")*(G368=""),IF((G364&lt;=$B$466)*((G365&gt;=$C$466)+(G365&lt;2/24)),1,0),0)</f>
        <v>0</v>
      </c>
      <c r="AH367" s="6">
        <f>IF((H364&lt;&gt;"")*(H368=""),IF((H364&lt;=$B$466)*((H365&gt;=$C$466)+(H365&lt;2/24)),1,0),0)</f>
        <v>0</v>
      </c>
      <c r="AI367" s="6">
        <f>IF((I364&lt;&gt;"")*(I368=""),IF((I364&lt;=$B$466)*((I365&gt;=$C$466)+(I365&lt;2/24)),1,0),0)</f>
        <v>0</v>
      </c>
      <c r="AJ367" s="6">
        <f>IF((J364&lt;&gt;"")*(J368=""),IF((J364&lt;=$B$466)*((J365&gt;=$C$466)+(J365&lt;2/24)),1,0),0)</f>
        <v>0</v>
      </c>
    </row>
    <row r="368" spans="1:36" x14ac:dyDescent="0.2">
      <c r="A368" s="64" t="s">
        <v>150</v>
      </c>
      <c r="B368" s="40"/>
      <c r="C368" s="32" t="s">
        <v>4</v>
      </c>
      <c r="D368" s="33"/>
      <c r="E368" s="33"/>
      <c r="F368" s="33"/>
      <c r="G368" s="33"/>
      <c r="H368" s="33"/>
      <c r="I368" s="33"/>
      <c r="J368" s="33"/>
      <c r="K368" s="17"/>
      <c r="L368" s="6"/>
      <c r="M368" s="25"/>
      <c r="N368" s="6"/>
      <c r="O368" s="6"/>
      <c r="P368" s="6"/>
      <c r="Q368" s="6"/>
      <c r="R368" s="6"/>
      <c r="S368" s="6"/>
      <c r="T368" s="6"/>
      <c r="U368" s="6"/>
      <c r="V368" s="20"/>
      <c r="W368" s="20"/>
      <c r="X368" s="20"/>
      <c r="Y368" s="20"/>
      <c r="Z368" s="20"/>
      <c r="AA368" s="20"/>
      <c r="AB368" s="20"/>
      <c r="AD368" s="6">
        <f>IF((D364&lt;&gt;"")*(D368=""),IF((D364&lt;=$B$467)*((D365&gt;=$C$467)+(D365&lt;2/24)),1,0),0)</f>
        <v>0</v>
      </c>
      <c r="AE368" s="6">
        <f>IF((E364&lt;&gt;"")*(E368=""),IF((E364&lt;=$B$467)*((E365&gt;=$C$467)+(E365&lt;2/24)),1,0),0)</f>
        <v>0</v>
      </c>
      <c r="AF368" s="6">
        <f>IF((F364&lt;&gt;"")*(F368=""),IF((F364&lt;=$B$467)*((F365&gt;=$C$467)+(F365&lt;2/24)),1,0),0)</f>
        <v>0</v>
      </c>
      <c r="AG368" s="6">
        <f>IF((G364&lt;&gt;"")*(G368=""),IF((G364&lt;=$B$467)*((G365&gt;=$C$467)+(G365&lt;2/24)),1,0),0)</f>
        <v>0</v>
      </c>
      <c r="AH368" s="6">
        <f>IF((H364&lt;&gt;"")*(H368=""),IF((H364&lt;=$B$467)*((H365&gt;=$C$467)+(H365&lt;2/24)),1,0),0)</f>
        <v>0</v>
      </c>
      <c r="AI368" s="6">
        <f>IF((I364&lt;&gt;"")*(I368=""),IF((I364&lt;=$B$467)*((I365&gt;=$C$467)+(I365&lt;2/24)),1,0),0)</f>
        <v>0</v>
      </c>
      <c r="AJ368" s="6">
        <f>IF((J364&lt;&gt;"")*(J368=""),IF((J364&lt;=$B$467)*((J365&gt;=$C$467)+(J365&lt;2/24)),1,0),0)</f>
        <v>0</v>
      </c>
    </row>
    <row r="369" spans="1:36" ht="13.5" thickBot="1" x14ac:dyDescent="0.25">
      <c r="A369" s="41"/>
      <c r="B369" s="42"/>
      <c r="C369" s="35" t="s">
        <v>28</v>
      </c>
      <c r="D369" s="36"/>
      <c r="E369" s="36"/>
      <c r="F369" s="36"/>
      <c r="G369" s="36"/>
      <c r="H369" s="36"/>
      <c r="I369" s="36"/>
      <c r="J369" s="36"/>
      <c r="K369" s="34"/>
      <c r="L369" s="6"/>
      <c r="M369" s="25"/>
      <c r="N369" s="6"/>
      <c r="O369" s="6"/>
      <c r="P369" s="6"/>
      <c r="Q369" s="6"/>
      <c r="R369" s="6"/>
      <c r="S369" s="6"/>
      <c r="T369" s="6"/>
      <c r="U369" s="6"/>
      <c r="V369" s="20"/>
      <c r="W369" s="20"/>
      <c r="X369" s="20"/>
      <c r="Y369" s="20"/>
      <c r="Z369" s="20"/>
      <c r="AA369" s="20"/>
      <c r="AB369" s="20"/>
      <c r="AD369" s="6"/>
      <c r="AE369" s="6"/>
      <c r="AF369" s="6"/>
      <c r="AG369" s="6"/>
      <c r="AH369" s="6"/>
      <c r="AI369" s="6"/>
      <c r="AJ369" s="6"/>
    </row>
    <row r="370" spans="1:36" x14ac:dyDescent="0.2">
      <c r="A370" s="37" t="s">
        <v>126</v>
      </c>
      <c r="B370" s="38" t="s">
        <v>127</v>
      </c>
      <c r="C370" s="14" t="s">
        <v>0</v>
      </c>
      <c r="D370" s="26"/>
      <c r="E370" s="26"/>
      <c r="F370" s="26">
        <v>0.77083333333333337</v>
      </c>
      <c r="G370" s="26"/>
      <c r="H370" s="26"/>
      <c r="I370" s="26"/>
      <c r="J370" s="26"/>
      <c r="K370" s="16"/>
      <c r="L370" s="6"/>
      <c r="M370" s="21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D370" s="6">
        <f>IF((D370&lt;&gt;"")*(D374=""),IF((D370&lt;=#REF!)*((D371&gt;=#REF!)+(D371&lt;2/24)),1,0),0)</f>
        <v>0</v>
      </c>
      <c r="AE370" s="6">
        <f>IF((E370&lt;&gt;"")*(E374=""),IF((E370&lt;=#REF!)*((E371&gt;=#REF!)+(E371&lt;2/24)),1,0),0)</f>
        <v>0</v>
      </c>
      <c r="AF370" s="6" t="e">
        <f>IF((F370&lt;&gt;"")*(F374=""),IF((F370&lt;=#REF!)*((F371&gt;=#REF!)+(F371&lt;2/24)),1,0),0)</f>
        <v>#REF!</v>
      </c>
      <c r="AG370" s="6">
        <f>IF((G370&lt;&gt;"")*(G374=""),IF((G370&lt;=#REF!)*((G371&gt;=#REF!)+(G371&lt;2/24)),1,0),0)</f>
        <v>0</v>
      </c>
      <c r="AH370" s="6">
        <f>IF((H370&lt;&gt;"")*(H374=""),IF((H370&lt;=#REF!)*((H371&gt;=#REF!)+(H371&lt;2/24)),1,0),0)</f>
        <v>0</v>
      </c>
      <c r="AI370" s="6">
        <f>IF((I370&lt;&gt;"")*(I374=""),IF((I370&lt;=#REF!)*((I371&gt;=#REF!)+(I371&lt;2/24)),1,0),0)</f>
        <v>0</v>
      </c>
      <c r="AJ370" s="6">
        <f>IF((J370&lt;&gt;"")*(J374=""),IF((J370&lt;=#REF!)*((J371&gt;=#REF!)+(J371&lt;2/24)),1,0),0)</f>
        <v>0</v>
      </c>
    </row>
    <row r="371" spans="1:36" x14ac:dyDescent="0.2">
      <c r="A371" s="39"/>
      <c r="B371" s="40"/>
      <c r="C371" s="15" t="s">
        <v>1</v>
      </c>
      <c r="D371" s="27"/>
      <c r="E371" s="27"/>
      <c r="F371" s="27">
        <v>0.95833333333333337</v>
      </c>
      <c r="G371" s="27"/>
      <c r="H371" s="27"/>
      <c r="I371" s="27"/>
      <c r="J371" s="27"/>
      <c r="K371" s="17"/>
      <c r="L371" s="6"/>
      <c r="M371" s="21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D371" s="6">
        <f>IF((D370&lt;&gt;"")*(D374=""),IF((D370&lt;=#REF!)*((D371&gt;=#REF!)+(D371&lt;2/24)),1,0),0)</f>
        <v>0</v>
      </c>
      <c r="AE371" s="6">
        <f>IF((E370&lt;&gt;"")*(E374=""),IF((E370&lt;=#REF!)*((E371&gt;=#REF!)+(E371&lt;2/24)),1,0),0)</f>
        <v>0</v>
      </c>
      <c r="AF371" s="6" t="e">
        <f>IF((F370&lt;&gt;"")*(F374=""),IF((F370&lt;=#REF!)*((F371&gt;=#REF!)+(F371&lt;2/24)),1,0),0)</f>
        <v>#REF!</v>
      </c>
      <c r="AG371" s="6">
        <f>IF((G370&lt;&gt;"")*(G374=""),IF((G370&lt;=#REF!)*((G371&gt;=#REF!)+(G371&lt;2/24)),1,0),0)</f>
        <v>0</v>
      </c>
      <c r="AH371" s="6">
        <f>IF((H370&lt;&gt;"")*(H374=""),IF((H370&lt;=#REF!)*((H371&gt;=#REF!)+(H371&lt;2/24)),1,0),0)</f>
        <v>0</v>
      </c>
      <c r="AI371" s="6">
        <f>IF((I370&lt;&gt;"")*(I374=""),IF((I370&lt;=#REF!)*((I371&gt;=#REF!)+(I371&lt;2/24)),1,0),0)</f>
        <v>0</v>
      </c>
      <c r="AJ371" s="6">
        <f>IF((J370&lt;&gt;"")*(J374=""),IF((J370&lt;=#REF!)*((J371&gt;=#REF!)+(J371&lt;2/24)),1,0),0)</f>
        <v>0</v>
      </c>
    </row>
    <row r="372" spans="1:36" x14ac:dyDescent="0.2">
      <c r="A372" s="64" t="s">
        <v>175</v>
      </c>
      <c r="B372" s="40"/>
      <c r="C372" s="15" t="s">
        <v>2</v>
      </c>
      <c r="D372" s="4"/>
      <c r="E372" s="4"/>
      <c r="F372" s="4"/>
      <c r="G372" s="4"/>
      <c r="H372" s="4"/>
      <c r="I372" s="4"/>
      <c r="J372" s="4"/>
      <c r="K372" s="17"/>
      <c r="L372" s="6"/>
      <c r="M372" s="21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D372" s="6">
        <f>IF((D370&lt;&gt;"")*(D374=""),IF((D370&lt;=#REF!)*((D371&gt;=#REF!)+(D371&lt;2/24)),1,0),0)</f>
        <v>0</v>
      </c>
      <c r="AE372" s="6">
        <f>IF((E370&lt;&gt;"")*(E374=""),IF((E370&lt;=#REF!)*((E371&gt;=#REF!)+(E371&lt;2/24)),1,0),0)</f>
        <v>0</v>
      </c>
      <c r="AF372" s="6" t="e">
        <f>IF((F370&lt;&gt;"")*(F374=""),IF((F370&lt;=#REF!)*((F371&gt;=#REF!)+(F371&lt;2/24)),1,0),0)</f>
        <v>#REF!</v>
      </c>
      <c r="AG372" s="6">
        <f>IF((G370&lt;&gt;"")*(G374=""),IF((G370&lt;=#REF!)*((G371&gt;=#REF!)+(G371&lt;2/24)),1,0),0)</f>
        <v>0</v>
      </c>
      <c r="AH372" s="6">
        <f>IF((H370&lt;&gt;"")*(H374=""),IF((H370&lt;=#REF!)*((H371&gt;=#REF!)+(H371&lt;2/24)),1,0),0)</f>
        <v>0</v>
      </c>
      <c r="AI372" s="6">
        <f>IF((I370&lt;&gt;"")*(I374=""),IF((I370&lt;=#REF!)*((I371&gt;=#REF!)+(I371&lt;2/24)),1,0),0)</f>
        <v>0</v>
      </c>
      <c r="AJ372" s="6">
        <f>IF((J370&lt;&gt;"")*(J374=""),IF((J370&lt;=#REF!)*((J371&gt;=#REF!)+(J371&lt;2/24)),1,0),0)</f>
        <v>0</v>
      </c>
    </row>
    <row r="373" spans="1:36" x14ac:dyDescent="0.2">
      <c r="A373" s="64" t="s">
        <v>150</v>
      </c>
      <c r="B373" s="40"/>
      <c r="C373" s="15" t="s">
        <v>3</v>
      </c>
      <c r="D373" s="55" t="str">
        <f t="shared" ref="D373:I373" si="375">IF(D370="","",IF(D371&gt;D370,(D371-D370-D372)*24,(1-D370-D372+D371)*24))</f>
        <v/>
      </c>
      <c r="E373" s="43" t="str">
        <f t="shared" si="375"/>
        <v/>
      </c>
      <c r="F373" s="43">
        <f t="shared" si="375"/>
        <v>4.5</v>
      </c>
      <c r="G373" s="43" t="str">
        <f t="shared" si="375"/>
        <v/>
      </c>
      <c r="H373" s="43" t="str">
        <f t="shared" si="375"/>
        <v/>
      </c>
      <c r="I373" s="43" t="str">
        <f t="shared" si="375"/>
        <v/>
      </c>
      <c r="J373" s="44"/>
      <c r="K373" s="18">
        <f>SUMIF(D374:J374,"",D373:J373)</f>
        <v>4.5</v>
      </c>
      <c r="L373" s="12">
        <f>SUM(D373:J373)</f>
        <v>4.5</v>
      </c>
      <c r="M373" s="24"/>
      <c r="N373" s="10" t="str">
        <f t="shared" ref="N373" si="376">IF(D374="",D373,0)</f>
        <v/>
      </c>
      <c r="O373" s="10" t="str">
        <f t="shared" ref="O373" si="377">IF(E374="",E373,0)</f>
        <v/>
      </c>
      <c r="P373" s="10">
        <f t="shared" ref="P373" si="378">IF(F374="",F373,0)</f>
        <v>4.5</v>
      </c>
      <c r="Q373" s="10" t="str">
        <f t="shared" ref="Q373" si="379">IF(G374="",G373,0)</f>
        <v/>
      </c>
      <c r="R373" s="10" t="str">
        <f t="shared" ref="R373" si="380">IF(H374="",H373,0)</f>
        <v/>
      </c>
      <c r="S373" s="10" t="str">
        <f t="shared" ref="S373" si="381">IF(I374="",I373,0)</f>
        <v/>
      </c>
      <c r="T373" s="10">
        <f t="shared" ref="T373" si="382">IF(J374="",J373,0)</f>
        <v>0</v>
      </c>
      <c r="U373" s="10"/>
      <c r="V373" s="10" t="str">
        <f t="shared" ref="V373" si="383">D373</f>
        <v/>
      </c>
      <c r="W373" s="10" t="str">
        <f t="shared" ref="W373" si="384">E373</f>
        <v/>
      </c>
      <c r="X373" s="10">
        <f t="shared" ref="X373" si="385">F373</f>
        <v>4.5</v>
      </c>
      <c r="Y373" s="10" t="str">
        <f t="shared" ref="Y373" si="386">G373</f>
        <v/>
      </c>
      <c r="Z373" s="10" t="str">
        <f t="shared" ref="Z373" si="387">H373</f>
        <v/>
      </c>
      <c r="AA373" s="10" t="str">
        <f t="shared" ref="AA373" si="388">I373</f>
        <v/>
      </c>
      <c r="AB373" s="10">
        <f t="shared" ref="AB373" si="389">J373</f>
        <v>0</v>
      </c>
      <c r="AD373" s="6">
        <f>IF((D370&lt;&gt;"")*(D374=""),IF((D370&lt;=#REF!)*((D371&gt;=#REF!)+(D371&lt;2/24)),1,0),0)</f>
        <v>0</v>
      </c>
      <c r="AE373" s="6">
        <f>IF((E370&lt;&gt;"")*(E374=""),IF((E370&lt;=#REF!)*((E371&gt;=#REF!)+(E371&lt;2/24)),1,0),0)</f>
        <v>0</v>
      </c>
      <c r="AF373" s="6" t="e">
        <f>IF((F370&lt;&gt;"")*(F374=""),IF((F370&lt;=#REF!)*((F371&gt;=#REF!)+(F371&lt;2/24)),1,0),0)</f>
        <v>#REF!</v>
      </c>
      <c r="AG373" s="6">
        <f>IF((G370&lt;&gt;"")*(G374=""),IF((G370&lt;=#REF!)*((G371&gt;=#REF!)+(G371&lt;2/24)),1,0),0)</f>
        <v>0</v>
      </c>
      <c r="AH373" s="6">
        <f>IF((H370&lt;&gt;"")*(H374=""),IF((H370&lt;=#REF!)*((H371&gt;=#REF!)+(H371&lt;2/24)),1,0),0)</f>
        <v>0</v>
      </c>
      <c r="AI373" s="6">
        <f>IF((I370&lt;&gt;"")*(I374=""),IF((I370&lt;=#REF!)*((I371&gt;=#REF!)+(I371&lt;2/24)),1,0),0)</f>
        <v>0</v>
      </c>
      <c r="AJ373" s="6">
        <f>IF((J370&lt;&gt;"")*(J374=""),IF((J370&lt;=#REF!)*((J371&gt;=#REF!)+(J371&lt;2/24)),1,0),0)</f>
        <v>0</v>
      </c>
    </row>
    <row r="374" spans="1:36" x14ac:dyDescent="0.2">
      <c r="A374" s="64"/>
      <c r="B374" s="40"/>
      <c r="C374" s="32" t="s">
        <v>4</v>
      </c>
      <c r="D374" s="33"/>
      <c r="E374" s="33"/>
      <c r="F374" s="33"/>
      <c r="G374" s="33"/>
      <c r="H374" s="33"/>
      <c r="I374" s="33"/>
      <c r="J374" s="33"/>
      <c r="K374" s="17"/>
      <c r="L374" s="6"/>
      <c r="M374" s="25"/>
      <c r="N374" s="6"/>
      <c r="O374" s="6"/>
      <c r="P374" s="6"/>
      <c r="Q374" s="6"/>
      <c r="R374" s="6"/>
      <c r="S374" s="6"/>
      <c r="T374" s="6"/>
      <c r="U374" s="6"/>
      <c r="V374" s="20"/>
      <c r="W374" s="20"/>
      <c r="X374" s="20"/>
      <c r="Y374" s="20"/>
      <c r="Z374" s="20"/>
      <c r="AA374" s="20"/>
      <c r="AB374" s="20"/>
      <c r="AD374" s="6">
        <f>IF((D370&lt;&gt;"")*(D374=""),IF((D370&lt;=#REF!)*((D371&gt;=#REF!)+(D371&lt;2/24)),1,0),0)</f>
        <v>0</v>
      </c>
      <c r="AE374" s="6">
        <f>IF((E370&lt;&gt;"")*(E374=""),IF((E370&lt;=#REF!)*((E371&gt;=#REF!)+(E371&lt;2/24)),1,0),0)</f>
        <v>0</v>
      </c>
      <c r="AF374" s="6" t="e">
        <f>IF((F370&lt;&gt;"")*(F374=""),IF((F370&lt;=#REF!)*((F371&gt;=#REF!)+(F371&lt;2/24)),1,0),0)</f>
        <v>#REF!</v>
      </c>
      <c r="AG374" s="6">
        <f>IF((G370&lt;&gt;"")*(G374=""),IF((G370&lt;=#REF!)*((G371&gt;=#REF!)+(G371&lt;2/24)),1,0),0)</f>
        <v>0</v>
      </c>
      <c r="AH374" s="6">
        <f>IF((H370&lt;&gt;"")*(H374=""),IF((H370&lt;=#REF!)*((H371&gt;=#REF!)+(H371&lt;2/24)),1,0),0)</f>
        <v>0</v>
      </c>
      <c r="AI374" s="6">
        <f>IF((I370&lt;&gt;"")*(I374=""),IF((I370&lt;=#REF!)*((I371&gt;=#REF!)+(I371&lt;2/24)),1,0),0)</f>
        <v>0</v>
      </c>
      <c r="AJ374" s="6">
        <f>IF((J370&lt;&gt;"")*(J374=""),IF((J370&lt;=#REF!)*((J371&gt;=#REF!)+(J371&lt;2/24)),1,0),0)</f>
        <v>0</v>
      </c>
    </row>
    <row r="375" spans="1:36" ht="13.5" thickBot="1" x14ac:dyDescent="0.25">
      <c r="A375" s="41"/>
      <c r="B375" s="42"/>
      <c r="C375" s="35" t="s">
        <v>28</v>
      </c>
      <c r="D375" s="36"/>
      <c r="E375" s="36"/>
      <c r="F375" s="36"/>
      <c r="G375" s="36"/>
      <c r="H375" s="36"/>
      <c r="I375" s="36"/>
      <c r="J375" s="36"/>
      <c r="K375" s="34"/>
      <c r="L375" s="6"/>
      <c r="M375" s="25"/>
      <c r="N375" s="6"/>
      <c r="O375" s="6"/>
      <c r="P375" s="6"/>
      <c r="Q375" s="6"/>
      <c r="R375" s="6"/>
      <c r="S375" s="6"/>
      <c r="T375" s="6"/>
      <c r="U375" s="6"/>
      <c r="V375" s="20"/>
      <c r="W375" s="20"/>
      <c r="X375" s="20"/>
      <c r="Y375" s="20"/>
      <c r="Z375" s="20"/>
      <c r="AA375" s="20"/>
      <c r="AB375" s="20"/>
      <c r="AD375" s="6"/>
      <c r="AE375" s="6"/>
      <c r="AF375" s="6"/>
      <c r="AG375" s="6"/>
      <c r="AH375" s="6"/>
      <c r="AI375" s="6"/>
      <c r="AJ375" s="6"/>
    </row>
    <row r="376" spans="1:36" x14ac:dyDescent="0.2">
      <c r="A376" s="37" t="s">
        <v>86</v>
      </c>
      <c r="B376" s="38" t="s">
        <v>87</v>
      </c>
      <c r="C376" s="14" t="s">
        <v>0</v>
      </c>
      <c r="D376" s="26"/>
      <c r="E376" s="26">
        <v>0.54166666666666663</v>
      </c>
      <c r="F376" s="26"/>
      <c r="G376" s="26"/>
      <c r="H376" s="26"/>
      <c r="I376" s="26"/>
      <c r="J376" s="26">
        <v>0.54166666666666663</v>
      </c>
      <c r="K376" s="16"/>
      <c r="L376" s="6"/>
      <c r="M376" s="21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D376" s="6">
        <f>IF((D376&lt;&gt;"")*(D380=""),IF((D376&lt;=$B$440)*((D377&gt;=$C$440)+(D377&lt;2/24)),1,0),0)</f>
        <v>0</v>
      </c>
      <c r="AE376" s="6">
        <f>IF((E376&lt;&gt;"")*(E380=""),IF((E376&lt;=$B$440)*((E377&gt;=$C$440)+(E377&lt;2/24)),1,0),0)</f>
        <v>0</v>
      </c>
      <c r="AF376" s="6">
        <f>IF((F376&lt;&gt;"")*(F380=""),IF((F376&lt;=$B$440)*((F377&gt;=$C$440)+(F377&lt;2/24)),1,0),0)</f>
        <v>0</v>
      </c>
      <c r="AG376" s="6">
        <f>IF((G376&lt;&gt;"")*(G380=""),IF((G376&lt;=$B$440)*((G377&gt;=$C$440)+(G377&lt;2/24)),1,0),0)</f>
        <v>0</v>
      </c>
      <c r="AH376" s="6">
        <f>IF((H376&lt;&gt;"")*(H380=""),IF((H376&lt;=$B$440)*((H377&gt;=$C$440)+(H377&lt;2/24)),1,0),0)</f>
        <v>0</v>
      </c>
      <c r="AI376" s="6">
        <f>IF((I376&lt;&gt;"")*(I380=""),IF((I376&lt;=$B$440)*((I377&gt;=$C$440)+(I377&lt;2/24)),1,0),0)</f>
        <v>0</v>
      </c>
      <c r="AJ376" s="6">
        <f>IF((J376&lt;&gt;"")*(J380=""),IF((J376&lt;=$B$440)*((J377&gt;=$C$440)+(J377&lt;2/24)),1,0),0)</f>
        <v>0</v>
      </c>
    </row>
    <row r="377" spans="1:36" x14ac:dyDescent="0.2">
      <c r="A377" s="39"/>
      <c r="B377" s="40"/>
      <c r="C377" s="15" t="s">
        <v>1</v>
      </c>
      <c r="D377" s="27"/>
      <c r="E377" s="27">
        <v>0.75</v>
      </c>
      <c r="F377" s="27"/>
      <c r="G377" s="27"/>
      <c r="H377" s="27"/>
      <c r="I377" s="27"/>
      <c r="J377" s="27">
        <v>0.75</v>
      </c>
      <c r="K377" s="17"/>
      <c r="L377" s="6"/>
      <c r="M377" s="21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D377" s="6">
        <f>IF((D376&lt;&gt;"")*(D380=""),IF((D376&lt;=$B$441)*((D377&gt;=$C$441)+(D377&lt;2/24)),1,0),0)</f>
        <v>0</v>
      </c>
      <c r="AE377" s="6">
        <f>IF((E376&lt;&gt;"")*(E380=""),IF((E376&lt;=$B$441)*((E377&gt;=$C$441)+(E377&lt;2/24)),1,0),0)</f>
        <v>1</v>
      </c>
      <c r="AF377" s="6">
        <f>IF((F376&lt;&gt;"")*(F380=""),IF((F376&lt;=$B$441)*((F377&gt;=$C$441)+(F377&lt;2/24)),1,0),0)</f>
        <v>0</v>
      </c>
      <c r="AG377" s="6">
        <f>IF((G376&lt;&gt;"")*(G380=""),IF((G376&lt;=$B$441)*((G377&gt;=$C$441)+(G377&lt;2/24)),1,0),0)</f>
        <v>0</v>
      </c>
      <c r="AH377" s="6">
        <f>IF((H376&lt;&gt;"")*(H380=""),IF((H376&lt;=$B$441)*((H377&gt;=$C$441)+(H377&lt;2/24)),1,0),0)</f>
        <v>0</v>
      </c>
      <c r="AI377" s="6">
        <f>IF((I376&lt;&gt;"")*(I380=""),IF((I376&lt;=$B$441)*((I377&gt;=$C$441)+(I377&lt;2/24)),1,0),0)</f>
        <v>0</v>
      </c>
      <c r="AJ377" s="6">
        <f>IF((J376&lt;&gt;"")*(J380=""),IF((J376&lt;=$B$441)*((J377&gt;=$C$441)+(J377&lt;2/24)),1,0),0)</f>
        <v>1</v>
      </c>
    </row>
    <row r="378" spans="1:36" x14ac:dyDescent="0.2">
      <c r="A378" s="64" t="s">
        <v>174</v>
      </c>
      <c r="B378" s="40"/>
      <c r="C378" s="15" t="s">
        <v>2</v>
      </c>
      <c r="D378" s="4"/>
      <c r="E378" s="4"/>
      <c r="F378" s="4"/>
      <c r="G378" s="4"/>
      <c r="H378" s="4"/>
      <c r="I378" s="4"/>
      <c r="J378" s="4"/>
      <c r="K378" s="17"/>
      <c r="L378" s="6"/>
      <c r="M378" s="21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D378" s="6">
        <f>IF((D376&lt;&gt;"")*(D380=""),IF((D376&lt;=$B$442)*((D377&gt;=$C$442)+(D377&lt;2/24)),1,0),0)</f>
        <v>0</v>
      </c>
      <c r="AE378" s="6">
        <f>IF((E376&lt;&gt;"")*(E380=""),IF((E376&lt;=$B$442)*((E377&gt;=$C$442)+(E377&lt;2/24)),1,0),0)</f>
        <v>0</v>
      </c>
      <c r="AF378" s="6">
        <f>IF((F376&lt;&gt;"")*(F380=""),IF((F376&lt;=$B$442)*((F377&gt;=$C$442)+(F377&lt;2/24)),1,0),0)</f>
        <v>0</v>
      </c>
      <c r="AG378" s="6">
        <f>IF((G376&lt;&gt;"")*(G380=""),IF((G376&lt;=$B$442)*((G377&gt;=$C$442)+(G377&lt;2/24)),1,0),0)</f>
        <v>0</v>
      </c>
      <c r="AH378" s="6">
        <f>IF((H376&lt;&gt;"")*(H380=""),IF((H376&lt;=$B$442)*((H377&gt;=$C$442)+(H377&lt;2/24)),1,0),0)</f>
        <v>0</v>
      </c>
      <c r="AI378" s="6">
        <f>IF((I376&lt;&gt;"")*(I380=""),IF((I376&lt;=$B$442)*((I377&gt;=$C$442)+(I377&lt;2/24)),1,0),0)</f>
        <v>0</v>
      </c>
      <c r="AJ378" s="6">
        <f>IF((J376&lt;&gt;"")*(J380=""),IF((J376&lt;=$B$442)*((J377&gt;=$C$442)+(J377&lt;2/24)),1,0),0)</f>
        <v>0</v>
      </c>
    </row>
    <row r="379" spans="1:36" x14ac:dyDescent="0.2">
      <c r="A379" s="64" t="s">
        <v>150</v>
      </c>
      <c r="B379" s="40"/>
      <c r="C379" s="15" t="s">
        <v>3</v>
      </c>
      <c r="D379" s="43" t="str">
        <f t="shared" ref="D379:J379" si="390">IF(D376="","",IF(D377&gt;D376,(D377-D376-D378)*24,(1-D376-D378+D377)*24))</f>
        <v/>
      </c>
      <c r="E379" s="43">
        <f t="shared" si="390"/>
        <v>5.0000000000000009</v>
      </c>
      <c r="F379" s="43" t="str">
        <f t="shared" si="390"/>
        <v/>
      </c>
      <c r="G379" s="43" t="str">
        <f t="shared" si="390"/>
        <v/>
      </c>
      <c r="H379" s="43" t="str">
        <f t="shared" si="390"/>
        <v/>
      </c>
      <c r="I379" s="43" t="str">
        <f t="shared" si="390"/>
        <v/>
      </c>
      <c r="J379" s="44">
        <f t="shared" si="390"/>
        <v>5.0000000000000009</v>
      </c>
      <c r="K379" s="18">
        <f>SUMIF(D380:J380,"",D379:J379)</f>
        <v>10.000000000000002</v>
      </c>
      <c r="L379" s="12">
        <f>SUM(D379:J379)</f>
        <v>10.000000000000002</v>
      </c>
      <c r="M379" s="24"/>
      <c r="N379" s="10" t="str">
        <f t="shared" ref="N379" si="391">IF(D380="",D379,0)</f>
        <v/>
      </c>
      <c r="O379" s="10">
        <f t="shared" ref="O379" si="392">IF(E380="",E379,0)</f>
        <v>5.0000000000000009</v>
      </c>
      <c r="P379" s="10" t="str">
        <f t="shared" ref="P379" si="393">IF(F380="",F379,0)</f>
        <v/>
      </c>
      <c r="Q379" s="10" t="str">
        <f t="shared" ref="Q379" si="394">IF(G380="",G379,0)</f>
        <v/>
      </c>
      <c r="R379" s="10" t="str">
        <f t="shared" ref="R379" si="395">IF(H380="",H379,0)</f>
        <v/>
      </c>
      <c r="S379" s="10" t="str">
        <f t="shared" ref="S379" si="396">IF(I380="",I379,0)</f>
        <v/>
      </c>
      <c r="T379" s="10">
        <f t="shared" ref="T379" si="397">IF(J380="",J379,0)</f>
        <v>5.0000000000000009</v>
      </c>
      <c r="U379" s="10"/>
      <c r="V379" s="10" t="str">
        <f t="shared" ref="V379" si="398">D379</f>
        <v/>
      </c>
      <c r="W379" s="10">
        <f t="shared" ref="W379" si="399">E379</f>
        <v>5.0000000000000009</v>
      </c>
      <c r="X379" s="10" t="str">
        <f t="shared" ref="X379" si="400">F379</f>
        <v/>
      </c>
      <c r="Y379" s="10" t="str">
        <f t="shared" ref="Y379" si="401">G379</f>
        <v/>
      </c>
      <c r="Z379" s="10" t="str">
        <f t="shared" ref="Z379" si="402">H379</f>
        <v/>
      </c>
      <c r="AA379" s="10" t="str">
        <f t="shared" ref="AA379" si="403">I379</f>
        <v/>
      </c>
      <c r="AB379" s="10">
        <f t="shared" ref="AB379" si="404">J379</f>
        <v>5.0000000000000009</v>
      </c>
      <c r="AD379" s="6">
        <f>IF((D376&lt;&gt;"")*(D380=""),IF((D376&lt;=$B$443)*((D377&gt;=$C$443)+(D377&lt;2/24)),1,0),0)</f>
        <v>0</v>
      </c>
      <c r="AE379" s="6">
        <f>IF((E376&lt;&gt;"")*(E380=""),IF((E376&lt;=$B$443)*((E377&gt;=$C$443)+(E377&lt;2/24)),1,0),0)</f>
        <v>1</v>
      </c>
      <c r="AF379" s="6">
        <f>IF((F376&lt;&gt;"")*(F380=""),IF((F376&lt;=$B$443)*((F377&gt;=$C$443)+(F377&lt;2/24)),1,0),0)</f>
        <v>0</v>
      </c>
      <c r="AG379" s="6">
        <f>IF((G376&lt;&gt;"")*(G380=""),IF((G376&lt;=$B$443)*((G377&gt;=$C$443)+(G377&lt;2/24)),1,0),0)</f>
        <v>0</v>
      </c>
      <c r="AH379" s="6">
        <f>IF((H376&lt;&gt;"")*(H380=""),IF((H376&lt;=$B$443)*((H377&gt;=$C$443)+(H377&lt;2/24)),1,0),0)</f>
        <v>0</v>
      </c>
      <c r="AI379" s="6">
        <f>IF((I376&lt;&gt;"")*(I380=""),IF((I376&lt;=$B$443)*((I377&gt;=$C$443)+(I377&lt;2/24)),1,0),0)</f>
        <v>0</v>
      </c>
      <c r="AJ379" s="6">
        <f>IF((J376&lt;&gt;"")*(J380=""),IF((J376&lt;=$B$443)*((J377&gt;=$C$443)+(J377&lt;2/24)),1,0),0)</f>
        <v>1</v>
      </c>
    </row>
    <row r="380" spans="1:36" x14ac:dyDescent="0.2">
      <c r="A380" s="39"/>
      <c r="B380" s="40"/>
      <c r="C380" s="32" t="s">
        <v>4</v>
      </c>
      <c r="D380" s="33"/>
      <c r="E380" s="33"/>
      <c r="F380" s="33"/>
      <c r="G380" s="33"/>
      <c r="H380" s="33"/>
      <c r="I380" s="33"/>
      <c r="J380" s="33"/>
      <c r="K380" s="17"/>
      <c r="L380" s="6"/>
      <c r="M380" s="25"/>
      <c r="N380" s="6"/>
      <c r="O380" s="6"/>
      <c r="P380" s="6"/>
      <c r="Q380" s="6"/>
      <c r="R380" s="6"/>
      <c r="S380" s="6"/>
      <c r="T380" s="6"/>
      <c r="U380" s="6"/>
      <c r="V380" s="20"/>
      <c r="W380" s="20"/>
      <c r="X380" s="20"/>
      <c r="Y380" s="20"/>
      <c r="Z380" s="20"/>
      <c r="AA380" s="20"/>
      <c r="AB380" s="20"/>
      <c r="AD380" s="6">
        <f>IF((D376&lt;&gt;"")*(D380=""),IF((D376&lt;=$B$444)*((D377&gt;=$C$444)+(D377&lt;2/24)),1,0),0)</f>
        <v>0</v>
      </c>
      <c r="AE380" s="6">
        <f>IF((E376&lt;&gt;"")*(E380=""),IF((E376&lt;=$B$444)*((E377&gt;=$C$444)+(E377&lt;2/24)),1,0),0)</f>
        <v>1</v>
      </c>
      <c r="AF380" s="6">
        <f>IF((F376&lt;&gt;"")*(F380=""),IF((F376&lt;=$B$444)*((F377&gt;=$C$444)+(F377&lt;2/24)),1,0),0)</f>
        <v>0</v>
      </c>
      <c r="AG380" s="6">
        <f>IF((G376&lt;&gt;"")*(G380=""),IF((G376&lt;=$B$444)*((G377&gt;=$C$444)+(G377&lt;2/24)),1,0),0)</f>
        <v>0</v>
      </c>
      <c r="AH380" s="6">
        <f>IF((H376&lt;&gt;"")*(H380=""),IF((H376&lt;=$B$444)*((H377&gt;=$C$444)+(H377&lt;2/24)),1,0),0)</f>
        <v>0</v>
      </c>
      <c r="AI380" s="6">
        <f>IF((I376&lt;&gt;"")*(I380=""),IF((I376&lt;=$B$444)*((I377&gt;=$C$444)+(I377&lt;2/24)),1,0),0)</f>
        <v>0</v>
      </c>
      <c r="AJ380" s="6">
        <f>IF((J376&lt;&gt;"")*(J380=""),IF((J376&lt;=$B$444)*((J377&gt;=$C$444)+(J377&lt;2/24)),1,0),0)</f>
        <v>1</v>
      </c>
    </row>
    <row r="381" spans="1:36" ht="13.5" thickBot="1" x14ac:dyDescent="0.25">
      <c r="A381" s="41"/>
      <c r="B381" s="42"/>
      <c r="C381" s="35" t="s">
        <v>28</v>
      </c>
      <c r="D381" s="36"/>
      <c r="E381" s="36"/>
      <c r="F381" s="36"/>
      <c r="G381" s="36"/>
      <c r="H381" s="54"/>
      <c r="I381" s="36"/>
      <c r="J381" s="36"/>
      <c r="K381" s="34"/>
      <c r="L381" s="6"/>
      <c r="M381" s="25"/>
      <c r="N381" s="6"/>
      <c r="O381" s="6"/>
      <c r="P381" s="6"/>
      <c r="Q381" s="6"/>
      <c r="R381" s="6"/>
      <c r="S381" s="6"/>
      <c r="T381" s="6"/>
      <c r="U381" s="6"/>
      <c r="V381" s="20"/>
      <c r="W381" s="20"/>
      <c r="X381" s="20"/>
      <c r="Y381" s="20"/>
      <c r="Z381" s="20"/>
      <c r="AA381" s="20"/>
      <c r="AB381" s="20"/>
      <c r="AD381" s="6"/>
      <c r="AE381" s="6"/>
      <c r="AF381" s="6"/>
      <c r="AG381" s="6"/>
      <c r="AH381" s="6"/>
      <c r="AI381" s="6"/>
      <c r="AJ381" s="6"/>
    </row>
    <row r="382" spans="1:36" x14ac:dyDescent="0.2">
      <c r="A382" s="37" t="s">
        <v>110</v>
      </c>
      <c r="B382" s="38" t="s">
        <v>111</v>
      </c>
      <c r="C382" s="14" t="s">
        <v>0</v>
      </c>
      <c r="D382" s="26"/>
      <c r="E382" s="26"/>
      <c r="F382" s="26">
        <v>0.77083333333333337</v>
      </c>
      <c r="G382" s="26"/>
      <c r="H382" s="26"/>
      <c r="I382" s="26"/>
      <c r="J382" s="26"/>
      <c r="K382" s="16"/>
      <c r="L382" s="6"/>
      <c r="M382" s="21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D382" s="6">
        <f>IF((D382&lt;&gt;"")*(D386=""),IF((D382&lt;=$B$440)*((D383&gt;=$C$440)+(D383&lt;2/24)),1,0),0)</f>
        <v>0</v>
      </c>
      <c r="AE382" s="6">
        <f>IF((E382&lt;&gt;"")*(E386=""),IF((E382&lt;=$B$440)*((E383&gt;=$C$440)+(E383&lt;2/24)),1,0),0)</f>
        <v>0</v>
      </c>
      <c r="AF382" s="6">
        <f>IF((F382&lt;&gt;"")*(F386=""),IF((F382&lt;=$B$440)*((F383&gt;=$C$440)+(F383&lt;2/24)),1,0),0)</f>
        <v>0</v>
      </c>
      <c r="AG382" s="6">
        <f>IF((G382&lt;&gt;"")*(G386=""),IF((G382&lt;=$B$440)*((G383&gt;=$C$440)+(G383&lt;2/24)),1,0),0)</f>
        <v>0</v>
      </c>
      <c r="AH382" s="6">
        <f>IF((H382&lt;&gt;"")*(H386=""),IF((H382&lt;=$B$440)*((H383&gt;=$C$440)+(H383&lt;2/24)),1,0),0)</f>
        <v>0</v>
      </c>
      <c r="AI382" s="6">
        <f>IF((I382&lt;&gt;"")*(I386=""),IF((I382&lt;=$B$440)*((I383&gt;=$C$440)+(I383&lt;2/24)),1,0),0)</f>
        <v>0</v>
      </c>
      <c r="AJ382" s="6">
        <f>IF((J382&lt;&gt;"")*(J386=""),IF((J382&lt;=$B$440)*((J383&gt;=$C$440)+(J383&lt;2/24)),1,0),0)</f>
        <v>0</v>
      </c>
    </row>
    <row r="383" spans="1:36" x14ac:dyDescent="0.2">
      <c r="A383" s="39"/>
      <c r="B383" s="40"/>
      <c r="C383" s="15" t="s">
        <v>1</v>
      </c>
      <c r="D383" s="27"/>
      <c r="E383" s="27"/>
      <c r="F383" s="27">
        <v>0.95833333333333337</v>
      </c>
      <c r="G383" s="27"/>
      <c r="H383" s="27"/>
      <c r="I383" s="27"/>
      <c r="J383" s="27"/>
      <c r="K383" s="17"/>
      <c r="L383" s="6"/>
      <c r="M383" s="21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D383" s="6">
        <f>IF((D382&lt;&gt;"")*(D386=""),IF((D382&lt;=$B$441)*((D383&gt;=$C$441)+(D383&lt;2/24)),1,0),0)</f>
        <v>0</v>
      </c>
      <c r="AE383" s="6">
        <f>IF((E382&lt;&gt;"")*(E386=""),IF((E382&lt;=$B$441)*((E383&gt;=$C$441)+(E383&lt;2/24)),1,0),0)</f>
        <v>0</v>
      </c>
      <c r="AF383" s="6">
        <f>IF((F382&lt;&gt;"")*(F386=""),IF((F382&lt;=$B$441)*((F383&gt;=$C$441)+(F383&lt;2/24)),1,0),0)</f>
        <v>0</v>
      </c>
      <c r="AG383" s="6">
        <f>IF((G382&lt;&gt;"")*(G386=""),IF((G382&lt;=$B$441)*((G383&gt;=$C$441)+(G383&lt;2/24)),1,0),0)</f>
        <v>0</v>
      </c>
      <c r="AH383" s="6">
        <f>IF((H382&lt;&gt;"")*(H386=""),IF((H382&lt;=$B$441)*((H383&gt;=$C$441)+(H383&lt;2/24)),1,0),0)</f>
        <v>0</v>
      </c>
      <c r="AI383" s="6">
        <f>IF((I382&lt;&gt;"")*(I386=""),IF((I382&lt;=$B$441)*((I383&gt;=$C$441)+(I383&lt;2/24)),1,0),0)</f>
        <v>0</v>
      </c>
      <c r="AJ383" s="6">
        <f>IF((J382&lt;&gt;"")*(J386=""),IF((J382&lt;=$B$441)*((J383&gt;=$C$441)+(J383&lt;2/24)),1,0),0)</f>
        <v>0</v>
      </c>
    </row>
    <row r="384" spans="1:36" x14ac:dyDescent="0.2">
      <c r="A384" s="64" t="s">
        <v>175</v>
      </c>
      <c r="B384" s="40"/>
      <c r="C384" s="15" t="s">
        <v>2</v>
      </c>
      <c r="D384" s="4"/>
      <c r="E384" s="4"/>
      <c r="F384" s="4"/>
      <c r="G384" s="4"/>
      <c r="H384" s="4"/>
      <c r="I384" s="4"/>
      <c r="J384" s="4"/>
      <c r="K384" s="17"/>
      <c r="L384" s="6"/>
      <c r="M384" s="21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D384" s="6">
        <f>IF((D382&lt;&gt;"")*(D386=""),IF((D382&lt;=$B$442)*((D383&gt;=$C$442)+(D383&lt;2/24)),1,0),0)</f>
        <v>0</v>
      </c>
      <c r="AE384" s="6">
        <f>IF((E382&lt;&gt;"")*(E386=""),IF((E382&lt;=$B$442)*((E383&gt;=$C$442)+(E383&lt;2/24)),1,0),0)</f>
        <v>0</v>
      </c>
      <c r="AF384" s="6">
        <f>IF((F382&lt;&gt;"")*(F386=""),IF((F382&lt;=$B$442)*((F383&gt;=$C$442)+(F383&lt;2/24)),1,0),0)</f>
        <v>1</v>
      </c>
      <c r="AG384" s="6">
        <f>IF((G382&lt;&gt;"")*(G386=""),IF((G382&lt;=$B$442)*((G383&gt;=$C$442)+(G383&lt;2/24)),1,0),0)</f>
        <v>0</v>
      </c>
      <c r="AH384" s="6">
        <f>IF((H382&lt;&gt;"")*(H386=""),IF((H382&lt;=$B$442)*((H383&gt;=$C$442)+(H383&lt;2/24)),1,0),0)</f>
        <v>0</v>
      </c>
      <c r="AI384" s="6">
        <f>IF((I382&lt;&gt;"")*(I386=""),IF((I382&lt;=$B$442)*((I383&gt;=$C$442)+(I383&lt;2/24)),1,0),0)</f>
        <v>0</v>
      </c>
      <c r="AJ384" s="6">
        <f>IF((J382&lt;&gt;"")*(J386=""),IF((J382&lt;=$B$442)*((J383&gt;=$C$442)+(J383&lt;2/24)),1,0),0)</f>
        <v>0</v>
      </c>
    </row>
    <row r="385" spans="1:36" x14ac:dyDescent="0.2">
      <c r="A385" s="64" t="s">
        <v>150</v>
      </c>
      <c r="B385" s="40"/>
      <c r="C385" s="15" t="s">
        <v>3</v>
      </c>
      <c r="D385" s="43" t="str">
        <f t="shared" ref="D385:J385" si="405">IF(D382="","",IF(D383&gt;D382,(D383-D382-D384)*24,(1-D382-D384+D383)*24))</f>
        <v/>
      </c>
      <c r="E385" s="43" t="str">
        <f t="shared" si="405"/>
        <v/>
      </c>
      <c r="F385" s="43">
        <f t="shared" si="405"/>
        <v>4.5</v>
      </c>
      <c r="G385" s="43" t="str">
        <f t="shared" si="405"/>
        <v/>
      </c>
      <c r="H385" s="43" t="str">
        <f t="shared" si="405"/>
        <v/>
      </c>
      <c r="I385" s="43" t="str">
        <f t="shared" si="405"/>
        <v/>
      </c>
      <c r="J385" s="44" t="str">
        <f t="shared" si="405"/>
        <v/>
      </c>
      <c r="K385" s="18">
        <f>SUMIF(D386:J386,"",D385:J385)</f>
        <v>4.5</v>
      </c>
      <c r="L385" s="12">
        <f>SUM(D385:J385)</f>
        <v>4.5</v>
      </c>
      <c r="M385" s="24"/>
      <c r="N385" s="10" t="str">
        <f t="shared" ref="N385" si="406">IF(D386="",D385,0)</f>
        <v/>
      </c>
      <c r="O385" s="10" t="str">
        <f t="shared" ref="O385" si="407">IF(E386="",E385,0)</f>
        <v/>
      </c>
      <c r="P385" s="10">
        <f t="shared" ref="P385" si="408">IF(F386="",F385,0)</f>
        <v>4.5</v>
      </c>
      <c r="Q385" s="10" t="str">
        <f t="shared" ref="Q385" si="409">IF(G386="",G385,0)</f>
        <v/>
      </c>
      <c r="R385" s="10" t="str">
        <f t="shared" ref="R385" si="410">IF(H386="",H385,0)</f>
        <v/>
      </c>
      <c r="S385" s="10" t="str">
        <f t="shared" ref="S385" si="411">IF(I386="",I385,0)</f>
        <v/>
      </c>
      <c r="T385" s="10" t="str">
        <f t="shared" ref="T385" si="412">IF(J386="",J385,0)</f>
        <v/>
      </c>
      <c r="U385" s="10"/>
      <c r="V385" s="10" t="str">
        <f t="shared" ref="V385" si="413">D385</f>
        <v/>
      </c>
      <c r="W385" s="10" t="str">
        <f t="shared" ref="W385" si="414">E385</f>
        <v/>
      </c>
      <c r="X385" s="10">
        <f t="shared" ref="X385" si="415">F385</f>
        <v>4.5</v>
      </c>
      <c r="Y385" s="10" t="str">
        <f t="shared" ref="Y385" si="416">G385</f>
        <v/>
      </c>
      <c r="Z385" s="10" t="str">
        <f t="shared" ref="Z385" si="417">H385</f>
        <v/>
      </c>
      <c r="AA385" s="10" t="str">
        <f t="shared" ref="AA385" si="418">I385</f>
        <v/>
      </c>
      <c r="AB385" s="10" t="str">
        <f t="shared" ref="AB385" si="419">J385</f>
        <v/>
      </c>
      <c r="AD385" s="6">
        <f>IF((D382&lt;&gt;"")*(D386=""),IF((D382&lt;=$B$443)*((D383&gt;=$C$443)+(D383&lt;2/24)),1,0),0)</f>
        <v>0</v>
      </c>
      <c r="AE385" s="6">
        <f>IF((E382&lt;&gt;"")*(E386=""),IF((E382&lt;=$B$443)*((E383&gt;=$C$443)+(E383&lt;2/24)),1,0),0)</f>
        <v>0</v>
      </c>
      <c r="AF385" s="6">
        <f>IF((F382&lt;&gt;"")*(F386=""),IF((F382&lt;=$B$443)*((F383&gt;=$C$443)+(F383&lt;2/24)),1,0),0)</f>
        <v>1</v>
      </c>
      <c r="AG385" s="6">
        <f>IF((G382&lt;&gt;"")*(G386=""),IF((G382&lt;=$B$443)*((G383&gt;=$C$443)+(G383&lt;2/24)),1,0),0)</f>
        <v>0</v>
      </c>
      <c r="AH385" s="6">
        <f>IF((H382&lt;&gt;"")*(H386=""),IF((H382&lt;=$B$443)*((H383&gt;=$C$443)+(H383&lt;2/24)),1,0),0)</f>
        <v>0</v>
      </c>
      <c r="AI385" s="6">
        <f>IF((I382&lt;&gt;"")*(I386=""),IF((I382&lt;=$B$443)*((I383&gt;=$C$443)+(I383&lt;2/24)),1,0),0)</f>
        <v>0</v>
      </c>
      <c r="AJ385" s="6">
        <f>IF((J382&lt;&gt;"")*(J386=""),IF((J382&lt;=$B$443)*((J383&gt;=$C$443)+(J383&lt;2/24)),1,0),0)</f>
        <v>0</v>
      </c>
    </row>
    <row r="386" spans="1:36" x14ac:dyDescent="0.2">
      <c r="A386" s="39"/>
      <c r="B386" s="40"/>
      <c r="C386" s="32" t="s">
        <v>4</v>
      </c>
      <c r="D386" s="33"/>
      <c r="E386" s="33"/>
      <c r="F386" s="33"/>
      <c r="G386" s="33"/>
      <c r="H386" s="33"/>
      <c r="I386" s="33"/>
      <c r="J386" s="33"/>
      <c r="K386" s="17"/>
      <c r="L386" s="6"/>
      <c r="M386" s="25"/>
      <c r="N386" s="6"/>
      <c r="O386" s="6"/>
      <c r="P386" s="6"/>
      <c r="Q386" s="6"/>
      <c r="R386" s="6"/>
      <c r="S386" s="6"/>
      <c r="T386" s="6"/>
      <c r="U386" s="6"/>
      <c r="V386" s="20"/>
      <c r="W386" s="20"/>
      <c r="X386" s="20"/>
      <c r="Y386" s="20"/>
      <c r="Z386" s="20"/>
      <c r="AA386" s="20"/>
      <c r="AB386" s="20"/>
      <c r="AD386" s="6">
        <f>IF((D382&lt;&gt;"")*(D386=""),IF((D382&lt;=$B$444)*((D383&gt;=$C$444)+(D383&lt;2/24)),1,0),0)</f>
        <v>0</v>
      </c>
      <c r="AE386" s="6">
        <f>IF((E382&lt;&gt;"")*(E386=""),IF((E382&lt;=$B$444)*((E383&gt;=$C$444)+(E383&lt;2/24)),1,0),0)</f>
        <v>0</v>
      </c>
      <c r="AF386" s="6">
        <f>IF((F382&lt;&gt;"")*(F386=""),IF((F382&lt;=$B$444)*((F383&gt;=$C$444)+(F383&lt;2/24)),1,0),0)</f>
        <v>1</v>
      </c>
      <c r="AG386" s="6">
        <f>IF((G382&lt;&gt;"")*(G386=""),IF((G382&lt;=$B$444)*((G383&gt;=$C$444)+(G383&lt;2/24)),1,0),0)</f>
        <v>0</v>
      </c>
      <c r="AH386" s="6">
        <f>IF((H382&lt;&gt;"")*(H386=""),IF((H382&lt;=$B$444)*((H383&gt;=$C$444)+(H383&lt;2/24)),1,0),0)</f>
        <v>0</v>
      </c>
      <c r="AI386" s="6">
        <f>IF((I382&lt;&gt;"")*(I386=""),IF((I382&lt;=$B$444)*((I383&gt;=$C$444)+(I383&lt;2/24)),1,0),0)</f>
        <v>0</v>
      </c>
      <c r="AJ386" s="6">
        <f>IF((J382&lt;&gt;"")*(J386=""),IF((J382&lt;=$B$444)*((J383&gt;=$C$444)+(J383&lt;2/24)),1,0),0)</f>
        <v>0</v>
      </c>
    </row>
    <row r="387" spans="1:36" ht="13.5" thickBot="1" x14ac:dyDescent="0.25">
      <c r="A387" s="41"/>
      <c r="B387" s="42"/>
      <c r="C387" s="35" t="s">
        <v>28</v>
      </c>
      <c r="D387" s="36"/>
      <c r="E387" s="36"/>
      <c r="F387" s="36"/>
      <c r="G387" s="36"/>
      <c r="H387" s="54"/>
      <c r="I387" s="36"/>
      <c r="J387" s="36"/>
      <c r="K387" s="34"/>
      <c r="L387" s="6"/>
      <c r="M387" s="25"/>
      <c r="N387" s="6"/>
      <c r="O387" s="6"/>
      <c r="P387" s="6"/>
      <c r="Q387" s="6"/>
      <c r="R387" s="6"/>
      <c r="S387" s="6"/>
      <c r="T387" s="6"/>
      <c r="U387" s="6"/>
      <c r="V387" s="20"/>
      <c r="W387" s="20"/>
      <c r="X387" s="20"/>
      <c r="Y387" s="20"/>
      <c r="Z387" s="20"/>
      <c r="AA387" s="20"/>
      <c r="AB387" s="20"/>
      <c r="AD387" s="6"/>
      <c r="AE387" s="6"/>
      <c r="AF387" s="6"/>
      <c r="AG387" s="6"/>
      <c r="AH387" s="6"/>
      <c r="AI387" s="6"/>
      <c r="AJ387" s="6"/>
    </row>
    <row r="388" spans="1:36" x14ac:dyDescent="0.2">
      <c r="A388" s="37" t="s">
        <v>133</v>
      </c>
      <c r="B388" s="38" t="s">
        <v>134</v>
      </c>
      <c r="C388" s="14" t="s">
        <v>0</v>
      </c>
      <c r="D388" s="26"/>
      <c r="E388" s="26"/>
      <c r="F388" s="26">
        <v>0.54166666666666663</v>
      </c>
      <c r="G388" s="26"/>
      <c r="H388" s="26">
        <v>0.54166666666666663</v>
      </c>
      <c r="I388" s="26"/>
      <c r="J388" s="26"/>
      <c r="K388" s="16"/>
      <c r="L388" s="6"/>
      <c r="M388" s="21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D388" s="6">
        <f>IF((D388&lt;&gt;"")*(D392=""),IF((D388&lt;=$B$440)*((D389&gt;=$C$440)+(D389&lt;2/24)),1,0),0)</f>
        <v>0</v>
      </c>
      <c r="AE388" s="6">
        <f>IF((E388&lt;&gt;"")*(E392=""),IF((E388&lt;=$B$440)*((E389&gt;=$C$440)+(E389&lt;2/24)),1,0),0)</f>
        <v>0</v>
      </c>
      <c r="AF388" s="6">
        <f>IF((F388&lt;&gt;"")*(F392=""),IF((F388&lt;=$B$440)*((F389&gt;=$C$440)+(F389&lt;2/24)),1,0),0)</f>
        <v>0</v>
      </c>
      <c r="AG388" s="6">
        <f>IF((G388&lt;&gt;"")*(G392=""),IF((G388&lt;=$B$440)*((G389&gt;=$C$440)+(G389&lt;2/24)),1,0),0)</f>
        <v>0</v>
      </c>
      <c r="AH388" s="6">
        <f>IF((H388&lt;&gt;"")*(H392=""),IF((H388&lt;=$B$440)*((H389&gt;=$C$440)+(H389&lt;2/24)),1,0),0)</f>
        <v>0</v>
      </c>
      <c r="AI388" s="6">
        <f>IF((I388&lt;&gt;"")*(I392=""),IF((I388&lt;=$B$440)*((I389&gt;=$C$440)+(I389&lt;2/24)),1,0),0)</f>
        <v>0</v>
      </c>
      <c r="AJ388" s="6">
        <f>IF((J388&lt;&gt;"")*(J392=""),IF((J388&lt;=$B$440)*((J389&gt;=$C$440)+(J389&lt;2/24)),1,0),0)</f>
        <v>0</v>
      </c>
    </row>
    <row r="389" spans="1:36" x14ac:dyDescent="0.2">
      <c r="A389" s="39"/>
      <c r="B389" s="40"/>
      <c r="C389" s="15" t="s">
        <v>1</v>
      </c>
      <c r="D389" s="27"/>
      <c r="E389" s="27"/>
      <c r="F389" s="27">
        <v>0.75</v>
      </c>
      <c r="G389" s="27"/>
      <c r="H389" s="27">
        <v>0.75</v>
      </c>
      <c r="I389" s="27"/>
      <c r="J389" s="27"/>
      <c r="K389" s="17"/>
      <c r="L389" s="6"/>
      <c r="M389" s="21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D389" s="6">
        <f>IF((D388&lt;&gt;"")*(D392=""),IF((D388&lt;=$B$441)*((D389&gt;=$C$441)+(D389&lt;2/24)),1,0),0)</f>
        <v>0</v>
      </c>
      <c r="AE389" s="6">
        <f>IF((E388&lt;&gt;"")*(E392=""),IF((E388&lt;=$B$441)*((E389&gt;=$C$441)+(E389&lt;2/24)),1,0),0)</f>
        <v>0</v>
      </c>
      <c r="AF389" s="6">
        <f>IF((F388&lt;&gt;"")*(F392=""),IF((F388&lt;=$B$441)*((F389&gt;=$C$441)+(F389&lt;2/24)),1,0),0)</f>
        <v>1</v>
      </c>
      <c r="AG389" s="6">
        <f>IF((G388&lt;&gt;"")*(G392=""),IF((G388&lt;=$B$441)*((G389&gt;=$C$441)+(G389&lt;2/24)),1,0),0)</f>
        <v>0</v>
      </c>
      <c r="AH389" s="6">
        <f>IF((H388&lt;&gt;"")*(H392=""),IF((H388&lt;=$B$441)*((H389&gt;=$C$441)+(H389&lt;2/24)),1,0),0)</f>
        <v>1</v>
      </c>
      <c r="AI389" s="6">
        <f>IF((I388&lt;&gt;"")*(I392=""),IF((I388&lt;=$B$441)*((I389&gt;=$C$441)+(I389&lt;2/24)),1,0),0)</f>
        <v>0</v>
      </c>
      <c r="AJ389" s="6">
        <f>IF((J388&lt;&gt;"")*(J392=""),IF((J388&lt;=$B$441)*((J389&gt;=$C$441)+(J389&lt;2/24)),1,0),0)</f>
        <v>0</v>
      </c>
    </row>
    <row r="390" spans="1:36" x14ac:dyDescent="0.2">
      <c r="A390" s="64" t="s">
        <v>169</v>
      </c>
      <c r="B390" s="40"/>
      <c r="C390" s="15" t="s">
        <v>2</v>
      </c>
      <c r="D390" s="4"/>
      <c r="E390" s="4"/>
      <c r="F390" s="4"/>
      <c r="G390" s="4"/>
      <c r="H390" s="4"/>
      <c r="I390" s="4"/>
      <c r="J390" s="4"/>
      <c r="K390" s="17"/>
      <c r="L390" s="6"/>
      <c r="M390" s="21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D390" s="6">
        <f>IF((D388&lt;&gt;"")*(D392=""),IF((D388&lt;=$B$442)*((D389&gt;=$C$442)+(D389&lt;2/24)),1,0),0)</f>
        <v>0</v>
      </c>
      <c r="AE390" s="6">
        <f>IF((E388&lt;&gt;"")*(E392=""),IF((E388&lt;=$B$442)*((E389&gt;=$C$442)+(E389&lt;2/24)),1,0),0)</f>
        <v>0</v>
      </c>
      <c r="AF390" s="6">
        <f>IF((F388&lt;&gt;"")*(F392=""),IF((F388&lt;=$B$442)*((F389&gt;=$C$442)+(F389&lt;2/24)),1,0),0)</f>
        <v>0</v>
      </c>
      <c r="AG390" s="6">
        <f>IF((G388&lt;&gt;"")*(G392=""),IF((G388&lt;=$B$442)*((G389&gt;=$C$442)+(G389&lt;2/24)),1,0),0)</f>
        <v>0</v>
      </c>
      <c r="AH390" s="6">
        <f>IF((H388&lt;&gt;"")*(H392=""),IF((H388&lt;=$B$442)*((H389&gt;=$C$442)+(H389&lt;2/24)),1,0),0)</f>
        <v>0</v>
      </c>
      <c r="AI390" s="6">
        <f>IF((I388&lt;&gt;"")*(I392=""),IF((I388&lt;=$B$442)*((I389&gt;=$C$442)+(I389&lt;2/24)),1,0),0)</f>
        <v>0</v>
      </c>
      <c r="AJ390" s="6">
        <f>IF((J388&lt;&gt;"")*(J392=""),IF((J388&lt;=$B$442)*((J389&gt;=$C$442)+(J389&lt;2/24)),1,0),0)</f>
        <v>0</v>
      </c>
    </row>
    <row r="391" spans="1:36" x14ac:dyDescent="0.2">
      <c r="A391" s="64" t="s">
        <v>150</v>
      </c>
      <c r="B391" s="40"/>
      <c r="C391" s="15" t="s">
        <v>3</v>
      </c>
      <c r="D391" s="43" t="str">
        <f t="shared" ref="D391:J391" si="420">IF(D388="","",IF(D389&gt;D388,(D389-D388-D390)*24,(1-D388-D390+D389)*24))</f>
        <v/>
      </c>
      <c r="E391" s="43" t="str">
        <f t="shared" si="420"/>
        <v/>
      </c>
      <c r="F391" s="43">
        <f t="shared" si="420"/>
        <v>5.0000000000000009</v>
      </c>
      <c r="G391" s="43" t="str">
        <f t="shared" si="420"/>
        <v/>
      </c>
      <c r="H391" s="43">
        <f t="shared" si="420"/>
        <v>5.0000000000000009</v>
      </c>
      <c r="I391" s="43" t="str">
        <f t="shared" si="420"/>
        <v/>
      </c>
      <c r="J391" s="44" t="str">
        <f t="shared" si="420"/>
        <v/>
      </c>
      <c r="K391" s="18">
        <f>SUMIF(D392:J392,"",D391:J391)</f>
        <v>10.000000000000002</v>
      </c>
      <c r="L391" s="12">
        <f>SUM(D391:J391)</f>
        <v>10.000000000000002</v>
      </c>
      <c r="M391" s="24"/>
      <c r="N391" s="10" t="str">
        <f t="shared" ref="N391" si="421">IF(D392="",D391,0)</f>
        <v/>
      </c>
      <c r="O391" s="10" t="str">
        <f t="shared" ref="O391" si="422">IF(E392="",E391,0)</f>
        <v/>
      </c>
      <c r="P391" s="10">
        <f t="shared" ref="P391" si="423">IF(F392="",F391,0)</f>
        <v>5.0000000000000009</v>
      </c>
      <c r="Q391" s="10" t="str">
        <f t="shared" ref="Q391" si="424">IF(G392="",G391,0)</f>
        <v/>
      </c>
      <c r="R391" s="10">
        <f t="shared" ref="R391" si="425">IF(H392="",H391,0)</f>
        <v>5.0000000000000009</v>
      </c>
      <c r="S391" s="10" t="str">
        <f t="shared" ref="S391" si="426">IF(I392="",I391,0)</f>
        <v/>
      </c>
      <c r="T391" s="10" t="str">
        <f t="shared" ref="T391" si="427">IF(J392="",J391,0)</f>
        <v/>
      </c>
      <c r="U391" s="10"/>
      <c r="V391" s="10" t="str">
        <f t="shared" ref="V391" si="428">D391</f>
        <v/>
      </c>
      <c r="W391" s="10" t="str">
        <f t="shared" ref="W391" si="429">E391</f>
        <v/>
      </c>
      <c r="X391" s="10">
        <f t="shared" ref="X391" si="430">F391</f>
        <v>5.0000000000000009</v>
      </c>
      <c r="Y391" s="10" t="str">
        <f t="shared" ref="Y391" si="431">G391</f>
        <v/>
      </c>
      <c r="Z391" s="10">
        <f t="shared" ref="Z391" si="432">H391</f>
        <v>5.0000000000000009</v>
      </c>
      <c r="AA391" s="10" t="str">
        <f t="shared" ref="AA391" si="433">I391</f>
        <v/>
      </c>
      <c r="AB391" s="10" t="str">
        <f t="shared" ref="AB391" si="434">J391</f>
        <v/>
      </c>
      <c r="AD391" s="6">
        <f>IF((D388&lt;&gt;"")*(D392=""),IF((D388&lt;=$B$443)*((D389&gt;=$C$443)+(D389&lt;2/24)),1,0),0)</f>
        <v>0</v>
      </c>
      <c r="AE391" s="6">
        <f>IF((E388&lt;&gt;"")*(E392=""),IF((E388&lt;=$B$443)*((E389&gt;=$C$443)+(E389&lt;2/24)),1,0),0)</f>
        <v>0</v>
      </c>
      <c r="AF391" s="6">
        <f>IF((F388&lt;&gt;"")*(F392=""),IF((F388&lt;=$B$443)*((F389&gt;=$C$443)+(F389&lt;2/24)),1,0),0)</f>
        <v>1</v>
      </c>
      <c r="AG391" s="6">
        <f>IF((G388&lt;&gt;"")*(G392=""),IF((G388&lt;=$B$443)*((G389&gt;=$C$443)+(G389&lt;2/24)),1,0),0)</f>
        <v>0</v>
      </c>
      <c r="AH391" s="6">
        <f>IF((H388&lt;&gt;"")*(H392=""),IF((H388&lt;=$B$443)*((H389&gt;=$C$443)+(H389&lt;2/24)),1,0),0)</f>
        <v>1</v>
      </c>
      <c r="AI391" s="6">
        <f>IF((I388&lt;&gt;"")*(I392=""),IF((I388&lt;=$B$443)*((I389&gt;=$C$443)+(I389&lt;2/24)),1,0),0)</f>
        <v>0</v>
      </c>
      <c r="AJ391" s="6">
        <f>IF((J388&lt;&gt;"")*(J392=""),IF((J388&lt;=$B$443)*((J389&gt;=$C$443)+(J389&lt;2/24)),1,0),0)</f>
        <v>0</v>
      </c>
    </row>
    <row r="392" spans="1:36" x14ac:dyDescent="0.2">
      <c r="A392" s="39"/>
      <c r="B392" s="40"/>
      <c r="C392" s="32" t="s">
        <v>4</v>
      </c>
      <c r="D392" s="33"/>
      <c r="E392" s="33"/>
      <c r="F392" s="33"/>
      <c r="G392" s="33"/>
      <c r="H392" s="33"/>
      <c r="I392" s="33"/>
      <c r="J392" s="33"/>
      <c r="K392" s="17"/>
      <c r="L392" s="6"/>
      <c r="M392" s="25"/>
      <c r="N392" s="6"/>
      <c r="O392" s="6"/>
      <c r="P392" s="6"/>
      <c r="Q392" s="6"/>
      <c r="R392" s="6"/>
      <c r="S392" s="6"/>
      <c r="T392" s="6"/>
      <c r="U392" s="6"/>
      <c r="V392" s="20"/>
      <c r="W392" s="20"/>
      <c r="X392" s="20"/>
      <c r="Y392" s="20"/>
      <c r="Z392" s="20"/>
      <c r="AA392" s="20"/>
      <c r="AB392" s="20"/>
      <c r="AD392" s="6">
        <f>IF((D388&lt;&gt;"")*(D392=""),IF((D388&lt;=$B$444)*((D389&gt;=$C$444)+(D389&lt;2/24)),1,0),0)</f>
        <v>0</v>
      </c>
      <c r="AE392" s="6">
        <f>IF((E388&lt;&gt;"")*(E392=""),IF((E388&lt;=$B$444)*((E389&gt;=$C$444)+(E389&lt;2/24)),1,0),0)</f>
        <v>0</v>
      </c>
      <c r="AF392" s="6">
        <f>IF((F388&lt;&gt;"")*(F392=""),IF((F388&lt;=$B$444)*((F389&gt;=$C$444)+(F389&lt;2/24)),1,0),0)</f>
        <v>1</v>
      </c>
      <c r="AG392" s="6">
        <f>IF((G388&lt;&gt;"")*(G392=""),IF((G388&lt;=$B$444)*((G389&gt;=$C$444)+(G389&lt;2/24)),1,0),0)</f>
        <v>0</v>
      </c>
      <c r="AH392" s="6">
        <f>IF((H388&lt;&gt;"")*(H392=""),IF((H388&lt;=$B$444)*((H389&gt;=$C$444)+(H389&lt;2/24)),1,0),0)</f>
        <v>1</v>
      </c>
      <c r="AI392" s="6">
        <f>IF((I388&lt;&gt;"")*(I392=""),IF((I388&lt;=$B$444)*((I389&gt;=$C$444)+(I389&lt;2/24)),1,0),0)</f>
        <v>0</v>
      </c>
      <c r="AJ392" s="6">
        <f>IF((J388&lt;&gt;"")*(J392=""),IF((J388&lt;=$B$444)*((J389&gt;=$C$444)+(J389&lt;2/24)),1,0),0)</f>
        <v>0</v>
      </c>
    </row>
    <row r="393" spans="1:36" ht="13.5" thickBot="1" x14ac:dyDescent="0.25">
      <c r="A393" s="41"/>
      <c r="B393" s="42"/>
      <c r="C393" s="35" t="s">
        <v>28</v>
      </c>
      <c r="D393" s="36"/>
      <c r="E393" s="36"/>
      <c r="F393" s="36"/>
      <c r="G393" s="36"/>
      <c r="H393" s="54"/>
      <c r="I393" s="36"/>
      <c r="J393" s="36"/>
      <c r="K393" s="34"/>
      <c r="L393" s="6"/>
      <c r="M393" s="25"/>
      <c r="N393" s="6"/>
      <c r="O393" s="6"/>
      <c r="P393" s="6"/>
      <c r="Q393" s="6"/>
      <c r="R393" s="6"/>
      <c r="S393" s="6"/>
      <c r="T393" s="6"/>
      <c r="U393" s="6"/>
      <c r="V393" s="20"/>
      <c r="W393" s="20"/>
      <c r="X393" s="20"/>
      <c r="Y393" s="20"/>
      <c r="Z393" s="20"/>
      <c r="AA393" s="20"/>
      <c r="AB393" s="20"/>
      <c r="AD393" s="6"/>
      <c r="AE393" s="6"/>
      <c r="AF393" s="6"/>
      <c r="AG393" s="6"/>
      <c r="AH393" s="6"/>
      <c r="AI393" s="6"/>
      <c r="AJ393" s="6"/>
    </row>
    <row r="394" spans="1:36" x14ac:dyDescent="0.2">
      <c r="A394" s="37" t="s">
        <v>145</v>
      </c>
      <c r="B394" s="38" t="s">
        <v>146</v>
      </c>
      <c r="C394" s="14" t="s">
        <v>0</v>
      </c>
      <c r="D394" s="26"/>
      <c r="E394" s="26"/>
      <c r="F394" s="26"/>
      <c r="G394" s="26"/>
      <c r="H394" s="26"/>
      <c r="I394" s="26">
        <v>0.54166666666666663</v>
      </c>
      <c r="J394" s="26"/>
      <c r="K394" s="16"/>
      <c r="L394" s="6"/>
      <c r="M394" s="21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D394" s="6">
        <f>IF((D394&lt;&gt;"")*(D398=""),IF((D394&lt;=$B$440)*((D395&gt;=$C$440)+(D395&lt;2/24)),1,0),0)</f>
        <v>0</v>
      </c>
      <c r="AE394" s="6">
        <f>IF((E394&lt;&gt;"")*(E398=""),IF((E394&lt;=$B$440)*((E395&gt;=$C$440)+(E395&lt;2/24)),1,0),0)</f>
        <v>0</v>
      </c>
      <c r="AF394" s="6">
        <f>IF((F394&lt;&gt;"")*(F398=""),IF((F394&lt;=$B$440)*((F395&gt;=$C$440)+(F395&lt;2/24)),1,0),0)</f>
        <v>0</v>
      </c>
      <c r="AG394" s="6">
        <f>IF((G394&lt;&gt;"")*(G398=""),IF((G394&lt;=$B$440)*((G395&gt;=$C$440)+(G395&lt;2/24)),1,0),0)</f>
        <v>0</v>
      </c>
      <c r="AH394" s="6">
        <f>IF((H394&lt;&gt;"")*(H398=""),IF((H394&lt;=$B$440)*((H395&gt;=$C$440)+(H395&lt;2/24)),1,0),0)</f>
        <v>0</v>
      </c>
      <c r="AI394" s="6">
        <f>IF((I394&lt;&gt;"")*(I398=""),IF((I394&lt;=$B$440)*((I395&gt;=$C$440)+(I395&lt;2/24)),1,0),0)</f>
        <v>0</v>
      </c>
      <c r="AJ394" s="6">
        <f>IF((J394&lt;&gt;"")*(J398=""),IF((J394&lt;=$B$440)*((J395&gt;=$C$440)+(J395&lt;2/24)),1,0),0)</f>
        <v>0</v>
      </c>
    </row>
    <row r="395" spans="1:36" x14ac:dyDescent="0.2">
      <c r="A395" s="39"/>
      <c r="B395" s="40"/>
      <c r="C395" s="15" t="s">
        <v>1</v>
      </c>
      <c r="D395" s="27"/>
      <c r="E395" s="27"/>
      <c r="F395" s="27"/>
      <c r="G395" s="27"/>
      <c r="H395" s="27"/>
      <c r="I395" s="27">
        <v>0.75</v>
      </c>
      <c r="J395" s="27"/>
      <c r="K395" s="17"/>
      <c r="L395" s="6"/>
      <c r="M395" s="21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D395" s="6">
        <f>IF((D394&lt;&gt;"")*(D398=""),IF((D394&lt;=$B$441)*((D395&gt;=$C$441)+(D395&lt;2/24)),1,0),0)</f>
        <v>0</v>
      </c>
      <c r="AE395" s="6">
        <f>IF((E394&lt;&gt;"")*(E398=""),IF((E394&lt;=$B$441)*((E395&gt;=$C$441)+(E395&lt;2/24)),1,0),0)</f>
        <v>0</v>
      </c>
      <c r="AF395" s="6">
        <f>IF((F394&lt;&gt;"")*(F398=""),IF((F394&lt;=$B$441)*((F395&gt;=$C$441)+(F395&lt;2/24)),1,0),0)</f>
        <v>0</v>
      </c>
      <c r="AG395" s="6">
        <f>IF((G394&lt;&gt;"")*(G398=""),IF((G394&lt;=$B$441)*((G395&gt;=$C$441)+(G395&lt;2/24)),1,0),0)</f>
        <v>0</v>
      </c>
      <c r="AH395" s="6">
        <f>IF((H394&lt;&gt;"")*(H398=""),IF((H394&lt;=$B$441)*((H395&gt;=$C$441)+(H395&lt;2/24)),1,0),0)</f>
        <v>0</v>
      </c>
      <c r="AI395" s="6">
        <f>IF((I394&lt;&gt;"")*(I398=""),IF((I394&lt;=$B$441)*((I395&gt;=$C$441)+(I395&lt;2/24)),1,0),0)</f>
        <v>1</v>
      </c>
      <c r="AJ395" s="6">
        <f>IF((J394&lt;&gt;"")*(J398=""),IF((J394&lt;=$B$441)*((J395&gt;=$C$441)+(J395&lt;2/24)),1,0),0)</f>
        <v>0</v>
      </c>
    </row>
    <row r="396" spans="1:36" x14ac:dyDescent="0.2">
      <c r="A396" s="64" t="s">
        <v>171</v>
      </c>
      <c r="B396" s="40"/>
      <c r="C396" s="15" t="s">
        <v>2</v>
      </c>
      <c r="D396" s="4"/>
      <c r="E396" s="4"/>
      <c r="F396" s="4"/>
      <c r="G396" s="4"/>
      <c r="H396" s="4"/>
      <c r="I396" s="4"/>
      <c r="J396" s="4"/>
      <c r="K396" s="17"/>
      <c r="L396" s="6"/>
      <c r="M396" s="21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D396" s="6">
        <f>IF((D394&lt;&gt;"")*(D398=""),IF((D394&lt;=$B$442)*((D395&gt;=$C$442)+(D395&lt;2/24)),1,0),0)</f>
        <v>0</v>
      </c>
      <c r="AE396" s="6">
        <f>IF((E394&lt;&gt;"")*(E398=""),IF((E394&lt;=$B$442)*((E395&gt;=$C$442)+(E395&lt;2/24)),1,0),0)</f>
        <v>0</v>
      </c>
      <c r="AF396" s="6">
        <f>IF((F394&lt;&gt;"")*(F398=""),IF((F394&lt;=$B$442)*((F395&gt;=$C$442)+(F395&lt;2/24)),1,0),0)</f>
        <v>0</v>
      </c>
      <c r="AG396" s="6">
        <f>IF((G394&lt;&gt;"")*(G398=""),IF((G394&lt;=$B$442)*((G395&gt;=$C$442)+(G395&lt;2/24)),1,0),0)</f>
        <v>0</v>
      </c>
      <c r="AH396" s="6">
        <f>IF((H394&lt;&gt;"")*(H398=""),IF((H394&lt;=$B$442)*((H395&gt;=$C$442)+(H395&lt;2/24)),1,0),0)</f>
        <v>0</v>
      </c>
      <c r="AI396" s="6">
        <f>IF((I394&lt;&gt;"")*(I398=""),IF((I394&lt;=$B$442)*((I395&gt;=$C$442)+(I395&lt;2/24)),1,0),0)</f>
        <v>0</v>
      </c>
      <c r="AJ396" s="6">
        <f>IF((J394&lt;&gt;"")*(J398=""),IF((J394&lt;=$B$442)*((J395&gt;=$C$442)+(J395&lt;2/24)),1,0),0)</f>
        <v>0</v>
      </c>
    </row>
    <row r="397" spans="1:36" x14ac:dyDescent="0.2">
      <c r="A397" s="64" t="s">
        <v>150</v>
      </c>
      <c r="B397" s="40"/>
      <c r="C397" s="15" t="s">
        <v>3</v>
      </c>
      <c r="D397" s="43" t="str">
        <f t="shared" ref="D397:J397" si="435">IF(D394="","",IF(D395&gt;D394,(D395-D394-D396)*24,(1-D394-D396+D395)*24))</f>
        <v/>
      </c>
      <c r="E397" s="43" t="str">
        <f t="shared" si="435"/>
        <v/>
      </c>
      <c r="F397" s="43" t="str">
        <f t="shared" si="435"/>
        <v/>
      </c>
      <c r="G397" s="43" t="str">
        <f t="shared" si="435"/>
        <v/>
      </c>
      <c r="H397" s="43" t="str">
        <f t="shared" si="435"/>
        <v/>
      </c>
      <c r="I397" s="43">
        <f t="shared" si="435"/>
        <v>5.0000000000000009</v>
      </c>
      <c r="J397" s="44" t="str">
        <f t="shared" si="435"/>
        <v/>
      </c>
      <c r="K397" s="18">
        <f>SUMIF(D398:J398,"",D397:J397)</f>
        <v>5.0000000000000009</v>
      </c>
      <c r="L397" s="12">
        <f>SUM(D397:J397)</f>
        <v>5.0000000000000009</v>
      </c>
      <c r="M397" s="24"/>
      <c r="N397" s="10" t="str">
        <f t="shared" ref="N397" si="436">IF(D398="",D397,0)</f>
        <v/>
      </c>
      <c r="O397" s="10" t="str">
        <f t="shared" ref="O397" si="437">IF(E398="",E397,0)</f>
        <v/>
      </c>
      <c r="P397" s="10" t="str">
        <f t="shared" ref="P397" si="438">IF(F398="",F397,0)</f>
        <v/>
      </c>
      <c r="Q397" s="10" t="str">
        <f t="shared" ref="Q397" si="439">IF(G398="",G397,0)</f>
        <v/>
      </c>
      <c r="R397" s="10" t="str">
        <f t="shared" ref="R397" si="440">IF(H398="",H397,0)</f>
        <v/>
      </c>
      <c r="S397" s="10">
        <f t="shared" ref="S397" si="441">IF(I398="",I397,0)</f>
        <v>5.0000000000000009</v>
      </c>
      <c r="T397" s="10" t="str">
        <f t="shared" ref="T397" si="442">IF(J398="",J397,0)</f>
        <v/>
      </c>
      <c r="U397" s="10"/>
      <c r="V397" s="10" t="str">
        <f t="shared" ref="V397" si="443">D397</f>
        <v/>
      </c>
      <c r="W397" s="10" t="str">
        <f t="shared" ref="W397" si="444">E397</f>
        <v/>
      </c>
      <c r="X397" s="10" t="str">
        <f t="shared" ref="X397" si="445">F397</f>
        <v/>
      </c>
      <c r="Y397" s="10" t="str">
        <f t="shared" ref="Y397" si="446">G397</f>
        <v/>
      </c>
      <c r="Z397" s="10" t="str">
        <f t="shared" ref="Z397" si="447">H397</f>
        <v/>
      </c>
      <c r="AA397" s="10">
        <f t="shared" ref="AA397" si="448">I397</f>
        <v>5.0000000000000009</v>
      </c>
      <c r="AB397" s="10" t="str">
        <f t="shared" ref="AB397" si="449">J397</f>
        <v/>
      </c>
      <c r="AD397" s="6">
        <f>IF((D394&lt;&gt;"")*(D398=""),IF((D394&lt;=$B$443)*((D395&gt;=$C$443)+(D395&lt;2/24)),1,0),0)</f>
        <v>0</v>
      </c>
      <c r="AE397" s="6">
        <f>IF((E394&lt;&gt;"")*(E398=""),IF((E394&lt;=$B$443)*((E395&gt;=$C$443)+(E395&lt;2/24)),1,0),0)</f>
        <v>0</v>
      </c>
      <c r="AF397" s="6">
        <f>IF((F394&lt;&gt;"")*(F398=""),IF((F394&lt;=$B$443)*((F395&gt;=$C$443)+(F395&lt;2/24)),1,0),0)</f>
        <v>0</v>
      </c>
      <c r="AG397" s="6">
        <f>IF((G394&lt;&gt;"")*(G398=""),IF((G394&lt;=$B$443)*((G395&gt;=$C$443)+(G395&lt;2/24)),1,0),0)</f>
        <v>0</v>
      </c>
      <c r="AH397" s="6">
        <f>IF((H394&lt;&gt;"")*(H398=""),IF((H394&lt;=$B$443)*((H395&gt;=$C$443)+(H395&lt;2/24)),1,0),0)</f>
        <v>0</v>
      </c>
      <c r="AI397" s="6">
        <f>IF((I394&lt;&gt;"")*(I398=""),IF((I394&lt;=$B$443)*((I395&gt;=$C$443)+(I395&lt;2/24)),1,0),0)</f>
        <v>1</v>
      </c>
      <c r="AJ397" s="6">
        <f>IF((J394&lt;&gt;"")*(J398=""),IF((J394&lt;=$B$443)*((J395&gt;=$C$443)+(J395&lt;2/24)),1,0),0)</f>
        <v>0</v>
      </c>
    </row>
    <row r="398" spans="1:36" x14ac:dyDescent="0.2">
      <c r="A398" s="39"/>
      <c r="B398" s="40"/>
      <c r="C398" s="32" t="s">
        <v>4</v>
      </c>
      <c r="D398" s="33"/>
      <c r="E398" s="33"/>
      <c r="F398" s="33"/>
      <c r="G398" s="33"/>
      <c r="H398" s="33"/>
      <c r="I398" s="33"/>
      <c r="J398" s="33"/>
      <c r="K398" s="17"/>
      <c r="L398" s="6"/>
      <c r="M398" s="25"/>
      <c r="N398" s="6"/>
      <c r="O398" s="6"/>
      <c r="P398" s="6"/>
      <c r="Q398" s="6"/>
      <c r="R398" s="6"/>
      <c r="S398" s="6"/>
      <c r="T398" s="6"/>
      <c r="U398" s="6"/>
      <c r="V398" s="20"/>
      <c r="W398" s="20"/>
      <c r="X398" s="20"/>
      <c r="Y398" s="20"/>
      <c r="Z398" s="20"/>
      <c r="AA398" s="20"/>
      <c r="AB398" s="20"/>
      <c r="AD398" s="6">
        <f>IF((D394&lt;&gt;"")*(D398=""),IF((D394&lt;=$B$444)*((D395&gt;=$C$444)+(D395&lt;2/24)),1,0),0)</f>
        <v>0</v>
      </c>
      <c r="AE398" s="6">
        <f>IF((E394&lt;&gt;"")*(E398=""),IF((E394&lt;=$B$444)*((E395&gt;=$C$444)+(E395&lt;2/24)),1,0),0)</f>
        <v>0</v>
      </c>
      <c r="AF398" s="6">
        <f>IF((F394&lt;&gt;"")*(F398=""),IF((F394&lt;=$B$444)*((F395&gt;=$C$444)+(F395&lt;2/24)),1,0),0)</f>
        <v>0</v>
      </c>
      <c r="AG398" s="6">
        <f>IF((G394&lt;&gt;"")*(G398=""),IF((G394&lt;=$B$444)*((G395&gt;=$C$444)+(G395&lt;2/24)),1,0),0)</f>
        <v>0</v>
      </c>
      <c r="AH398" s="6">
        <f>IF((H394&lt;&gt;"")*(H398=""),IF((H394&lt;=$B$444)*((H395&gt;=$C$444)+(H395&lt;2/24)),1,0),0)</f>
        <v>0</v>
      </c>
      <c r="AI398" s="6">
        <f>IF((I394&lt;&gt;"")*(I398=""),IF((I394&lt;=$B$444)*((I395&gt;=$C$444)+(I395&lt;2/24)),1,0),0)</f>
        <v>1</v>
      </c>
      <c r="AJ398" s="6">
        <f>IF((J394&lt;&gt;"")*(J398=""),IF((J394&lt;=$B$444)*((J395&gt;=$C$444)+(J395&lt;2/24)),1,0),0)</f>
        <v>0</v>
      </c>
    </row>
    <row r="399" spans="1:36" ht="13.5" thickBot="1" x14ac:dyDescent="0.25">
      <c r="A399" s="41"/>
      <c r="B399" s="42"/>
      <c r="C399" s="35" t="s">
        <v>28</v>
      </c>
      <c r="D399" s="36"/>
      <c r="E399" s="36"/>
      <c r="F399" s="36"/>
      <c r="G399" s="36"/>
      <c r="H399" s="54"/>
      <c r="I399" s="36"/>
      <c r="J399" s="36"/>
      <c r="K399" s="34"/>
      <c r="L399" s="6"/>
      <c r="M399" s="25"/>
      <c r="N399" s="6"/>
      <c r="O399" s="6"/>
      <c r="P399" s="6"/>
      <c r="Q399" s="6"/>
      <c r="R399" s="6"/>
      <c r="S399" s="6"/>
      <c r="T399" s="6"/>
      <c r="U399" s="6"/>
      <c r="V399" s="20"/>
      <c r="W399" s="20"/>
      <c r="X399" s="20"/>
      <c r="Y399" s="20"/>
      <c r="Z399" s="20"/>
      <c r="AA399" s="20"/>
      <c r="AB399" s="20"/>
      <c r="AD399" s="6"/>
      <c r="AE399" s="6"/>
      <c r="AF399" s="6"/>
      <c r="AG399" s="6"/>
      <c r="AH399" s="6"/>
      <c r="AI399" s="6"/>
      <c r="AJ399" s="6"/>
    </row>
    <row r="400" spans="1:36" hidden="1" x14ac:dyDescent="0.2">
      <c r="A400" s="81" t="s">
        <v>148</v>
      </c>
      <c r="B400" s="82" t="s">
        <v>151</v>
      </c>
      <c r="C400" s="14" t="s">
        <v>0</v>
      </c>
      <c r="D400" s="26"/>
      <c r="E400" s="26"/>
      <c r="F400" s="26"/>
      <c r="G400" s="26"/>
      <c r="H400" s="26"/>
      <c r="I400" s="26"/>
      <c r="J400" s="26"/>
      <c r="K400" s="16"/>
      <c r="L400" s="6"/>
      <c r="M400" s="21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D400" s="6">
        <f>IF((D400&lt;&gt;"")*(D404=""),IF((D400&lt;=$B$440)*((D401&gt;=$C$440)+(D401&lt;2/24)),1,0),0)</f>
        <v>0</v>
      </c>
      <c r="AE400" s="6">
        <f>IF((E400&lt;&gt;"")*(E404=""),IF((E400&lt;=$B$440)*((E401&gt;=$C$440)+(E401&lt;2/24)),1,0),0)</f>
        <v>0</v>
      </c>
      <c r="AF400" s="6">
        <f>IF((F400&lt;&gt;"")*(F404=""),IF((F400&lt;=$B$440)*((F401&gt;=$C$440)+(F401&lt;2/24)),1,0),0)</f>
        <v>0</v>
      </c>
      <c r="AG400" s="6">
        <f>IF((G400&lt;&gt;"")*(G404=""),IF((G400&lt;=$B$440)*((G401&gt;=$C$440)+(G401&lt;2/24)),1,0),0)</f>
        <v>0</v>
      </c>
      <c r="AH400" s="6">
        <f>IF((H400&lt;&gt;"")*(H404=""),IF((H400&lt;=$B$440)*((H401&gt;=$C$440)+(H401&lt;2/24)),1,0),0)</f>
        <v>0</v>
      </c>
      <c r="AI400" s="6">
        <f>IF((I400&lt;&gt;"")*(I404=""),IF((I400&lt;=$B$440)*((I401&gt;=$C$440)+(I401&lt;2/24)),1,0),0)</f>
        <v>0</v>
      </c>
      <c r="AJ400" s="6">
        <f>IF((J400&lt;&gt;"")*(J404=""),IF((J400&lt;=$B$440)*((J401&gt;=$C$440)+(J401&lt;2/24)),1,0),0)</f>
        <v>0</v>
      </c>
    </row>
    <row r="401" spans="1:36" hidden="1" x14ac:dyDescent="0.2">
      <c r="A401" s="83"/>
      <c r="B401" s="84"/>
      <c r="C401" s="15" t="s">
        <v>1</v>
      </c>
      <c r="D401" s="27"/>
      <c r="E401" s="27"/>
      <c r="F401" s="27"/>
      <c r="G401" s="27"/>
      <c r="H401" s="27"/>
      <c r="I401" s="27"/>
      <c r="J401" s="27"/>
      <c r="K401" s="17"/>
      <c r="L401" s="6"/>
      <c r="M401" s="21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D401" s="6">
        <f>IF((D400&lt;&gt;"")*(D404=""),IF((D400&lt;=$B$441)*((D401&gt;=$C$441)+(D401&lt;2/24)),1,0),0)</f>
        <v>0</v>
      </c>
      <c r="AE401" s="6">
        <f>IF((E400&lt;&gt;"")*(E404=""),IF((E400&lt;=$B$441)*((E401&gt;=$C$441)+(E401&lt;2/24)),1,0),0)</f>
        <v>0</v>
      </c>
      <c r="AF401" s="6">
        <f>IF((F400&lt;&gt;"")*(F404=""),IF((F400&lt;=$B$441)*((F401&gt;=$C$441)+(F401&lt;2/24)),1,0),0)</f>
        <v>0</v>
      </c>
      <c r="AG401" s="6">
        <f>IF((G400&lt;&gt;"")*(G404=""),IF((G400&lt;=$B$441)*((G401&gt;=$C$441)+(G401&lt;2/24)),1,0),0)</f>
        <v>0</v>
      </c>
      <c r="AH401" s="6">
        <f>IF((H400&lt;&gt;"")*(H404=""),IF((H400&lt;=$B$441)*((H401&gt;=$C$441)+(H401&lt;2/24)),1,0),0)</f>
        <v>0</v>
      </c>
      <c r="AI401" s="6">
        <f>IF((I400&lt;&gt;"")*(I404=""),IF((I400&lt;=$B$441)*((I401&gt;=$C$441)+(I401&lt;2/24)),1,0),0)</f>
        <v>0</v>
      </c>
      <c r="AJ401" s="6">
        <f>IF((J400&lt;&gt;"")*(J404=""),IF((J400&lt;=$B$441)*((J401&gt;=$C$441)+(J401&lt;2/24)),1,0),0)</f>
        <v>0</v>
      </c>
    </row>
    <row r="402" spans="1:36" hidden="1" x14ac:dyDescent="0.2">
      <c r="A402" s="85"/>
      <c r="B402" s="84"/>
      <c r="C402" s="15" t="s">
        <v>2</v>
      </c>
      <c r="D402" s="4"/>
      <c r="E402" s="4"/>
      <c r="F402" s="4"/>
      <c r="G402" s="4"/>
      <c r="H402" s="4"/>
      <c r="I402" s="4"/>
      <c r="J402" s="4"/>
      <c r="K402" s="17"/>
      <c r="L402" s="6"/>
      <c r="M402" s="21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D402" s="6">
        <f>IF((D400&lt;&gt;"")*(D404=""),IF((D400&lt;=$B$442)*((D401&gt;=$C$442)+(D401&lt;2/24)),1,0),0)</f>
        <v>0</v>
      </c>
      <c r="AE402" s="6">
        <f>IF((E400&lt;&gt;"")*(E404=""),IF((E400&lt;=$B$442)*((E401&gt;=$C$442)+(E401&lt;2/24)),1,0),0)</f>
        <v>0</v>
      </c>
      <c r="AF402" s="6">
        <f>IF((F400&lt;&gt;"")*(F404=""),IF((F400&lt;=$B$442)*((F401&gt;=$C$442)+(F401&lt;2/24)),1,0),0)</f>
        <v>0</v>
      </c>
      <c r="AG402" s="6">
        <f>IF((G400&lt;&gt;"")*(G404=""),IF((G400&lt;=$B$442)*((G401&gt;=$C$442)+(G401&lt;2/24)),1,0),0)</f>
        <v>0</v>
      </c>
      <c r="AH402" s="6">
        <f>IF((H400&lt;&gt;"")*(H404=""),IF((H400&lt;=$B$442)*((H401&gt;=$C$442)+(H401&lt;2/24)),1,0),0)</f>
        <v>0</v>
      </c>
      <c r="AI402" s="6">
        <f>IF((I400&lt;&gt;"")*(I404=""),IF((I400&lt;=$B$442)*((I401&gt;=$C$442)+(I401&lt;2/24)),1,0),0)</f>
        <v>0</v>
      </c>
      <c r="AJ402" s="6">
        <f>IF((J400&lt;&gt;"")*(J404=""),IF((J400&lt;=$B$442)*((J401&gt;=$C$442)+(J401&lt;2/24)),1,0),0)</f>
        <v>0</v>
      </c>
    </row>
    <row r="403" spans="1:36" hidden="1" x14ac:dyDescent="0.2">
      <c r="A403" s="85"/>
      <c r="B403" s="84"/>
      <c r="C403" s="15" t="s">
        <v>3</v>
      </c>
      <c r="D403" s="43" t="str">
        <f t="shared" ref="D403:I403" si="450">IF(D400="","",IF(D401&gt;D400,(D401-D400-D402)*24,(1-D400-D402+D401)*24))</f>
        <v/>
      </c>
      <c r="E403" s="43" t="str">
        <f t="shared" si="450"/>
        <v/>
      </c>
      <c r="F403" s="43" t="str">
        <f t="shared" si="450"/>
        <v/>
      </c>
      <c r="G403" s="43" t="str">
        <f t="shared" si="450"/>
        <v/>
      </c>
      <c r="H403" s="43" t="str">
        <f t="shared" si="450"/>
        <v/>
      </c>
      <c r="I403" s="43" t="str">
        <f t="shared" si="450"/>
        <v/>
      </c>
      <c r="J403" s="44"/>
      <c r="K403" s="18">
        <f>SUMIF(D404:J404,"",D403:J403)</f>
        <v>0</v>
      </c>
      <c r="L403" s="12">
        <f>SUM(D403:J403)</f>
        <v>0</v>
      </c>
      <c r="M403" s="24"/>
      <c r="N403" s="10" t="str">
        <f t="shared" ref="N403" si="451">IF(D404="",D403,0)</f>
        <v/>
      </c>
      <c r="O403" s="10" t="str">
        <f t="shared" ref="O403" si="452">IF(E404="",E403,0)</f>
        <v/>
      </c>
      <c r="P403" s="10" t="str">
        <f t="shared" ref="P403" si="453">IF(F404="",F403,0)</f>
        <v/>
      </c>
      <c r="Q403" s="10" t="str">
        <f t="shared" ref="Q403" si="454">IF(G404="",G403,0)</f>
        <v/>
      </c>
      <c r="R403" s="10" t="str">
        <f t="shared" ref="R403" si="455">IF(H404="",H403,0)</f>
        <v/>
      </c>
      <c r="S403" s="10" t="str">
        <f t="shared" ref="S403" si="456">IF(I404="",I403,0)</f>
        <v/>
      </c>
      <c r="T403" s="10">
        <f t="shared" ref="T403" si="457">IF(J404="",J403,0)</f>
        <v>0</v>
      </c>
      <c r="U403" s="10"/>
      <c r="V403" s="10" t="str">
        <f t="shared" ref="V403" si="458">D403</f>
        <v/>
      </c>
      <c r="W403" s="10" t="str">
        <f t="shared" ref="W403" si="459">E403</f>
        <v/>
      </c>
      <c r="X403" s="10" t="str">
        <f t="shared" ref="X403" si="460">F403</f>
        <v/>
      </c>
      <c r="Y403" s="10" t="str">
        <f t="shared" ref="Y403" si="461">G403</f>
        <v/>
      </c>
      <c r="Z403" s="10" t="str">
        <f t="shared" ref="Z403" si="462">H403</f>
        <v/>
      </c>
      <c r="AA403" s="10" t="str">
        <f t="shared" ref="AA403" si="463">I403</f>
        <v/>
      </c>
      <c r="AB403" s="10">
        <f t="shared" ref="AB403" si="464">J403</f>
        <v>0</v>
      </c>
      <c r="AD403" s="6">
        <f>IF((D400&lt;&gt;"")*(D404=""),IF((D400&lt;=$B$443)*((D401&gt;=$C$443)+(D401&lt;2/24)),1,0),0)</f>
        <v>0</v>
      </c>
      <c r="AE403" s="6">
        <f>IF((E400&lt;&gt;"")*(E404=""),IF((E400&lt;=$B$443)*((E401&gt;=$C$443)+(E401&lt;2/24)),1,0),0)</f>
        <v>0</v>
      </c>
      <c r="AF403" s="6">
        <f>IF((F400&lt;&gt;"")*(F404=""),IF((F400&lt;=$B$443)*((F401&gt;=$C$443)+(F401&lt;2/24)),1,0),0)</f>
        <v>0</v>
      </c>
      <c r="AG403" s="6">
        <f>IF((G400&lt;&gt;"")*(G404=""),IF((G400&lt;=$B$443)*((G401&gt;=$C$443)+(G401&lt;2/24)),1,0),0)</f>
        <v>0</v>
      </c>
      <c r="AH403" s="6">
        <f>IF((H400&lt;&gt;"")*(H404=""),IF((H400&lt;=$B$443)*((H401&gt;=$C$443)+(H401&lt;2/24)),1,0),0)</f>
        <v>0</v>
      </c>
      <c r="AI403" s="6">
        <f>IF((I400&lt;&gt;"")*(I404=""),IF((I400&lt;=$B$443)*((I401&gt;=$C$443)+(I401&lt;2/24)),1,0),0)</f>
        <v>0</v>
      </c>
      <c r="AJ403" s="6">
        <f>IF((J400&lt;&gt;"")*(J404=""),IF((J400&lt;=$B$443)*((J401&gt;=$C$443)+(J401&lt;2/24)),1,0),0)</f>
        <v>0</v>
      </c>
    </row>
    <row r="404" spans="1:36" hidden="1" x14ac:dyDescent="0.2">
      <c r="A404" s="83"/>
      <c r="B404" s="84"/>
      <c r="C404" s="32" t="s">
        <v>4</v>
      </c>
      <c r="D404" s="33"/>
      <c r="E404" s="33"/>
      <c r="F404" s="33"/>
      <c r="G404" s="33"/>
      <c r="H404" s="33"/>
      <c r="I404" s="33"/>
      <c r="J404" s="33"/>
      <c r="K404" s="17"/>
      <c r="L404" s="6"/>
      <c r="M404" s="25"/>
      <c r="N404" s="6"/>
      <c r="O404" s="6"/>
      <c r="P404" s="6"/>
      <c r="Q404" s="6"/>
      <c r="R404" s="6"/>
      <c r="S404" s="6"/>
      <c r="T404" s="6"/>
      <c r="U404" s="6"/>
      <c r="V404" s="20"/>
      <c r="W404" s="20"/>
      <c r="X404" s="20"/>
      <c r="Y404" s="20"/>
      <c r="Z404" s="20"/>
      <c r="AA404" s="20"/>
      <c r="AB404" s="20"/>
      <c r="AD404" s="6">
        <f>IF((D400&lt;&gt;"")*(D404=""),IF((D400&lt;=$B$444)*((D401&gt;=$C$444)+(D401&lt;2/24)),1,0),0)</f>
        <v>0</v>
      </c>
      <c r="AE404" s="6">
        <f>IF((E400&lt;&gt;"")*(E404=""),IF((E400&lt;=$B$444)*((E401&gt;=$C$444)+(E401&lt;2/24)),1,0),0)</f>
        <v>0</v>
      </c>
      <c r="AF404" s="6">
        <f>IF((F400&lt;&gt;"")*(F404=""),IF((F400&lt;=$B$444)*((F401&gt;=$C$444)+(F401&lt;2/24)),1,0),0)</f>
        <v>0</v>
      </c>
      <c r="AG404" s="6">
        <f>IF((G400&lt;&gt;"")*(G404=""),IF((G400&lt;=$B$444)*((G401&gt;=$C$444)+(G401&lt;2/24)),1,0),0)</f>
        <v>0</v>
      </c>
      <c r="AH404" s="6">
        <f>IF((H400&lt;&gt;"")*(H404=""),IF((H400&lt;=$B$444)*((H401&gt;=$C$444)+(H401&lt;2/24)),1,0),0)</f>
        <v>0</v>
      </c>
      <c r="AI404" s="6">
        <f>IF((I400&lt;&gt;"")*(I404=""),IF((I400&lt;=$B$444)*((I401&gt;=$C$444)+(I401&lt;2/24)),1,0),0)</f>
        <v>0</v>
      </c>
      <c r="AJ404" s="6">
        <f>IF((J400&lt;&gt;"")*(J404=""),IF((J400&lt;=$B$444)*((J401&gt;=$C$444)+(J401&lt;2/24)),1,0),0)</f>
        <v>0</v>
      </c>
    </row>
    <row r="405" spans="1:36" ht="13.5" hidden="1" thickBot="1" x14ac:dyDescent="0.25">
      <c r="A405" s="86"/>
      <c r="B405" s="87"/>
      <c r="C405" s="35" t="s">
        <v>28</v>
      </c>
      <c r="D405" s="67"/>
      <c r="E405" s="54"/>
      <c r="F405" s="36"/>
      <c r="G405" s="36"/>
      <c r="H405" s="36"/>
      <c r="I405" s="36"/>
      <c r="J405" s="36"/>
      <c r="K405" s="34"/>
      <c r="L405" s="6"/>
      <c r="M405" s="25"/>
      <c r="N405" s="6"/>
      <c r="O405" s="6"/>
      <c r="P405" s="6"/>
      <c r="Q405" s="6"/>
      <c r="R405" s="6"/>
      <c r="S405" s="6"/>
      <c r="T405" s="6"/>
      <c r="U405" s="6"/>
      <c r="V405" s="20"/>
      <c r="W405" s="20"/>
      <c r="X405" s="20"/>
      <c r="Y405" s="20"/>
      <c r="Z405" s="20"/>
      <c r="AA405" s="20"/>
      <c r="AB405" s="20"/>
      <c r="AD405" s="6"/>
      <c r="AE405" s="6"/>
      <c r="AF405" s="6"/>
      <c r="AG405" s="6"/>
      <c r="AH405" s="6"/>
      <c r="AI405" s="6"/>
      <c r="AJ405" s="6"/>
    </row>
    <row r="406" spans="1:36" x14ac:dyDescent="0.2">
      <c r="A406" s="37" t="s">
        <v>154</v>
      </c>
      <c r="B406" s="38" t="s">
        <v>155</v>
      </c>
      <c r="C406" s="14" t="s">
        <v>0</v>
      </c>
      <c r="D406" s="26"/>
      <c r="E406" s="26"/>
      <c r="F406" s="26"/>
      <c r="G406" s="26"/>
      <c r="H406" s="26"/>
      <c r="I406" s="26"/>
      <c r="J406" s="26"/>
      <c r="K406" s="16"/>
      <c r="L406" s="6"/>
      <c r="M406" s="21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D406" s="6">
        <f>IF((D406&lt;&gt;"")*(D410=""),IF((D406&lt;=$B$440)*((D407&gt;=$C$440)+(D407&lt;2/24)),1,0),0)</f>
        <v>0</v>
      </c>
      <c r="AE406" s="6">
        <f>IF((E406&lt;&gt;"")*(E410=""),IF((E406&lt;=$B$440)*((E407&gt;=$C$440)+(E407&lt;2/24)),1,0),0)</f>
        <v>0</v>
      </c>
      <c r="AF406" s="6">
        <f>IF((F406&lt;&gt;"")*(F410=""),IF((F406&lt;=$B$440)*((F407&gt;=$C$440)+(F407&lt;2/24)),1,0),0)</f>
        <v>0</v>
      </c>
      <c r="AG406" s="6">
        <f>IF((G406&lt;&gt;"")*(G410=""),IF((G406&lt;=$B$440)*((G407&gt;=$C$440)+(G407&lt;2/24)),1,0),0)</f>
        <v>0</v>
      </c>
      <c r="AH406" s="6">
        <f>IF((H406&lt;&gt;"")*(H410=""),IF((H406&lt;=$B$440)*((H407&gt;=$C$440)+(H407&lt;2/24)),1,0),0)</f>
        <v>0</v>
      </c>
      <c r="AI406" s="6">
        <f>IF((I406&lt;&gt;"")*(I410=""),IF((I406&lt;=$B$440)*((I407&gt;=$C$440)+(I407&lt;2/24)),1,0),0)</f>
        <v>0</v>
      </c>
      <c r="AJ406" s="6">
        <f>IF((J406&lt;&gt;"")*(J410=""),IF((J406&lt;=$B$440)*((J407&gt;=$C$440)+(J407&lt;2/24)),1,0),0)</f>
        <v>0</v>
      </c>
    </row>
    <row r="407" spans="1:36" x14ac:dyDescent="0.2">
      <c r="A407" s="39"/>
      <c r="B407" s="40"/>
      <c r="C407" s="15" t="s">
        <v>1</v>
      </c>
      <c r="D407" s="27"/>
      <c r="E407" s="27"/>
      <c r="F407" s="27"/>
      <c r="G407" s="27"/>
      <c r="H407" s="27"/>
      <c r="I407" s="27"/>
      <c r="J407" s="27"/>
      <c r="K407" s="17"/>
      <c r="L407" s="6"/>
      <c r="M407" s="21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D407" s="6">
        <f>IF((D406&lt;&gt;"")*(D410=""),IF((D406&lt;=$B$441)*((D407&gt;=$C$441)+(D407&lt;2/24)),1,0),0)</f>
        <v>0</v>
      </c>
      <c r="AE407" s="6">
        <f>IF((E406&lt;&gt;"")*(E410=""),IF((E406&lt;=$B$441)*((E407&gt;=$C$441)+(E407&lt;2/24)),1,0),0)</f>
        <v>0</v>
      </c>
      <c r="AF407" s="6">
        <f>IF((F406&lt;&gt;"")*(F410=""),IF((F406&lt;=$B$441)*((F407&gt;=$C$441)+(F407&lt;2/24)),1,0),0)</f>
        <v>0</v>
      </c>
      <c r="AG407" s="6">
        <f>IF((G406&lt;&gt;"")*(G410=""),IF((G406&lt;=$B$441)*((G407&gt;=$C$441)+(G407&lt;2/24)),1,0),0)</f>
        <v>0</v>
      </c>
      <c r="AH407" s="6">
        <f>IF((H406&lt;&gt;"")*(H410=""),IF((H406&lt;=$B$441)*((H407&gt;=$C$441)+(H407&lt;2/24)),1,0),0)</f>
        <v>0</v>
      </c>
      <c r="AI407" s="6">
        <f>IF((I406&lt;&gt;"")*(I410=""),IF((I406&lt;=$B$441)*((I407&gt;=$C$441)+(I407&lt;2/24)),1,0),0)</f>
        <v>0</v>
      </c>
      <c r="AJ407" s="6">
        <f>IF((J406&lt;&gt;"")*(J410=""),IF((J406&lt;=$B$441)*((J407&gt;=$C$441)+(J407&lt;2/24)),1,0),0)</f>
        <v>0</v>
      </c>
    </row>
    <row r="408" spans="1:36" x14ac:dyDescent="0.2">
      <c r="A408" s="64" t="s">
        <v>169</v>
      </c>
      <c r="B408" s="40"/>
      <c r="C408" s="15" t="s">
        <v>2</v>
      </c>
      <c r="D408" s="4"/>
      <c r="E408" s="4"/>
      <c r="F408" s="4"/>
      <c r="G408" s="4"/>
      <c r="H408" s="4"/>
      <c r="I408" s="4"/>
      <c r="J408" s="4"/>
      <c r="K408" s="17"/>
      <c r="L408" s="6"/>
      <c r="M408" s="21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D408" s="6">
        <f>IF((D406&lt;&gt;"")*(D410=""),IF((D406&lt;=$B$442)*((D407&gt;=$C$442)+(D407&lt;2/24)),1,0),0)</f>
        <v>0</v>
      </c>
      <c r="AE408" s="6">
        <f>IF((E406&lt;&gt;"")*(E410=""),IF((E406&lt;=$B$442)*((E407&gt;=$C$442)+(E407&lt;2/24)),1,0),0)</f>
        <v>0</v>
      </c>
      <c r="AF408" s="6">
        <f>IF((F406&lt;&gt;"")*(F410=""),IF((F406&lt;=$B$442)*((F407&gt;=$C$442)+(F407&lt;2/24)),1,0),0)</f>
        <v>0</v>
      </c>
      <c r="AG408" s="6">
        <f>IF((G406&lt;&gt;"")*(G410=""),IF((G406&lt;=$B$442)*((G407&gt;=$C$442)+(G407&lt;2/24)),1,0),0)</f>
        <v>0</v>
      </c>
      <c r="AH408" s="6">
        <f>IF((H406&lt;&gt;"")*(H410=""),IF((H406&lt;=$B$442)*((H407&gt;=$C$442)+(H407&lt;2/24)),1,0),0)</f>
        <v>0</v>
      </c>
      <c r="AI408" s="6">
        <f>IF((I406&lt;&gt;"")*(I410=""),IF((I406&lt;=$B$442)*((I407&gt;=$C$442)+(I407&lt;2/24)),1,0),0)</f>
        <v>0</v>
      </c>
      <c r="AJ408" s="6">
        <f>IF((J406&lt;&gt;"")*(J410=""),IF((J406&lt;=$B$442)*((J407&gt;=$C$442)+(J407&lt;2/24)),1,0),0)</f>
        <v>0</v>
      </c>
    </row>
    <row r="409" spans="1:36" x14ac:dyDescent="0.2">
      <c r="A409" s="64" t="s">
        <v>150</v>
      </c>
      <c r="B409" s="40"/>
      <c r="C409" s="15" t="s">
        <v>3</v>
      </c>
      <c r="D409" s="43" t="str">
        <f t="shared" ref="D409:I409" si="465">IF(D406="","",IF(D407&gt;D406,(D407-D406-D408)*24,(1-D406-D408+D407)*24))</f>
        <v/>
      </c>
      <c r="E409" s="43" t="str">
        <f t="shared" si="465"/>
        <v/>
      </c>
      <c r="F409" s="43" t="str">
        <f t="shared" si="465"/>
        <v/>
      </c>
      <c r="G409" s="43" t="str">
        <f t="shared" si="465"/>
        <v/>
      </c>
      <c r="H409" s="43" t="str">
        <f t="shared" si="465"/>
        <v/>
      </c>
      <c r="I409" s="43" t="str">
        <f t="shared" si="465"/>
        <v/>
      </c>
      <c r="J409" s="44"/>
      <c r="K409" s="18">
        <f>SUMIF(D410:J410,"",D409:J409)</f>
        <v>0</v>
      </c>
      <c r="L409" s="12">
        <f>SUM(D409:J409)</f>
        <v>0</v>
      </c>
      <c r="M409" s="24"/>
      <c r="N409" s="10" t="str">
        <f t="shared" ref="N409" si="466">IF(D410="",D409,0)</f>
        <v/>
      </c>
      <c r="O409" s="10" t="str">
        <f t="shared" ref="O409" si="467">IF(E410="",E409,0)</f>
        <v/>
      </c>
      <c r="P409" s="10" t="str">
        <f t="shared" ref="P409" si="468">IF(F410="",F409,0)</f>
        <v/>
      </c>
      <c r="Q409" s="10" t="str">
        <f t="shared" ref="Q409" si="469">IF(G410="",G409,0)</f>
        <v/>
      </c>
      <c r="R409" s="10" t="str">
        <f t="shared" ref="R409" si="470">IF(H410="",H409,0)</f>
        <v/>
      </c>
      <c r="S409" s="10" t="str">
        <f t="shared" ref="S409" si="471">IF(I410="",I409,0)</f>
        <v/>
      </c>
      <c r="T409" s="10">
        <f t="shared" ref="T409" si="472">IF(J410="",J409,0)</f>
        <v>0</v>
      </c>
      <c r="U409" s="10"/>
      <c r="V409" s="10" t="str">
        <f t="shared" ref="V409" si="473">D409</f>
        <v/>
      </c>
      <c r="W409" s="10" t="str">
        <f t="shared" ref="W409" si="474">E409</f>
        <v/>
      </c>
      <c r="X409" s="10" t="str">
        <f t="shared" ref="X409" si="475">F409</f>
        <v/>
      </c>
      <c r="Y409" s="10" t="str">
        <f t="shared" ref="Y409" si="476">G409</f>
        <v/>
      </c>
      <c r="Z409" s="10" t="str">
        <f t="shared" ref="Z409" si="477">H409</f>
        <v/>
      </c>
      <c r="AA409" s="10" t="str">
        <f t="shared" ref="AA409" si="478">I409</f>
        <v/>
      </c>
      <c r="AB409" s="10">
        <f t="shared" ref="AB409" si="479">J409</f>
        <v>0</v>
      </c>
      <c r="AD409" s="6">
        <f>IF((D406&lt;&gt;"")*(D410=""),IF((D406&lt;=$B$443)*((D407&gt;=$C$443)+(D407&lt;2/24)),1,0),0)</f>
        <v>0</v>
      </c>
      <c r="AE409" s="6">
        <f>IF((E406&lt;&gt;"")*(E410=""),IF((E406&lt;=$B$443)*((E407&gt;=$C$443)+(E407&lt;2/24)),1,0),0)</f>
        <v>0</v>
      </c>
      <c r="AF409" s="6">
        <f>IF((F406&lt;&gt;"")*(F410=""),IF((F406&lt;=$B$443)*((F407&gt;=$C$443)+(F407&lt;2/24)),1,0),0)</f>
        <v>0</v>
      </c>
      <c r="AG409" s="6">
        <f>IF((G406&lt;&gt;"")*(G410=""),IF((G406&lt;=$B$443)*((G407&gt;=$C$443)+(G407&lt;2/24)),1,0),0)</f>
        <v>0</v>
      </c>
      <c r="AH409" s="6">
        <f>IF((H406&lt;&gt;"")*(H410=""),IF((H406&lt;=$B$443)*((H407&gt;=$C$443)+(H407&lt;2/24)),1,0),0)</f>
        <v>0</v>
      </c>
      <c r="AI409" s="6">
        <f>IF((I406&lt;&gt;"")*(I410=""),IF((I406&lt;=$B$443)*((I407&gt;=$C$443)+(I407&lt;2/24)),1,0),0)</f>
        <v>0</v>
      </c>
      <c r="AJ409" s="6">
        <f>IF((J406&lt;&gt;"")*(J410=""),IF((J406&lt;=$B$443)*((J407&gt;=$C$443)+(J407&lt;2/24)),1,0),0)</f>
        <v>0</v>
      </c>
    </row>
    <row r="410" spans="1:36" x14ac:dyDescent="0.2">
      <c r="A410" s="39"/>
      <c r="B410" s="40"/>
      <c r="C410" s="32" t="s">
        <v>4</v>
      </c>
      <c r="D410" s="33"/>
      <c r="E410" s="33"/>
      <c r="F410" s="33"/>
      <c r="G410" s="33"/>
      <c r="H410" s="33"/>
      <c r="I410" s="33"/>
      <c r="J410" s="33"/>
      <c r="K410" s="17"/>
      <c r="L410" s="6"/>
      <c r="M410" s="25"/>
      <c r="N410" s="6"/>
      <c r="O410" s="6"/>
      <c r="P410" s="6"/>
      <c r="Q410" s="6"/>
      <c r="R410" s="6"/>
      <c r="S410" s="6"/>
      <c r="T410" s="6"/>
      <c r="U410" s="6"/>
      <c r="V410" s="20"/>
      <c r="W410" s="20"/>
      <c r="X410" s="20"/>
      <c r="Y410" s="20"/>
      <c r="Z410" s="20"/>
      <c r="AA410" s="20"/>
      <c r="AB410" s="20"/>
      <c r="AD410" s="6">
        <f>IF((D406&lt;&gt;"")*(D410=""),IF((D406&lt;=$B$444)*((D407&gt;=$C$444)+(D407&lt;2/24)),1,0),0)</f>
        <v>0</v>
      </c>
      <c r="AE410" s="6">
        <f>IF((E406&lt;&gt;"")*(E410=""),IF((E406&lt;=$B$444)*((E407&gt;=$C$444)+(E407&lt;2/24)),1,0),0)</f>
        <v>0</v>
      </c>
      <c r="AF410" s="6">
        <f>IF((F406&lt;&gt;"")*(F410=""),IF((F406&lt;=$B$444)*((F407&gt;=$C$444)+(F407&lt;2/24)),1,0),0)</f>
        <v>0</v>
      </c>
      <c r="AG410" s="6">
        <f>IF((G406&lt;&gt;"")*(G410=""),IF((G406&lt;=$B$444)*((G407&gt;=$C$444)+(G407&lt;2/24)),1,0),0)</f>
        <v>0</v>
      </c>
      <c r="AH410" s="6">
        <f>IF((H406&lt;&gt;"")*(H410=""),IF((H406&lt;=$B$444)*((H407&gt;=$C$444)+(H407&lt;2/24)),1,0),0)</f>
        <v>0</v>
      </c>
      <c r="AI410" s="6">
        <f>IF((I406&lt;&gt;"")*(I410=""),IF((I406&lt;=$B$444)*((I407&gt;=$C$444)+(I407&lt;2/24)),1,0),0)</f>
        <v>0</v>
      </c>
      <c r="AJ410" s="6">
        <f>IF((J406&lt;&gt;"")*(J410=""),IF((J406&lt;=$B$444)*((J407&gt;=$C$444)+(J407&lt;2/24)),1,0),0)</f>
        <v>0</v>
      </c>
    </row>
    <row r="411" spans="1:36" ht="13.5" thickBot="1" x14ac:dyDescent="0.25">
      <c r="A411" s="41"/>
      <c r="B411" s="42"/>
      <c r="C411" s="35" t="s">
        <v>28</v>
      </c>
      <c r="D411" s="67"/>
      <c r="E411" s="54"/>
      <c r="F411" s="36"/>
      <c r="G411" s="36"/>
      <c r="H411" s="36"/>
      <c r="I411" s="36"/>
      <c r="J411" s="36"/>
      <c r="K411" s="34"/>
      <c r="L411" s="6"/>
      <c r="M411" s="25"/>
      <c r="N411" s="6"/>
      <c r="O411" s="6"/>
      <c r="P411" s="6"/>
      <c r="Q411" s="6"/>
      <c r="R411" s="6"/>
      <c r="S411" s="6"/>
      <c r="T411" s="6"/>
      <c r="U411" s="6"/>
      <c r="V411" s="20"/>
      <c r="W411" s="20"/>
      <c r="X411" s="20"/>
      <c r="Y411" s="20"/>
      <c r="Z411" s="20"/>
      <c r="AA411" s="20"/>
      <c r="AB411" s="20"/>
      <c r="AD411" s="6"/>
      <c r="AE411" s="6"/>
      <c r="AF411" s="6"/>
      <c r="AG411" s="6"/>
      <c r="AH411" s="6"/>
      <c r="AI411" s="6"/>
      <c r="AJ411" s="6"/>
    </row>
    <row r="412" spans="1:36" x14ac:dyDescent="0.2">
      <c r="A412" s="37" t="s">
        <v>148</v>
      </c>
      <c r="B412" s="38" t="s">
        <v>149</v>
      </c>
      <c r="C412" s="14" t="s">
        <v>0</v>
      </c>
      <c r="D412" s="26"/>
      <c r="E412" s="26">
        <v>0.77083333333333337</v>
      </c>
      <c r="F412" s="26"/>
      <c r="G412" s="26"/>
      <c r="H412" s="26"/>
      <c r="I412" s="26"/>
      <c r="J412" s="26"/>
      <c r="K412" s="16"/>
      <c r="L412" s="6"/>
      <c r="M412" s="21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D412" s="6">
        <f>IF((D412&lt;&gt;"")*(D416=""),IF((D412&lt;=#REF!)*((D413&gt;=#REF!)+(D413&lt;2/24)),1,0),0)</f>
        <v>0</v>
      </c>
      <c r="AE412" s="6" t="e">
        <f>IF((E412&lt;&gt;"")*(E416=""),IF((E412&lt;=#REF!)*((E413&gt;=#REF!)+(E413&lt;2/24)),1,0),0)</f>
        <v>#REF!</v>
      </c>
      <c r="AF412" s="6">
        <f>IF((F412&lt;&gt;"")*(F416=""),IF((F412&lt;=#REF!)*((F413&gt;=#REF!)+(F413&lt;2/24)),1,0),0)</f>
        <v>0</v>
      </c>
      <c r="AG412" s="6">
        <f>IF((G412&lt;&gt;"")*(G416=""),IF((G412&lt;=#REF!)*((G413&gt;=#REF!)+(G413&lt;2/24)),1,0),0)</f>
        <v>0</v>
      </c>
      <c r="AH412" s="6">
        <f>IF((H412&lt;&gt;"")*(H416=""),IF((H412&lt;=#REF!)*((H413&gt;=#REF!)+(H413&lt;2/24)),1,0),0)</f>
        <v>0</v>
      </c>
      <c r="AI412" s="6">
        <f>IF((I412&lt;&gt;"")*(I416=""),IF((I412&lt;=#REF!)*((I413&gt;=#REF!)+(I413&lt;2/24)),1,0),0)</f>
        <v>0</v>
      </c>
      <c r="AJ412" s="6">
        <f>IF((J412&lt;&gt;"")*(J416=""),IF((J412&lt;=#REF!)*((J413&gt;=#REF!)+(J413&lt;2/24)),1,0),0)</f>
        <v>0</v>
      </c>
    </row>
    <row r="413" spans="1:36" x14ac:dyDescent="0.2">
      <c r="A413" s="39"/>
      <c r="B413" s="40"/>
      <c r="C413" s="15" t="s">
        <v>1</v>
      </c>
      <c r="D413" s="27"/>
      <c r="E413" s="27">
        <v>0.95833333333333337</v>
      </c>
      <c r="F413" s="27"/>
      <c r="G413" s="27"/>
      <c r="H413" s="27"/>
      <c r="I413" s="27"/>
      <c r="J413" s="27"/>
      <c r="K413" s="17"/>
      <c r="L413" s="6"/>
      <c r="M413" s="21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D413" s="6">
        <f>IF((D412&lt;&gt;"")*(D416=""),IF((D412&lt;=#REF!)*((D413&gt;=#REF!)+(D413&lt;2/24)),1,0),0)</f>
        <v>0</v>
      </c>
      <c r="AE413" s="6" t="e">
        <f>IF((E412&lt;&gt;"")*(E416=""),IF((E412&lt;=#REF!)*((E413&gt;=#REF!)+(E413&lt;2/24)),1,0),0)</f>
        <v>#REF!</v>
      </c>
      <c r="AF413" s="6">
        <f>IF((F412&lt;&gt;"")*(F416=""),IF((F412&lt;=#REF!)*((F413&gt;=#REF!)+(F413&lt;2/24)),1,0),0)</f>
        <v>0</v>
      </c>
      <c r="AG413" s="6">
        <f>IF((G412&lt;&gt;"")*(G416=""),IF((G412&lt;=#REF!)*((G413&gt;=#REF!)+(G413&lt;2/24)),1,0),0)</f>
        <v>0</v>
      </c>
      <c r="AH413" s="6">
        <f>IF((H412&lt;&gt;"")*(H416=""),IF((H412&lt;=#REF!)*((H413&gt;=#REF!)+(H413&lt;2/24)),1,0),0)</f>
        <v>0</v>
      </c>
      <c r="AI413" s="6">
        <f>IF((I412&lt;&gt;"")*(I416=""),IF((I412&lt;=#REF!)*((I413&gt;=#REF!)+(I413&lt;2/24)),1,0),0)</f>
        <v>0</v>
      </c>
      <c r="AJ413" s="6">
        <f>IF((J412&lt;&gt;"")*(J416=""),IF((J412&lt;=#REF!)*((J413&gt;=#REF!)+(J413&lt;2/24)),1,0),0)</f>
        <v>0</v>
      </c>
    </row>
    <row r="414" spans="1:36" x14ac:dyDescent="0.2">
      <c r="A414" s="64" t="s">
        <v>174</v>
      </c>
      <c r="B414" s="40"/>
      <c r="C414" s="15" t="s">
        <v>2</v>
      </c>
      <c r="D414" s="4"/>
      <c r="E414" s="4"/>
      <c r="F414" s="4"/>
      <c r="G414" s="4"/>
      <c r="H414" s="4"/>
      <c r="I414" s="4"/>
      <c r="J414" s="4"/>
      <c r="K414" s="17"/>
      <c r="L414" s="6"/>
      <c r="M414" s="21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D414" s="6">
        <f>IF((D412&lt;&gt;"")*(D416=""),IF((D412&lt;=#REF!)*((D413&gt;=#REF!)+(D413&lt;2/24)),1,0),0)</f>
        <v>0</v>
      </c>
      <c r="AE414" s="6" t="e">
        <f>IF((E412&lt;&gt;"")*(E416=""),IF((E412&lt;=#REF!)*((E413&gt;=#REF!)+(E413&lt;2/24)),1,0),0)</f>
        <v>#REF!</v>
      </c>
      <c r="AF414" s="6">
        <f>IF((F412&lt;&gt;"")*(F416=""),IF((F412&lt;=#REF!)*((F413&gt;=#REF!)+(F413&lt;2/24)),1,0),0)</f>
        <v>0</v>
      </c>
      <c r="AG414" s="6">
        <f>IF((G412&lt;&gt;"")*(G416=""),IF((G412&lt;=#REF!)*((G413&gt;=#REF!)+(G413&lt;2/24)),1,0),0)</f>
        <v>0</v>
      </c>
      <c r="AH414" s="6">
        <f>IF((H412&lt;&gt;"")*(H416=""),IF((H412&lt;=#REF!)*((H413&gt;=#REF!)+(H413&lt;2/24)),1,0),0)</f>
        <v>0</v>
      </c>
      <c r="AI414" s="6">
        <f>IF((I412&lt;&gt;"")*(I416=""),IF((I412&lt;=#REF!)*((I413&gt;=#REF!)+(I413&lt;2/24)),1,0),0)</f>
        <v>0</v>
      </c>
      <c r="AJ414" s="6">
        <f>IF((J412&lt;&gt;"")*(J416=""),IF((J412&lt;=#REF!)*((J413&gt;=#REF!)+(J413&lt;2/24)),1,0),0)</f>
        <v>0</v>
      </c>
    </row>
    <row r="415" spans="1:36" x14ac:dyDescent="0.2">
      <c r="A415" s="64" t="s">
        <v>150</v>
      </c>
      <c r="B415" s="40"/>
      <c r="C415" s="15" t="s">
        <v>3</v>
      </c>
      <c r="D415" s="55" t="str">
        <f t="shared" ref="D415" si="480">IF(D412="","",IF(D413&gt;D412,(D413-D412-D414)*24,(1-D412-D414+D413)*24))</f>
        <v/>
      </c>
      <c r="E415" s="43">
        <v>4.5</v>
      </c>
      <c r="F415" s="43" t="str">
        <f t="shared" ref="F415:I415" si="481">IF(F412="","",IF(F413&gt;F412,(F413-F412-F414)*24,(1-F412-F414+F413)*24))</f>
        <v/>
      </c>
      <c r="G415" s="43" t="str">
        <f t="shared" si="481"/>
        <v/>
      </c>
      <c r="H415" s="43" t="str">
        <f t="shared" si="481"/>
        <v/>
      </c>
      <c r="I415" s="43" t="str">
        <f t="shared" si="481"/>
        <v/>
      </c>
      <c r="J415" s="44"/>
      <c r="K415" s="18">
        <f>SUMIF(D416:J416,"",D415:J415)</f>
        <v>4.5</v>
      </c>
      <c r="L415" s="12">
        <f>SUM(D415:J415)</f>
        <v>4.5</v>
      </c>
      <c r="M415" s="24"/>
      <c r="N415" s="10" t="str">
        <f t="shared" ref="N415" si="482">IF(D416="",D415,0)</f>
        <v/>
      </c>
      <c r="O415" s="10">
        <f t="shared" ref="O415" si="483">IF(E416="",E415,0)</f>
        <v>4.5</v>
      </c>
      <c r="P415" s="10" t="str">
        <f t="shared" ref="P415" si="484">IF(F416="",F415,0)</f>
        <v/>
      </c>
      <c r="Q415" s="10" t="str">
        <f t="shared" ref="Q415" si="485">IF(G416="",G415,0)</f>
        <v/>
      </c>
      <c r="R415" s="10" t="str">
        <f t="shared" ref="R415" si="486">IF(H416="",H415,0)</f>
        <v/>
      </c>
      <c r="S415" s="10" t="str">
        <f t="shared" ref="S415" si="487">IF(I416="",I415,0)</f>
        <v/>
      </c>
      <c r="T415" s="10">
        <f t="shared" ref="T415" si="488">IF(J416="",J415,0)</f>
        <v>0</v>
      </c>
      <c r="U415" s="10"/>
      <c r="V415" s="10" t="str">
        <f t="shared" ref="V415" si="489">D415</f>
        <v/>
      </c>
      <c r="W415" s="10">
        <f t="shared" ref="W415" si="490">E415</f>
        <v>4.5</v>
      </c>
      <c r="X415" s="10" t="str">
        <f t="shared" ref="X415" si="491">F415</f>
        <v/>
      </c>
      <c r="Y415" s="10" t="str">
        <f t="shared" ref="Y415" si="492">G415</f>
        <v/>
      </c>
      <c r="Z415" s="10" t="str">
        <f t="shared" ref="Z415" si="493">H415</f>
        <v/>
      </c>
      <c r="AA415" s="10" t="str">
        <f t="shared" ref="AA415" si="494">I415</f>
        <v/>
      </c>
      <c r="AB415" s="10">
        <f t="shared" ref="AB415" si="495">J415</f>
        <v>0</v>
      </c>
      <c r="AD415" s="6">
        <f>IF((D412&lt;&gt;"")*(D416=""),IF((D412&lt;=#REF!)*((D413&gt;=#REF!)+(D413&lt;2/24)),1,0),0)</f>
        <v>0</v>
      </c>
      <c r="AE415" s="6" t="e">
        <f>IF((E412&lt;&gt;"")*(E416=""),IF((E412&lt;=#REF!)*((E413&gt;=#REF!)+(E413&lt;2/24)),1,0),0)</f>
        <v>#REF!</v>
      </c>
      <c r="AF415" s="6">
        <f>IF((F412&lt;&gt;"")*(F416=""),IF((F412&lt;=#REF!)*((F413&gt;=#REF!)+(F413&lt;2/24)),1,0),0)</f>
        <v>0</v>
      </c>
      <c r="AG415" s="6">
        <f>IF((G412&lt;&gt;"")*(G416=""),IF((G412&lt;=#REF!)*((G413&gt;=#REF!)+(G413&lt;2/24)),1,0),0)</f>
        <v>0</v>
      </c>
      <c r="AH415" s="6">
        <f>IF((H412&lt;&gt;"")*(H416=""),IF((H412&lt;=#REF!)*((H413&gt;=#REF!)+(H413&lt;2/24)),1,0),0)</f>
        <v>0</v>
      </c>
      <c r="AI415" s="6">
        <f>IF((I412&lt;&gt;"")*(I416=""),IF((I412&lt;=#REF!)*((I413&gt;=#REF!)+(I413&lt;2/24)),1,0),0)</f>
        <v>0</v>
      </c>
      <c r="AJ415" s="6">
        <f>IF((J412&lt;&gt;"")*(J416=""),IF((J412&lt;=#REF!)*((J413&gt;=#REF!)+(J413&lt;2/24)),1,0),0)</f>
        <v>0</v>
      </c>
    </row>
    <row r="416" spans="1:36" x14ac:dyDescent="0.2">
      <c r="A416" s="39"/>
      <c r="B416" s="40"/>
      <c r="C416" s="32" t="s">
        <v>4</v>
      </c>
      <c r="D416" s="33"/>
      <c r="E416" s="33"/>
      <c r="F416" s="33"/>
      <c r="G416" s="33"/>
      <c r="H416" s="33"/>
      <c r="I416" s="33"/>
      <c r="J416" s="33"/>
      <c r="K416" s="17"/>
      <c r="L416" s="6"/>
      <c r="M416" s="25"/>
      <c r="N416" s="6"/>
      <c r="O416" s="6"/>
      <c r="P416" s="6"/>
      <c r="Q416" s="6"/>
      <c r="R416" s="6"/>
      <c r="S416" s="6"/>
      <c r="T416" s="6"/>
      <c r="U416" s="6"/>
      <c r="V416" s="20"/>
      <c r="W416" s="20"/>
      <c r="X416" s="20"/>
      <c r="Y416" s="20"/>
      <c r="Z416" s="20"/>
      <c r="AA416" s="20"/>
      <c r="AB416" s="20"/>
      <c r="AD416" s="6">
        <f>IF((D412&lt;&gt;"")*(D416=""),IF((D412&lt;=#REF!)*((D413&gt;=#REF!)+(D413&lt;2/24)),1,0),0)</f>
        <v>0</v>
      </c>
      <c r="AE416" s="6" t="e">
        <f>IF((E412&lt;&gt;"")*(E416=""),IF((E412&lt;=#REF!)*((E413&gt;=#REF!)+(E413&lt;2/24)),1,0),0)</f>
        <v>#REF!</v>
      </c>
      <c r="AF416" s="6">
        <f>IF((F412&lt;&gt;"")*(F416=""),IF((F412&lt;=#REF!)*((F413&gt;=#REF!)+(F413&lt;2/24)),1,0),0)</f>
        <v>0</v>
      </c>
      <c r="AG416" s="6">
        <f>IF((G412&lt;&gt;"")*(G416=""),IF((G412&lt;=#REF!)*((G413&gt;=#REF!)+(G413&lt;2/24)),1,0),0)</f>
        <v>0</v>
      </c>
      <c r="AH416" s="6">
        <f>IF((H412&lt;&gt;"")*(H416=""),IF((H412&lt;=#REF!)*((H413&gt;=#REF!)+(H413&lt;2/24)),1,0),0)</f>
        <v>0</v>
      </c>
      <c r="AI416" s="6">
        <f>IF((I412&lt;&gt;"")*(I416=""),IF((I412&lt;=#REF!)*((I413&gt;=#REF!)+(I413&lt;2/24)),1,0),0)</f>
        <v>0</v>
      </c>
      <c r="AJ416" s="6">
        <f>IF((J412&lt;&gt;"")*(J416=""),IF((J412&lt;=#REF!)*((J413&gt;=#REF!)+(J413&lt;2/24)),1,0),0)</f>
        <v>0</v>
      </c>
    </row>
    <row r="417" spans="1:36" ht="13.5" thickBot="1" x14ac:dyDescent="0.25">
      <c r="A417" s="41"/>
      <c r="B417" s="42"/>
      <c r="C417" s="35" t="s">
        <v>28</v>
      </c>
      <c r="D417" s="36"/>
      <c r="E417" s="36"/>
      <c r="F417" s="36"/>
      <c r="G417" s="36"/>
      <c r="H417" s="36"/>
      <c r="I417" s="36"/>
      <c r="J417" s="36"/>
      <c r="K417" s="34"/>
      <c r="L417" s="6"/>
      <c r="M417" s="25"/>
      <c r="N417" s="6"/>
      <c r="O417" s="6"/>
      <c r="P417" s="6"/>
      <c r="Q417" s="6"/>
      <c r="R417" s="6"/>
      <c r="S417" s="6"/>
      <c r="T417" s="6"/>
      <c r="U417" s="6"/>
      <c r="V417" s="20"/>
      <c r="W417" s="20"/>
      <c r="X417" s="20"/>
      <c r="Y417" s="20"/>
      <c r="Z417" s="20"/>
      <c r="AA417" s="20"/>
      <c r="AB417" s="20"/>
      <c r="AD417" s="6"/>
      <c r="AE417" s="6"/>
      <c r="AF417" s="6"/>
      <c r="AG417" s="6"/>
      <c r="AH417" s="6"/>
      <c r="AI417" s="6"/>
      <c r="AJ417" s="6"/>
    </row>
    <row r="418" spans="1:36" x14ac:dyDescent="0.2">
      <c r="A418" s="37" t="s">
        <v>52</v>
      </c>
      <c r="B418" s="38" t="s">
        <v>51</v>
      </c>
      <c r="C418" s="14" t="s">
        <v>0</v>
      </c>
      <c r="D418" s="26"/>
      <c r="E418" s="26"/>
      <c r="F418" s="26">
        <v>0.77083333333333337</v>
      </c>
      <c r="G418" s="26">
        <v>0.77083333333333337</v>
      </c>
      <c r="H418" s="26">
        <v>0.77083333333333337</v>
      </c>
      <c r="I418" s="26"/>
      <c r="J418" s="26"/>
      <c r="K418" s="16"/>
      <c r="L418" s="6"/>
      <c r="M418" s="21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D418" s="6">
        <f>IF((D418&lt;&gt;"")*(D422=""),IF((D418&lt;=#REF!)*((D419&gt;=#REF!)+(D419&lt;2/24)),1,0),0)</f>
        <v>0</v>
      </c>
      <c r="AE418" s="6">
        <f>IF((E418&lt;&gt;"")*(E422=""),IF((E418&lt;=#REF!)*((E419&gt;=#REF!)+(E419&lt;2/24)),1,0),0)</f>
        <v>0</v>
      </c>
      <c r="AF418" s="6" t="e">
        <f>IF((F418&lt;&gt;"")*(F422=""),IF((F418&lt;=#REF!)*((F419&gt;=#REF!)+(F419&lt;2/24)),1,0),0)</f>
        <v>#REF!</v>
      </c>
      <c r="AG418" s="6" t="e">
        <f>IF((G418&lt;&gt;"")*(G422=""),IF((G418&lt;=#REF!)*((G419&gt;=#REF!)+(G419&lt;2/24)),1,0),0)</f>
        <v>#REF!</v>
      </c>
      <c r="AH418" s="6" t="e">
        <f>IF((H418&lt;&gt;"")*(H422=""),IF((H418&lt;=#REF!)*((H419&gt;=#REF!)+(H419&lt;2/24)),1,0),0)</f>
        <v>#REF!</v>
      </c>
      <c r="AI418" s="6">
        <f>IF((I418&lt;&gt;"")*(I422=""),IF((I418&lt;=#REF!)*((I419&gt;=#REF!)+(I419&lt;2/24)),1,0),0)</f>
        <v>0</v>
      </c>
      <c r="AJ418" s="6">
        <f>IF((J418&lt;&gt;"")*(J422=""),IF((J418&lt;=#REF!)*((J419&gt;=#REF!)+(J419&lt;2/24)),1,0),0)</f>
        <v>0</v>
      </c>
    </row>
    <row r="419" spans="1:36" x14ac:dyDescent="0.2">
      <c r="A419" s="39"/>
      <c r="B419" s="40"/>
      <c r="C419" s="15" t="s">
        <v>1</v>
      </c>
      <c r="D419" s="27"/>
      <c r="E419" s="27"/>
      <c r="F419" s="27">
        <v>0.95833333333333337</v>
      </c>
      <c r="G419" s="27">
        <v>0.95833333333333337</v>
      </c>
      <c r="H419" s="27">
        <v>0.95833333333333337</v>
      </c>
      <c r="I419" s="27"/>
      <c r="J419" s="27"/>
      <c r="K419" s="17"/>
      <c r="L419" s="6"/>
      <c r="M419" s="21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D419" s="6">
        <f>IF((D418&lt;&gt;"")*(D422=""),IF((D418&lt;=#REF!)*((D419&gt;=#REF!)+(D419&lt;2/24)),1,0),0)</f>
        <v>0</v>
      </c>
      <c r="AE419" s="6">
        <f>IF((E418&lt;&gt;"")*(E422=""),IF((E418&lt;=#REF!)*((E419&gt;=#REF!)+(E419&lt;2/24)),1,0),0)</f>
        <v>0</v>
      </c>
      <c r="AF419" s="6" t="e">
        <f>IF((F418&lt;&gt;"")*(F422=""),IF((F418&lt;=#REF!)*((F419&gt;=#REF!)+(F419&lt;2/24)),1,0),0)</f>
        <v>#REF!</v>
      </c>
      <c r="AG419" s="6" t="e">
        <f>IF((G418&lt;&gt;"")*(G422=""),IF((G418&lt;=#REF!)*((G419&gt;=#REF!)+(G419&lt;2/24)),1,0),0)</f>
        <v>#REF!</v>
      </c>
      <c r="AH419" s="6" t="e">
        <f>IF((H418&lt;&gt;"")*(H422=""),IF((H418&lt;=#REF!)*((H419&gt;=#REF!)+(H419&lt;2/24)),1,0),0)</f>
        <v>#REF!</v>
      </c>
      <c r="AI419" s="6">
        <f>IF((I418&lt;&gt;"")*(I422=""),IF((I418&lt;=#REF!)*((I419&gt;=#REF!)+(I419&lt;2/24)),1,0),0)</f>
        <v>0</v>
      </c>
      <c r="AJ419" s="6">
        <f>IF((J418&lt;&gt;"")*(J422=""),IF((J418&lt;=#REF!)*((J419&gt;=#REF!)+(J419&lt;2/24)),1,0),0)</f>
        <v>0</v>
      </c>
    </row>
    <row r="420" spans="1:36" x14ac:dyDescent="0.2">
      <c r="A420" s="64" t="s">
        <v>176</v>
      </c>
      <c r="B420" s="40"/>
      <c r="C420" s="15" t="s">
        <v>2</v>
      </c>
      <c r="D420" s="4"/>
      <c r="E420" s="4"/>
      <c r="F420" s="4"/>
      <c r="G420" s="4"/>
      <c r="H420" s="4"/>
      <c r="I420" s="4"/>
      <c r="J420" s="4"/>
      <c r="K420" s="17"/>
      <c r="L420" s="6"/>
      <c r="M420" s="21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D420" s="6">
        <f>IF((D418&lt;&gt;"")*(D422=""),IF((D418&lt;=#REF!)*((D419&gt;=#REF!)+(D419&lt;2/24)),1,0),0)</f>
        <v>0</v>
      </c>
      <c r="AE420" s="6">
        <f>IF((E418&lt;&gt;"")*(E422=""),IF((E418&lt;=#REF!)*((E419&gt;=#REF!)+(E419&lt;2/24)),1,0),0)</f>
        <v>0</v>
      </c>
      <c r="AF420" s="6" t="e">
        <f>IF((F418&lt;&gt;"")*(F422=""),IF((F418&lt;=#REF!)*((F419&gt;=#REF!)+(F419&lt;2/24)),1,0),0)</f>
        <v>#REF!</v>
      </c>
      <c r="AG420" s="6" t="e">
        <f>IF((G418&lt;&gt;"")*(G422=""),IF((G418&lt;=#REF!)*((G419&gt;=#REF!)+(G419&lt;2/24)),1,0),0)</f>
        <v>#REF!</v>
      </c>
      <c r="AH420" s="6" t="e">
        <f>IF((H418&lt;&gt;"")*(H422=""),IF((H418&lt;=#REF!)*((H419&gt;=#REF!)+(H419&lt;2/24)),1,0),0)</f>
        <v>#REF!</v>
      </c>
      <c r="AI420" s="6">
        <f>IF((I418&lt;&gt;"")*(I422=""),IF((I418&lt;=#REF!)*((I419&gt;=#REF!)+(I419&lt;2/24)),1,0),0)</f>
        <v>0</v>
      </c>
      <c r="AJ420" s="6">
        <f>IF((J418&lt;&gt;"")*(J422=""),IF((J418&lt;=#REF!)*((J419&gt;=#REF!)+(J419&lt;2/24)),1,0),0)</f>
        <v>0</v>
      </c>
    </row>
    <row r="421" spans="1:36" x14ac:dyDescent="0.2">
      <c r="A421" s="64" t="s">
        <v>150</v>
      </c>
      <c r="B421" s="40"/>
      <c r="C421" s="15" t="s">
        <v>3</v>
      </c>
      <c r="D421" s="55" t="str">
        <f t="shared" ref="D421:I421" si="496">IF(D418="","",IF(D419&gt;D418,(D419-D418-D420)*24,(1-D418-D420+D419)*24))</f>
        <v/>
      </c>
      <c r="E421" s="43"/>
      <c r="F421" s="43">
        <f t="shared" si="496"/>
        <v>4.5</v>
      </c>
      <c r="G421" s="43">
        <f t="shared" si="496"/>
        <v>4.5</v>
      </c>
      <c r="H421" s="43">
        <f t="shared" si="496"/>
        <v>4.5</v>
      </c>
      <c r="I421" s="43" t="str">
        <f t="shared" si="496"/>
        <v/>
      </c>
      <c r="J421" s="44"/>
      <c r="K421" s="18">
        <f>SUMIF(D422:J422,"",D421:J421)</f>
        <v>13.5</v>
      </c>
      <c r="L421" s="12">
        <f>SUM(D421:J421)</f>
        <v>13.5</v>
      </c>
      <c r="M421" s="24"/>
      <c r="N421" s="10" t="str">
        <f t="shared" ref="N421:T421" si="497">IF(D422="",D421,0)</f>
        <v/>
      </c>
      <c r="O421" s="10">
        <f t="shared" si="497"/>
        <v>0</v>
      </c>
      <c r="P421" s="10">
        <f t="shared" si="497"/>
        <v>4.5</v>
      </c>
      <c r="Q421" s="10">
        <f t="shared" si="497"/>
        <v>4.5</v>
      </c>
      <c r="R421" s="10">
        <f t="shared" si="497"/>
        <v>4.5</v>
      </c>
      <c r="S421" s="10" t="str">
        <f t="shared" si="497"/>
        <v/>
      </c>
      <c r="T421" s="10">
        <f t="shared" si="497"/>
        <v>0</v>
      </c>
      <c r="U421" s="10"/>
      <c r="V421" s="10" t="str">
        <f t="shared" ref="V421:AB421" si="498">D421</f>
        <v/>
      </c>
      <c r="W421" s="10">
        <f t="shared" si="498"/>
        <v>0</v>
      </c>
      <c r="X421" s="10">
        <f t="shared" si="498"/>
        <v>4.5</v>
      </c>
      <c r="Y421" s="10">
        <f t="shared" si="498"/>
        <v>4.5</v>
      </c>
      <c r="Z421" s="10">
        <f t="shared" si="498"/>
        <v>4.5</v>
      </c>
      <c r="AA421" s="10" t="str">
        <f t="shared" si="498"/>
        <v/>
      </c>
      <c r="AB421" s="10">
        <f t="shared" si="498"/>
        <v>0</v>
      </c>
      <c r="AD421" s="6">
        <f>IF((D418&lt;&gt;"")*(D422=""),IF((D418&lt;=#REF!)*((D419&gt;=#REF!)+(D419&lt;2/24)),1,0),0)</f>
        <v>0</v>
      </c>
      <c r="AE421" s="6">
        <f>IF((E418&lt;&gt;"")*(E422=""),IF((E418&lt;=#REF!)*((E419&gt;=#REF!)+(E419&lt;2/24)),1,0),0)</f>
        <v>0</v>
      </c>
      <c r="AF421" s="6" t="e">
        <f>IF((F418&lt;&gt;"")*(F422=""),IF((F418&lt;=#REF!)*((F419&gt;=#REF!)+(F419&lt;2/24)),1,0),0)</f>
        <v>#REF!</v>
      </c>
      <c r="AG421" s="6" t="e">
        <f>IF((G418&lt;&gt;"")*(G422=""),IF((G418&lt;=#REF!)*((G419&gt;=#REF!)+(G419&lt;2/24)),1,0),0)</f>
        <v>#REF!</v>
      </c>
      <c r="AH421" s="6" t="e">
        <f>IF((H418&lt;&gt;"")*(H422=""),IF((H418&lt;=#REF!)*((H419&gt;=#REF!)+(H419&lt;2/24)),1,0),0)</f>
        <v>#REF!</v>
      </c>
      <c r="AI421" s="6">
        <f>IF((I418&lt;&gt;"")*(I422=""),IF((I418&lt;=#REF!)*((I419&gt;=#REF!)+(I419&lt;2/24)),1,0),0)</f>
        <v>0</v>
      </c>
      <c r="AJ421" s="6">
        <f>IF((J418&lt;&gt;"")*(J422=""),IF((J418&lt;=#REF!)*((J419&gt;=#REF!)+(J419&lt;2/24)),1,0),0)</f>
        <v>0</v>
      </c>
    </row>
    <row r="422" spans="1:36" x14ac:dyDescent="0.2">
      <c r="A422" s="39"/>
      <c r="B422" s="40"/>
      <c r="C422" s="32" t="s">
        <v>4</v>
      </c>
      <c r="D422" s="33"/>
      <c r="E422" s="33"/>
      <c r="F422" s="33"/>
      <c r="G422" s="33"/>
      <c r="H422" s="33"/>
      <c r="I422" s="33"/>
      <c r="J422" s="33"/>
      <c r="K422" s="17"/>
      <c r="L422" s="6"/>
      <c r="M422" s="25"/>
      <c r="N422" s="6"/>
      <c r="O422" s="6"/>
      <c r="P422" s="6"/>
      <c r="Q422" s="6"/>
      <c r="R422" s="6"/>
      <c r="S422" s="6"/>
      <c r="T422" s="6"/>
      <c r="U422" s="6"/>
      <c r="V422" s="20"/>
      <c r="W422" s="20"/>
      <c r="X422" s="20"/>
      <c r="Y422" s="20"/>
      <c r="Z422" s="20"/>
      <c r="AA422" s="20"/>
      <c r="AB422" s="20"/>
      <c r="AD422" s="6">
        <f>IF((D418&lt;&gt;"")*(D422=""),IF((D418&lt;=#REF!)*((D419&gt;=#REF!)+(D419&lt;2/24)),1,0),0)</f>
        <v>0</v>
      </c>
      <c r="AE422" s="6">
        <f>IF((E418&lt;&gt;"")*(E422=""),IF((E418&lt;=#REF!)*((E419&gt;=#REF!)+(E419&lt;2/24)),1,0),0)</f>
        <v>0</v>
      </c>
      <c r="AF422" s="6" t="e">
        <f>IF((F418&lt;&gt;"")*(F422=""),IF((F418&lt;=#REF!)*((F419&gt;=#REF!)+(F419&lt;2/24)),1,0),0)</f>
        <v>#REF!</v>
      </c>
      <c r="AG422" s="6" t="e">
        <f>IF((G418&lt;&gt;"")*(G422=""),IF((G418&lt;=#REF!)*((G419&gt;=#REF!)+(G419&lt;2/24)),1,0),0)</f>
        <v>#REF!</v>
      </c>
      <c r="AH422" s="6" t="e">
        <f>IF((H418&lt;&gt;"")*(H422=""),IF((H418&lt;=#REF!)*((H419&gt;=#REF!)+(H419&lt;2/24)),1,0),0)</f>
        <v>#REF!</v>
      </c>
      <c r="AI422" s="6">
        <f>IF((I418&lt;&gt;"")*(I422=""),IF((I418&lt;=#REF!)*((I419&gt;=#REF!)+(I419&lt;2/24)),1,0),0)</f>
        <v>0</v>
      </c>
      <c r="AJ422" s="6">
        <f>IF((J418&lt;&gt;"")*(J422=""),IF((J418&lt;=#REF!)*((J419&gt;=#REF!)+(J419&lt;2/24)),1,0),0)</f>
        <v>0</v>
      </c>
    </row>
    <row r="423" spans="1:36" ht="13.5" thickBot="1" x14ac:dyDescent="0.25">
      <c r="A423" s="41"/>
      <c r="B423" s="42"/>
      <c r="C423" s="35" t="s">
        <v>28</v>
      </c>
      <c r="D423" s="36"/>
      <c r="E423" s="36"/>
      <c r="F423" s="36" t="s">
        <v>160</v>
      </c>
      <c r="G423" s="36"/>
      <c r="H423" s="36"/>
      <c r="I423" s="36"/>
      <c r="J423" s="36"/>
      <c r="K423" s="34"/>
      <c r="L423" s="6"/>
      <c r="M423" s="25"/>
      <c r="N423" s="6"/>
      <c r="O423" s="6"/>
      <c r="P423" s="6"/>
      <c r="Q423" s="6"/>
      <c r="R423" s="6"/>
      <c r="S423" s="6"/>
      <c r="T423" s="6"/>
      <c r="U423" s="6"/>
      <c r="V423" s="20"/>
      <c r="W423" s="20"/>
      <c r="X423" s="20"/>
      <c r="Y423" s="20"/>
      <c r="Z423" s="20"/>
      <c r="AA423" s="20"/>
      <c r="AB423" s="20"/>
      <c r="AD423" s="6"/>
      <c r="AE423" s="6"/>
      <c r="AF423" s="6"/>
      <c r="AG423" s="6"/>
      <c r="AH423" s="6"/>
      <c r="AI423" s="6"/>
      <c r="AJ423" s="6"/>
    </row>
    <row r="424" spans="1:36" x14ac:dyDescent="0.2">
      <c r="A424" s="37" t="s">
        <v>118</v>
      </c>
      <c r="B424" s="38" t="s">
        <v>45</v>
      </c>
      <c r="C424" s="14" t="s">
        <v>0</v>
      </c>
      <c r="D424" s="26"/>
      <c r="E424" s="26"/>
      <c r="F424" s="26"/>
      <c r="G424" s="26"/>
      <c r="H424" s="26"/>
      <c r="I424" s="26"/>
      <c r="J424" s="26"/>
      <c r="K424" s="16"/>
      <c r="L424" s="6"/>
      <c r="M424" s="21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D424" s="6">
        <f>IF((D424&lt;&gt;"")*(D428=""),IF((D424&lt;=#REF!)*((D425&gt;=#REF!)+(D425&lt;2/24)),1,0),0)</f>
        <v>0</v>
      </c>
      <c r="AE424" s="6">
        <f>IF((E424&lt;&gt;"")*(E428=""),IF((E424&lt;=#REF!)*((E425&gt;=#REF!)+(E425&lt;2/24)),1,0),0)</f>
        <v>0</v>
      </c>
      <c r="AF424" s="6">
        <f>IF((F424&lt;&gt;"")*(F428=""),IF((F424&lt;=#REF!)*((F425&gt;=#REF!)+(F425&lt;2/24)),1,0),0)</f>
        <v>0</v>
      </c>
      <c r="AG424" s="6">
        <f>IF((G424&lt;&gt;"")*(G428=""),IF((G424&lt;=#REF!)*((G425&gt;=#REF!)+(G425&lt;2/24)),1,0),0)</f>
        <v>0</v>
      </c>
      <c r="AH424" s="6">
        <f>IF((H424&lt;&gt;"")*(H428=""),IF((H424&lt;=#REF!)*((H425&gt;=#REF!)+(H425&lt;2/24)),1,0),0)</f>
        <v>0</v>
      </c>
      <c r="AI424" s="6">
        <f>IF((I424&lt;&gt;"")*(I428=""),IF((I424&lt;=#REF!)*((I425&gt;=#REF!)+(I425&lt;2/24)),1,0),0)</f>
        <v>0</v>
      </c>
      <c r="AJ424" s="6">
        <f>IF((J424&lt;&gt;"")*(J428=""),IF((J424&lt;=#REF!)*((J425&gt;=#REF!)+(J425&lt;2/24)),1,0),0)</f>
        <v>0</v>
      </c>
    </row>
    <row r="425" spans="1:36" x14ac:dyDescent="0.2">
      <c r="A425" s="39"/>
      <c r="B425" s="40"/>
      <c r="C425" s="15" t="s">
        <v>1</v>
      </c>
      <c r="D425" s="27"/>
      <c r="E425" s="27"/>
      <c r="F425" s="27"/>
      <c r="G425" s="27"/>
      <c r="H425" s="27"/>
      <c r="I425" s="27"/>
      <c r="J425" s="27"/>
      <c r="K425" s="17"/>
      <c r="L425" s="6"/>
      <c r="M425" s="21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D425" s="6">
        <f>IF((D424&lt;&gt;"")*(D428=""),IF((D424&lt;=#REF!)*((D425&gt;=#REF!)+(D425&lt;2/24)),1,0),0)</f>
        <v>0</v>
      </c>
      <c r="AE425" s="6">
        <f>IF((E424&lt;&gt;"")*(E428=""),IF((E424&lt;=#REF!)*((E425&gt;=#REF!)+(E425&lt;2/24)),1,0),0)</f>
        <v>0</v>
      </c>
      <c r="AF425" s="6">
        <f>IF((F424&lt;&gt;"")*(F428=""),IF((F424&lt;=#REF!)*((F425&gt;=#REF!)+(F425&lt;2/24)),1,0),0)</f>
        <v>0</v>
      </c>
      <c r="AG425" s="6">
        <f>IF((G424&lt;&gt;"")*(G428=""),IF((G424&lt;=#REF!)*((G425&gt;=#REF!)+(G425&lt;2/24)),1,0),0)</f>
        <v>0</v>
      </c>
      <c r="AH425" s="6">
        <f>IF((H424&lt;&gt;"")*(H428=""),IF((H424&lt;=#REF!)*((H425&gt;=#REF!)+(H425&lt;2/24)),1,0),0)</f>
        <v>0</v>
      </c>
      <c r="AI425" s="6">
        <f>IF((I424&lt;&gt;"")*(I428=""),IF((I424&lt;=#REF!)*((I425&gt;=#REF!)+(I425&lt;2/24)),1,0),0)</f>
        <v>0</v>
      </c>
      <c r="AJ425" s="6">
        <f>IF((J424&lt;&gt;"")*(J428=""),IF((J424&lt;=#REF!)*((J425&gt;=#REF!)+(J425&lt;2/24)),1,0),0)</f>
        <v>0</v>
      </c>
    </row>
    <row r="426" spans="1:36" x14ac:dyDescent="0.2">
      <c r="A426" s="64" t="s">
        <v>172</v>
      </c>
      <c r="B426" s="40"/>
      <c r="C426" s="15" t="s">
        <v>2</v>
      </c>
      <c r="D426" s="4"/>
      <c r="E426" s="4"/>
      <c r="F426" s="4"/>
      <c r="G426" s="4"/>
      <c r="H426" s="4"/>
      <c r="I426" s="4"/>
      <c r="J426" s="4"/>
      <c r="K426" s="17"/>
      <c r="L426" s="6"/>
      <c r="M426" s="21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D426" s="6">
        <f>IF((D424&lt;&gt;"")*(D428=""),IF((D424&lt;=#REF!)*((D425&gt;=#REF!)+(D425&lt;2/24)),1,0),0)</f>
        <v>0</v>
      </c>
      <c r="AE426" s="6">
        <f>IF((E424&lt;&gt;"")*(E428=""),IF((E424&lt;=#REF!)*((E425&gt;=#REF!)+(E425&lt;2/24)),1,0),0)</f>
        <v>0</v>
      </c>
      <c r="AF426" s="6">
        <f>IF((F424&lt;&gt;"")*(F428=""),IF((F424&lt;=#REF!)*((F425&gt;=#REF!)+(F425&lt;2/24)),1,0),0)</f>
        <v>0</v>
      </c>
      <c r="AG426" s="6">
        <f>IF((G424&lt;&gt;"")*(G428=""),IF((G424&lt;=#REF!)*((G425&gt;=#REF!)+(G425&lt;2/24)),1,0),0)</f>
        <v>0</v>
      </c>
      <c r="AH426" s="6">
        <f>IF((H424&lt;&gt;"")*(H428=""),IF((H424&lt;=#REF!)*((H425&gt;=#REF!)+(H425&lt;2/24)),1,0),0)</f>
        <v>0</v>
      </c>
      <c r="AI426" s="6">
        <f>IF((I424&lt;&gt;"")*(I428=""),IF((I424&lt;=#REF!)*((I425&gt;=#REF!)+(I425&lt;2/24)),1,0),0)</f>
        <v>0</v>
      </c>
      <c r="AJ426" s="6">
        <f>IF((J424&lt;&gt;"")*(J428=""),IF((J424&lt;=#REF!)*((J425&gt;=#REF!)+(J425&lt;2/24)),1,0),0)</f>
        <v>0</v>
      </c>
    </row>
    <row r="427" spans="1:36" x14ac:dyDescent="0.2">
      <c r="A427" s="64" t="s">
        <v>150</v>
      </c>
      <c r="B427" s="40"/>
      <c r="C427" s="15" t="s">
        <v>3</v>
      </c>
      <c r="D427" s="55" t="str">
        <f t="shared" ref="D427:I427" si="499">IF(D424="","",IF(D425&gt;D424,(D425-D424-D426)*24,(1-D424-D426+D425)*24))</f>
        <v/>
      </c>
      <c r="E427" s="43" t="str">
        <f t="shared" si="499"/>
        <v/>
      </c>
      <c r="F427" s="43" t="str">
        <f t="shared" si="499"/>
        <v/>
      </c>
      <c r="G427" s="43" t="str">
        <f t="shared" si="499"/>
        <v/>
      </c>
      <c r="H427" s="43" t="str">
        <f t="shared" si="499"/>
        <v/>
      </c>
      <c r="I427" s="43" t="str">
        <f t="shared" si="499"/>
        <v/>
      </c>
      <c r="J427" s="44"/>
      <c r="K427" s="18">
        <f>SUMIF(D428:J428,"",D427:J427)</f>
        <v>0</v>
      </c>
      <c r="L427" s="12">
        <f>SUM(D427:J427)</f>
        <v>0</v>
      </c>
      <c r="M427" s="24"/>
      <c r="N427" s="10" t="str">
        <f t="shared" ref="N427" si="500">IF(D428="",D427,0)</f>
        <v/>
      </c>
      <c r="O427" s="10" t="str">
        <f t="shared" ref="O427" si="501">IF(E428="",E427,0)</f>
        <v/>
      </c>
      <c r="P427" s="10" t="str">
        <f t="shared" ref="P427" si="502">IF(F428="",F427,0)</f>
        <v/>
      </c>
      <c r="Q427" s="10" t="str">
        <f t="shared" ref="Q427" si="503">IF(G428="",G427,0)</f>
        <v/>
      </c>
      <c r="R427" s="10" t="str">
        <f t="shared" ref="R427" si="504">IF(H428="",H427,0)</f>
        <v/>
      </c>
      <c r="S427" s="10" t="str">
        <f t="shared" ref="S427" si="505">IF(I428="",I427,0)</f>
        <v/>
      </c>
      <c r="T427" s="10">
        <f t="shared" ref="T427" si="506">IF(J428="",J427,0)</f>
        <v>0</v>
      </c>
      <c r="U427" s="10"/>
      <c r="V427" s="10" t="str">
        <f t="shared" ref="V427" si="507">D427</f>
        <v/>
      </c>
      <c r="W427" s="10" t="str">
        <f t="shared" ref="W427" si="508">E427</f>
        <v/>
      </c>
      <c r="X427" s="10" t="str">
        <f t="shared" ref="X427" si="509">F427</f>
        <v/>
      </c>
      <c r="Y427" s="10" t="str">
        <f t="shared" ref="Y427" si="510">G427</f>
        <v/>
      </c>
      <c r="Z427" s="10" t="str">
        <f t="shared" ref="Z427" si="511">H427</f>
        <v/>
      </c>
      <c r="AA427" s="10" t="str">
        <f t="shared" ref="AA427" si="512">I427</f>
        <v/>
      </c>
      <c r="AB427" s="10">
        <f t="shared" ref="AB427" si="513">J427</f>
        <v>0</v>
      </c>
      <c r="AD427" s="6">
        <f>IF((D424&lt;&gt;"")*(D428=""),IF((D424&lt;=#REF!)*((D425&gt;=#REF!)+(D425&lt;2/24)),1,0),0)</f>
        <v>0</v>
      </c>
      <c r="AE427" s="6">
        <f>IF((E424&lt;&gt;"")*(E428=""),IF((E424&lt;=#REF!)*((E425&gt;=#REF!)+(E425&lt;2/24)),1,0),0)</f>
        <v>0</v>
      </c>
      <c r="AF427" s="6">
        <f>IF((F424&lt;&gt;"")*(F428=""),IF((F424&lt;=#REF!)*((F425&gt;=#REF!)+(F425&lt;2/24)),1,0),0)</f>
        <v>0</v>
      </c>
      <c r="AG427" s="6">
        <f>IF((G424&lt;&gt;"")*(G428=""),IF((G424&lt;=#REF!)*((G425&gt;=#REF!)+(G425&lt;2/24)),1,0),0)</f>
        <v>0</v>
      </c>
      <c r="AH427" s="6">
        <f>IF((H424&lt;&gt;"")*(H428=""),IF((H424&lt;=#REF!)*((H425&gt;=#REF!)+(H425&lt;2/24)),1,0),0)</f>
        <v>0</v>
      </c>
      <c r="AI427" s="6">
        <f>IF((I424&lt;&gt;"")*(I428=""),IF((I424&lt;=#REF!)*((I425&gt;=#REF!)+(I425&lt;2/24)),1,0),0)</f>
        <v>0</v>
      </c>
      <c r="AJ427" s="6">
        <f>IF((J424&lt;&gt;"")*(J428=""),IF((J424&lt;=#REF!)*((J425&gt;=#REF!)+(J425&lt;2/24)),1,0),0)</f>
        <v>0</v>
      </c>
    </row>
    <row r="428" spans="1:36" x14ac:dyDescent="0.2">
      <c r="A428" s="64"/>
      <c r="B428" s="40"/>
      <c r="C428" s="32" t="s">
        <v>4</v>
      </c>
      <c r="D428" s="33"/>
      <c r="E428" s="33"/>
      <c r="F428" s="33"/>
      <c r="G428" s="33"/>
      <c r="H428" s="33"/>
      <c r="I428" s="33"/>
      <c r="J428" s="33"/>
      <c r="K428" s="17"/>
      <c r="L428" s="6"/>
      <c r="M428" s="25"/>
      <c r="N428" s="6"/>
      <c r="O428" s="6"/>
      <c r="P428" s="6"/>
      <c r="Q428" s="6"/>
      <c r="R428" s="6"/>
      <c r="S428" s="6"/>
      <c r="T428" s="6"/>
      <c r="U428" s="6"/>
      <c r="V428" s="20"/>
      <c r="W428" s="20"/>
      <c r="X428" s="20"/>
      <c r="Y428" s="20"/>
      <c r="Z428" s="20"/>
      <c r="AA428" s="20"/>
      <c r="AB428" s="20"/>
      <c r="AD428" s="6">
        <f>IF((D424&lt;&gt;"")*(D428=""),IF((D424&lt;=#REF!)*((D425&gt;=#REF!)+(D425&lt;2/24)),1,0),0)</f>
        <v>0</v>
      </c>
      <c r="AE428" s="6">
        <f>IF((E424&lt;&gt;"")*(E428=""),IF((E424&lt;=#REF!)*((E425&gt;=#REF!)+(E425&lt;2/24)),1,0),0)</f>
        <v>0</v>
      </c>
      <c r="AF428" s="6">
        <f>IF((F424&lt;&gt;"")*(F428=""),IF((F424&lt;=#REF!)*((F425&gt;=#REF!)+(F425&lt;2/24)),1,0),0)</f>
        <v>0</v>
      </c>
      <c r="AG428" s="6">
        <f>IF((G424&lt;&gt;"")*(G428=""),IF((G424&lt;=#REF!)*((G425&gt;=#REF!)+(G425&lt;2/24)),1,0),0)</f>
        <v>0</v>
      </c>
      <c r="AH428" s="6">
        <f>IF((H424&lt;&gt;"")*(H428=""),IF((H424&lt;=#REF!)*((H425&gt;=#REF!)+(H425&lt;2/24)),1,0),0)</f>
        <v>0</v>
      </c>
      <c r="AI428" s="6">
        <f>IF((I424&lt;&gt;"")*(I428=""),IF((I424&lt;=#REF!)*((I425&gt;=#REF!)+(I425&lt;2/24)),1,0),0)</f>
        <v>0</v>
      </c>
      <c r="AJ428" s="6">
        <f>IF((J424&lt;&gt;"")*(J428=""),IF((J424&lt;=#REF!)*((J425&gt;=#REF!)+(J425&lt;2/24)),1,0),0)</f>
        <v>0</v>
      </c>
    </row>
    <row r="429" spans="1:36" ht="13.5" thickBot="1" x14ac:dyDescent="0.25">
      <c r="A429" s="92"/>
      <c r="B429" s="42"/>
      <c r="C429" s="35" t="s">
        <v>28</v>
      </c>
      <c r="D429" s="93"/>
      <c r="E429" s="93"/>
      <c r="F429" s="93"/>
      <c r="G429" s="93"/>
      <c r="H429" s="93"/>
      <c r="I429" s="93"/>
      <c r="J429" s="93"/>
      <c r="K429" s="94"/>
      <c r="L429" s="6"/>
      <c r="M429" s="25"/>
      <c r="N429" s="6"/>
      <c r="O429" s="6"/>
      <c r="P429" s="6"/>
      <c r="Q429" s="6"/>
      <c r="R429" s="6"/>
      <c r="S429" s="6"/>
      <c r="T429" s="6"/>
      <c r="U429" s="6"/>
      <c r="V429" s="20"/>
      <c r="W429" s="20"/>
      <c r="X429" s="20"/>
      <c r="Y429" s="20"/>
      <c r="Z429" s="20"/>
      <c r="AA429" s="20"/>
      <c r="AB429" s="20"/>
      <c r="AD429" s="6"/>
      <c r="AE429" s="6"/>
      <c r="AF429" s="6"/>
      <c r="AG429" s="6"/>
      <c r="AH429" s="6"/>
      <c r="AI429" s="6"/>
      <c r="AJ429" s="6"/>
    </row>
    <row r="430" spans="1:36" x14ac:dyDescent="0.2">
      <c r="A430" s="98" t="s">
        <v>60</v>
      </c>
      <c r="B430" s="38" t="s">
        <v>51</v>
      </c>
      <c r="C430" s="14" t="s">
        <v>0</v>
      </c>
      <c r="D430" s="91"/>
      <c r="E430" s="91"/>
      <c r="F430" s="91"/>
      <c r="G430" s="91"/>
      <c r="H430" s="99">
        <v>0.77083333333333337</v>
      </c>
      <c r="I430" s="91"/>
      <c r="J430" s="99">
        <v>0.77083333333333337</v>
      </c>
      <c r="K430" s="17"/>
      <c r="L430" s="6"/>
      <c r="M430" s="25"/>
      <c r="N430" s="6"/>
      <c r="O430" s="6"/>
      <c r="P430" s="6"/>
      <c r="Q430" s="6"/>
      <c r="R430" s="6"/>
      <c r="S430" s="6"/>
      <c r="T430" s="6"/>
      <c r="U430" s="6"/>
      <c r="V430" s="20"/>
      <c r="W430" s="20"/>
      <c r="X430" s="20"/>
      <c r="Y430" s="20"/>
      <c r="Z430" s="20"/>
      <c r="AA430" s="20"/>
      <c r="AB430" s="20"/>
      <c r="AD430" s="6"/>
      <c r="AE430" s="6"/>
      <c r="AF430" s="6"/>
      <c r="AG430" s="6"/>
      <c r="AH430" s="6"/>
      <c r="AI430" s="6"/>
      <c r="AJ430" s="6"/>
    </row>
    <row r="431" spans="1:36" x14ac:dyDescent="0.2">
      <c r="A431" s="64"/>
      <c r="B431" s="40"/>
      <c r="C431" s="15" t="s">
        <v>1</v>
      </c>
      <c r="D431" s="33"/>
      <c r="E431" s="33"/>
      <c r="F431" s="33"/>
      <c r="G431" s="33"/>
      <c r="H431" s="100">
        <v>0.95833333333333337</v>
      </c>
      <c r="I431" s="33"/>
      <c r="J431" s="100">
        <v>0.95833333333333337</v>
      </c>
      <c r="K431" s="17"/>
      <c r="L431" s="6"/>
      <c r="M431" s="25"/>
      <c r="N431" s="6"/>
      <c r="O431" s="6"/>
      <c r="P431" s="6"/>
      <c r="Q431" s="6"/>
      <c r="R431" s="6"/>
      <c r="S431" s="6"/>
      <c r="T431" s="6"/>
      <c r="U431" s="6"/>
      <c r="V431" s="20"/>
      <c r="W431" s="20"/>
      <c r="X431" s="20"/>
      <c r="Y431" s="20"/>
      <c r="Z431" s="20"/>
      <c r="AA431" s="20"/>
      <c r="AB431" s="20"/>
      <c r="AD431" s="6"/>
      <c r="AE431" s="6"/>
      <c r="AF431" s="6"/>
      <c r="AG431" s="6"/>
      <c r="AH431" s="6"/>
      <c r="AI431" s="6"/>
      <c r="AJ431" s="6"/>
    </row>
    <row r="432" spans="1:36" x14ac:dyDescent="0.2">
      <c r="A432" s="64" t="s">
        <v>165</v>
      </c>
      <c r="B432" s="40"/>
      <c r="C432" s="15" t="s">
        <v>2</v>
      </c>
      <c r="D432" s="33"/>
      <c r="E432" s="33"/>
      <c r="F432" s="33"/>
      <c r="G432" s="33"/>
      <c r="H432" s="33"/>
      <c r="I432" s="33"/>
      <c r="J432" s="33"/>
      <c r="K432" s="17"/>
      <c r="L432" s="6"/>
      <c r="M432" s="25"/>
      <c r="N432" s="6"/>
      <c r="O432" s="6"/>
      <c r="P432" s="6"/>
      <c r="Q432" s="6"/>
      <c r="R432" s="6"/>
      <c r="S432" s="6"/>
      <c r="T432" s="6"/>
      <c r="U432" s="6"/>
      <c r="V432" s="20"/>
      <c r="W432" s="20"/>
      <c r="X432" s="20"/>
      <c r="Y432" s="20"/>
      <c r="Z432" s="20"/>
      <c r="AA432" s="20"/>
      <c r="AB432" s="20"/>
      <c r="AD432" s="6"/>
      <c r="AE432" s="6"/>
      <c r="AF432" s="6"/>
      <c r="AG432" s="6"/>
      <c r="AH432" s="6"/>
      <c r="AI432" s="6"/>
      <c r="AJ432" s="6"/>
    </row>
    <row r="433" spans="1:36" x14ac:dyDescent="0.2">
      <c r="A433" s="64" t="s">
        <v>150</v>
      </c>
      <c r="B433" s="40"/>
      <c r="C433" s="15" t="s">
        <v>3</v>
      </c>
      <c r="D433" s="33"/>
      <c r="E433" s="43" t="str">
        <f t="shared" ref="E433:J433" si="514">IF(E430="","",IF(E431&gt;E430,(E431-E430-E432)*24,(1-E430-E432+E431)*24))</f>
        <v/>
      </c>
      <c r="F433" s="43" t="str">
        <f t="shared" si="514"/>
        <v/>
      </c>
      <c r="G433" s="43" t="str">
        <f t="shared" si="514"/>
        <v/>
      </c>
      <c r="H433" s="43">
        <f t="shared" si="514"/>
        <v>4.5</v>
      </c>
      <c r="I433" s="43" t="str">
        <f t="shared" si="514"/>
        <v/>
      </c>
      <c r="J433" s="44">
        <v>4.5</v>
      </c>
      <c r="K433" s="18">
        <f>SUMIF(D434:J434,"",D433:J433)</f>
        <v>9</v>
      </c>
      <c r="L433" s="12">
        <f>SUM(D433:J433)</f>
        <v>9</v>
      </c>
      <c r="M433" s="25"/>
      <c r="N433" s="6"/>
      <c r="O433" s="6"/>
      <c r="P433" s="6"/>
      <c r="Q433" s="6"/>
      <c r="R433" s="6"/>
      <c r="S433" s="6"/>
      <c r="T433" s="6"/>
      <c r="U433" s="6"/>
      <c r="V433" s="20"/>
      <c r="W433" s="20"/>
      <c r="X433" s="20"/>
      <c r="Y433" s="20"/>
      <c r="Z433" s="20"/>
      <c r="AA433" s="20"/>
      <c r="AB433" s="20"/>
      <c r="AD433" s="6"/>
      <c r="AE433" s="6"/>
      <c r="AF433" s="6"/>
      <c r="AG433" s="6"/>
      <c r="AH433" s="6"/>
      <c r="AI433" s="6"/>
      <c r="AJ433" s="6"/>
    </row>
    <row r="434" spans="1:36" x14ac:dyDescent="0.2">
      <c r="A434" s="64"/>
      <c r="B434" s="40"/>
      <c r="C434" s="32" t="s">
        <v>4</v>
      </c>
      <c r="D434" s="33"/>
      <c r="E434" s="33"/>
      <c r="F434" s="33"/>
      <c r="G434" s="33"/>
      <c r="H434" s="33"/>
      <c r="I434" s="33"/>
      <c r="J434" s="33"/>
      <c r="K434" s="17"/>
      <c r="L434" s="6"/>
      <c r="M434" s="25"/>
      <c r="N434" s="6"/>
      <c r="O434" s="6"/>
      <c r="P434" s="6"/>
      <c r="Q434" s="6"/>
      <c r="R434" s="6"/>
      <c r="S434" s="6"/>
      <c r="T434" s="6"/>
      <c r="U434" s="6"/>
      <c r="V434" s="20"/>
      <c r="W434" s="20"/>
      <c r="X434" s="20"/>
      <c r="Y434" s="20"/>
      <c r="Z434" s="20"/>
      <c r="AA434" s="20"/>
      <c r="AB434" s="20"/>
      <c r="AD434" s="6"/>
      <c r="AE434" s="6"/>
      <c r="AF434" s="6"/>
      <c r="AG434" s="6"/>
      <c r="AH434" s="6"/>
      <c r="AI434" s="6"/>
      <c r="AJ434" s="6"/>
    </row>
    <row r="435" spans="1:36" ht="13.5" thickBot="1" x14ac:dyDescent="0.25">
      <c r="A435" s="41"/>
      <c r="B435" s="42"/>
      <c r="C435" s="35" t="s">
        <v>28</v>
      </c>
      <c r="D435" s="36"/>
      <c r="E435" s="36"/>
      <c r="F435" s="36"/>
      <c r="G435" s="36"/>
      <c r="H435" s="36"/>
      <c r="I435" s="36"/>
      <c r="J435" s="36"/>
      <c r="K435" s="34"/>
      <c r="L435" s="6"/>
      <c r="M435" s="25"/>
      <c r="N435" s="6"/>
      <c r="O435" s="6"/>
      <c r="P435" s="6"/>
      <c r="Q435" s="6"/>
      <c r="R435" s="6"/>
      <c r="S435" s="6"/>
      <c r="T435" s="6"/>
      <c r="U435" s="6"/>
      <c r="V435" s="20"/>
      <c r="W435" s="20"/>
      <c r="X435" s="20"/>
      <c r="Y435" s="20"/>
      <c r="Z435" s="20"/>
      <c r="AA435" s="20"/>
      <c r="AB435" s="20"/>
      <c r="AD435" s="6"/>
      <c r="AE435" s="6"/>
      <c r="AF435" s="6"/>
      <c r="AG435" s="6"/>
      <c r="AH435" s="6"/>
      <c r="AI435" s="6"/>
      <c r="AJ435" s="6"/>
    </row>
    <row r="436" spans="1:36" x14ac:dyDescent="0.2">
      <c r="A436" s="6"/>
      <c r="B436" s="6"/>
      <c r="C436" s="6"/>
      <c r="D436" s="5"/>
      <c r="E436" s="5"/>
      <c r="F436" s="5"/>
      <c r="G436" s="5"/>
      <c r="H436" s="5"/>
      <c r="I436" s="5"/>
      <c r="J436" s="5"/>
      <c r="K436" s="5"/>
      <c r="L436" s="6"/>
    </row>
    <row r="437" spans="1:36" x14ac:dyDescent="0.2">
      <c r="A437" s="6"/>
      <c r="B437" s="6"/>
      <c r="C437" s="7" t="s">
        <v>18</v>
      </c>
      <c r="D437" s="9" t="e">
        <f>#REF!-#REF!</f>
        <v>#REF!</v>
      </c>
      <c r="E437" s="9" t="e">
        <f>#REF!-#REF!</f>
        <v>#REF!</v>
      </c>
      <c r="F437" s="9" t="e">
        <f>#REF!-#REF!</f>
        <v>#REF!</v>
      </c>
      <c r="G437" s="9" t="e">
        <f>#REF!-#REF!</f>
        <v>#REF!</v>
      </c>
      <c r="H437" s="9" t="e">
        <f>#REF!-#REF!</f>
        <v>#REF!</v>
      </c>
      <c r="I437" s="9" t="e">
        <f>#REF!-#REF!</f>
        <v>#REF!</v>
      </c>
      <c r="J437" s="9" t="e">
        <f>#REF!-#REF!</f>
        <v>#REF!</v>
      </c>
      <c r="K437" s="9" t="e">
        <f>#REF!-#REF!</f>
        <v>#REF!</v>
      </c>
      <c r="L437" s="6"/>
    </row>
    <row r="439" spans="1:36" x14ac:dyDescent="0.2">
      <c r="B439" s="5" t="s">
        <v>19</v>
      </c>
      <c r="C439" s="5" t="s">
        <v>20</v>
      </c>
      <c r="D439" s="5"/>
      <c r="E439" s="5"/>
      <c r="F439" s="5"/>
      <c r="G439" s="5"/>
      <c r="H439" s="5"/>
      <c r="I439" s="5"/>
      <c r="J439" s="5"/>
    </row>
    <row r="440" spans="1:36" x14ac:dyDescent="0.2">
      <c r="B440" s="8">
        <v>0.375</v>
      </c>
      <c r="C440" s="8">
        <v>0.54166666666666663</v>
      </c>
      <c r="D440" s="5" t="e">
        <f>#REF!+#REF!+#REF!+#REF!+AD7+#REF!+AD11+AD16+AD21+AD26+AD31+AD36+AD41+AD46+AD51+AD56+AD61+AD66+AD71+AD76+AD81+AD86+AD91+AD96+AD101+AD106+AD111+AD116+AD121+AD126+AD131+AD136+AD141+AD146+AD151+AD156+AD161+AD166+AD171+AD176+AD181+AD186+AD191+AD196+AD201+AD206+AD211+AD216+AD221+AD226</f>
        <v>#REF!</v>
      </c>
      <c r="E440" s="5" t="e">
        <f>#REF!+#REF!+#REF!+#REF!+AE7+#REF!+AE11+AE16+AE21+AE26+AE31+AE36+AE41+AE46+AE51+AE56+AE61+AE66+AE71+AE76+AE81+AE86+AE91+AE96+AE101+AE106+AE111+AE116+AE121+AE126+AE131+AE136+AE141+AE146+AE151+AE156+AE161+AE166+AE171+AE176+AE181+AE186+AE191+AE196+AE201+AE206+AE211+AE216+AE221+AE226</f>
        <v>#REF!</v>
      </c>
      <c r="F440" s="5" t="e">
        <f>#REF!+#REF!+#REF!+#REF!+AF7+#REF!+AF11+AF16+AF21+AF26+AF31+AF36+AF41+AF46+AF51+AF56+AF61+AF66+AF71+AF76+AF81+AF86+AF91+AF96+AF101+AF106+AF111+AF116+AF121+AF126+AF131+AF136+AF141+AF146+AF151+AF156+AF161+AF166+AF171+AF176+AF181+AF186+AF191+AF196+AF201+AF206+AF211+AF216+AF221+AF226</f>
        <v>#REF!</v>
      </c>
      <c r="G440" s="5" t="e">
        <f>#REF!+#REF!+#REF!+#REF!+AG7+#REF!+AG11+AG16+AG21+AG26+AG31+AG36+AG41+AG46+AG51+AG56+AG61+AG66+AG71+AG76+AG81+AG86+AG91+AG96+AG101+AG106+AG111+AG116+AG121+AG126+AG131+AG136+AG141+AG146+AG151+AG156+AG161+AG166+AG171+AG176+AG181+AG186+AG191+AG196+AG201+AG206+AG211+AG216+AG221+AG226</f>
        <v>#REF!</v>
      </c>
      <c r="H440" s="5" t="e">
        <f>#REF!+#REF!+#REF!+#REF!+AH7+#REF!+AH11+AH16+AH21+AH26+AH31+AH36+AH41+AH46+AH51+AH56+AH61+AH66+AH71+AH76+AH81+AH86+AH91+AH96+AH101+AH106+AH111+AH116+AH121+AH126+AH131+AH136+AH141+AH146+AH151+AH156+AH161+AH166+AH171+AH176+AH181+AH186+AH191+AH196+AH201+AH206+AH211+AH216+AH221+AH226</f>
        <v>#REF!</v>
      </c>
      <c r="I440" s="5" t="e">
        <f>#REF!+#REF!+#REF!+#REF!+AI7+#REF!+AI11+AI16+AI21+AI26+AI31+AI36+AI41+AI46+AI51+AI56+AI61+AI66+AI71+AI76+AI81+AI86+AI91+AI96+AI101+AI106+AI111+AI116+AI121+AI126+AI131+AI136+AI141+AI146+AI151+AI156+AI161+AI166+AI171+AI176+AI181+AI186+AI191+AI196+AI201+AI206+AI211+AI216+AI221+AI226</f>
        <v>#REF!</v>
      </c>
      <c r="J440" s="5" t="e">
        <f>#REF!+#REF!+#REF!+#REF!+AJ7+#REF!+AJ11+AJ16+AJ21+AJ26+AJ31+AJ36+AJ41+AJ46+AJ51+AJ56+AJ61+AJ66+AJ71+AJ76+AJ81+AJ86+AJ91+AJ96+AJ101+AJ106+AJ111+AJ116+AJ121+AJ126+AJ131+AJ136+AJ141+AJ146+AJ151+AJ156+AJ161+AJ166+AJ171+AJ176+AJ181+AJ186+AJ191+AJ196+AJ201+AJ206+AJ211+AJ216+AJ221+AJ226</f>
        <v>#REF!</v>
      </c>
    </row>
    <row r="441" spans="1:36" x14ac:dyDescent="0.2">
      <c r="B441" s="8">
        <v>0.54166666666666663</v>
      </c>
      <c r="C441" s="8">
        <v>0.75</v>
      </c>
      <c r="D441" s="5" t="e">
        <f>#REF!+#REF!+#REF!+#REF!+AD8+#REF!+AD12+AD17+AD22+AD27+AD32+AD37+AD42+AD47+AD52+AD57+AD62+AD67+AD72+AD77+AD82+AD87+AD92+AD97+AD102+AD107+AD112+AD117+AD122+AD127+AD132+AD137+AD142+AD147+AD152+AD157+AD162+AD167+AD172+AD177+AD182+AD187+AD192+AD197+AD202+AD207+AD212+AD217+AD222+AD227</f>
        <v>#REF!</v>
      </c>
      <c r="E441" s="5" t="e">
        <f>#REF!+#REF!+#REF!+#REF!+AE8+#REF!+AE12+AE17+AE22+AE27+AE32+AE37+AE42+AE47+AE52+AE57+AE62+AE67+AE72+AE77+AE82+AE87+AE92+AE97+AE102+AE107+AE112+AE117+AE122+AE127+AE132+AE137+AE142+AE147+AE152+AE157+AE162+AE167+AE172+AE177+AE182+AE187+AE192+AE197+AE202+AE207+AE212+AE217+AE222+AE227</f>
        <v>#REF!</v>
      </c>
      <c r="F441" s="5" t="e">
        <f>#REF!+#REF!+#REF!+#REF!+AF8+#REF!+AF12+AF17+AF22+AF27+AF32+AF37+AF42+AF47+AF52+AF57+AF62+AF67+AF72+AF77+AF82+AF87+AF92+AF97+AF102+AF107+AF112+AF117+AF122+AF127+AF132+AF137+AF142+AF147+AF152+AF157+AF162+AF167+AF172+AF177+AF182+AF187+AF192+AF197+AF202+AF207+AF212+AF217+AF222+AF227</f>
        <v>#REF!</v>
      </c>
      <c r="G441" s="5" t="e">
        <f>#REF!+#REF!+#REF!+#REF!+AG8+#REF!+AG12+AG17+AG22+AG27+AG32+AG37+AG42+AG47+AG52+AG57+AG62+AG67+AG72+AG77+AG82+AG87+AG92+AG97+AG102+AG107+AG112+AG117+AG122+AG127+AG132+AG137+AG142+AG147+AG152+AG157+AG162+AG167+AG172+AG177+AG182+AG187+AG192+AG197+AG202+AG207+AG212+AG217+AG222+AG227</f>
        <v>#REF!</v>
      </c>
      <c r="H441" s="5" t="e">
        <f>#REF!+#REF!+#REF!+#REF!+AH8+#REF!+AH12+AH17+AH22+AH27+AH32+AH37+AH42+AH47+AH52+AH57+AH62+AH67+AH72+AH77+AH82+AH87+AH92+AH97+AH102+AH107+AH112+AH117+AH122+AH127+AH132+AH137+AH142+AH147+AH152+AH157+AH162+AH167+AH172+AH177+AH182+AH187+AH192+AH197+AH202+AH207+AH212+AH217+AH222+AH227</f>
        <v>#REF!</v>
      </c>
      <c r="I441" s="5" t="e">
        <f>#REF!+#REF!+#REF!+#REF!+AI8+#REF!+AI12+AI17+AI22+AI27+AI32+AI37+AI42+AI47+AI52+AI57+AI62+AI67+AI72+AI77+AI82+AI87+AI92+AI97+AI102+AI107+AI112+AI117+AI122+AI127+AI132+AI137+AI142+AI147+AI152+AI157+AI162+AI167+AI172+AI177+AI182+AI187+AI192+AI197+AI202+AI207+AI212+AI217+AI222+AI227</f>
        <v>#REF!</v>
      </c>
      <c r="J441" s="5" t="e">
        <f>#REF!+#REF!+#REF!+#REF!+AJ8+#REF!+AJ12+AJ17+AJ22+AJ27+AJ32+AJ37+AJ42+AJ47+AJ52+AJ57+AJ62+AJ67+AJ72+AJ77+AJ82+AJ87+AJ92+AJ97+AJ102+AJ107+AJ112+AJ117+AJ122+AJ127+AJ132+AJ137+AJ142+AJ147+AJ152+AJ157+AJ162+AJ167+AJ172+AJ177+AJ182+AJ187+AJ192+AJ197+AJ202+AJ207+AJ212+AJ217+AJ222+AJ227</f>
        <v>#REF!</v>
      </c>
    </row>
    <row r="442" spans="1:36" x14ac:dyDescent="0.2">
      <c r="B442" s="8">
        <v>0.79166666666666663</v>
      </c>
      <c r="C442" s="8">
        <v>0.91666666666666663</v>
      </c>
      <c r="D442" s="5" t="e">
        <f>#REF!+#REF!+#REF!+AD4+AD9+#REF!+AD13+AD18+AD23+AD28+AD33+AD38+AD43+AD48+AD53+AD58+AD63+AD68+AD73+AD78+AD83+AD88+AD93+AD98+AD103+AD108+AD113+AD118+AD123+AD128+AD133+AD138+AD143+AD148+AD153+AD158+AD163+AD168+AD173+AD178+AD183+AD188+AD193+AD198+AD203+AD208+AD213+AD218+AD223+AD228</f>
        <v>#REF!</v>
      </c>
      <c r="E442" s="5" t="e">
        <f>#REF!+#REF!+#REF!+AE4+AE9+#REF!+AE13+AE18+AE23+AE28+AE33+AE38+AE43+AE48+AE53+AE58+AE63+AE68+AE73+AE78+AE83+AE88+AE93+AE98+AE103+AE108+AE113+AE118+AE123+AE128+AE133+AE138+AE143+AE148+AE153+AE158+AE163+AE168+AE173+AE178+AE183+AE188+AE193+AE198+AE203+AE208+AE213+AE218+AE223+AE228</f>
        <v>#REF!</v>
      </c>
      <c r="F442" s="5" t="e">
        <f>#REF!+#REF!+#REF!+AF4+AF9+#REF!+AF13+AF18+AF23+AF28+AF33+AF38+AF43+AF48+AF53+AF58+AF63+AF68+AF73+AF78+AF83+AF88+AF93+AF98+AF103+AF108+AF113+AF118+AF123+AF128+AF133+AF138+AF143+AF148+AF153+AF158+AF163+AF168+AF173+AF178+AF183+AF188+AF193+AF198+AF203+AF208+AF213+AF218+AF223+AF228</f>
        <v>#REF!</v>
      </c>
      <c r="G442" s="5" t="e">
        <f>#REF!+#REF!+#REF!+AG4+AG9+#REF!+AG13+AG18+AG23+AG28+AG33+AG38+AG43+AG48+AG53+AG58+AG63+AG68+AG73+AG78+AG83+AG88+AG93+AG98+AG103+AG108+AG113+AG118+AG123+AG128+AG133+AG138+AG143+AG148+AG153+AG158+AG163+AG168+AG173+AG178+AG183+AG188+AG193+AG198+AG203+AG208+AG213+AG218+AG223+AG228</f>
        <v>#REF!</v>
      </c>
      <c r="H442" s="5" t="e">
        <f>#REF!+#REF!+#REF!+AH4+AH9+#REF!+AH13+AH18+AH23+AH28+AH33+AH38+AH43+AH48+AH53+AH58+AH63+AH68+AH73+AH78+AH83+AH88+AH93+AH98+AH103+AH108+AH113+AH118+AH123+AH128+AH133+AH138+AH143+AH148+AH153+AH158+AH163+AH168+AH173+AH178+AH183+AH188+AH193+AH198+AH203+AH208+AH213+AH218+AH223+AH228</f>
        <v>#REF!</v>
      </c>
      <c r="I442" s="5" t="e">
        <f>#REF!+#REF!+#REF!+AI4+AI9+#REF!+AI13+AI18+AI23+AI28+AI33+AI38+AI43+AI48+AI53+AI58+AI63+AI68+AI73+AI78+AI83+AI88+AI93+AI98+AI103+AI108+AI113+AI118+AI123+AI128+AI133+AI138+AI143+AI148+AI153+AI158+AI163+AI168+AI173+AI178+AI183+AI188+AI193+AI198+AI203+AI208+AI213+AI218+AI223+AI228</f>
        <v>#REF!</v>
      </c>
      <c r="J442" s="5" t="e">
        <f>#REF!+#REF!+#REF!+AJ4+AJ9+#REF!+AJ13+AJ18+AJ23+AJ28+AJ33+AJ38+AJ43+AJ48+AJ53+AJ58+AJ63+AJ68+AJ73+AJ78+AJ83+AJ88+AJ93+AJ98+AJ103+AJ108+AJ113+AJ118+AJ123+AJ128+AJ133+AJ138+AJ143+AJ148+AJ153+AJ158+AJ163+AJ168+AJ173+AJ178+AJ183+AJ188+AJ193+AJ198+AJ203+AJ208+AJ213+AJ218+AJ223+AJ228</f>
        <v>#REF!</v>
      </c>
    </row>
    <row r="443" spans="1:36" x14ac:dyDescent="0.2">
      <c r="B443" s="8">
        <v>0.79166666666666663</v>
      </c>
      <c r="C443" s="8">
        <v>0</v>
      </c>
      <c r="D443" s="5" t="e">
        <f>#REF!+#REF!+#REF!+AD5+#REF!+#REF!+AD14+AD19+AD24+AD29+AD34+AD39+AD44+AD49+AD54+AD59+AD64+AD69+AD74+AD79+AD84+AD89+AD94+AD99+AD104+AD109+AD114+AD119+AD124+AD129+AD134+AD139+AD144+AD149+AD154+AD159+AD164+AD169+AD174+AD179+AD184+AD189+AD194+AD199+AD204+AD209+AD214+AD219+AD224+AD230</f>
        <v>#REF!</v>
      </c>
      <c r="E443" s="5" t="e">
        <f>#REF!+#REF!+#REF!+AE5+#REF!+#REF!+AE14+AE19+AE24+AE29+AE34+AE39+AE44+AE49+AE54+AE59+AE64+AE69+AE74+AE79+AE84+AE89+AE94+AE99+AE104+AE109+AE114+AE119+AE124+AE129+AE134+AE139+AE144+AE149+AE154+AE159+AE164+AE169+AE174+AE179+AE184+AE189+AE194+AE199+AE204+AE209+AE214+AE219+AE224+AE230</f>
        <v>#REF!</v>
      </c>
      <c r="F443" s="5" t="e">
        <f>#REF!+#REF!+#REF!+AF5+#REF!+#REF!+AF14+AF19+AF24+AF29+AF34+AF39+AF44+AF49+AF54+AF59+AF64+AF69+AF74+AF79+AF84+AF89+AF94+AF99+AF104+AF109+AF114+AF119+AF124+AF129+AF134+AF139+AF144+AF149+AF154+AF159+AF164+AF169+AF174+AF179+AF184+AF189+AF194+AF199+AF204+AF209+AF214+AF219+AF224+AF230</f>
        <v>#REF!</v>
      </c>
      <c r="G443" s="5" t="e">
        <f>#REF!+#REF!+#REF!+AG5+#REF!+#REF!+AG14+AG19+AG24+AG29+AG34+AG39+AG44+AG49+AG54+AG59+AG64+AG69+AG74+AG79+AG84+AG89+AG94+AG99+AG104+AG109+AG114+AG119+AG124+AG129+AG134+AG139+AG144+AG149+AG154+AG159+AG164+AG169+AG174+AG179+AG184+AG189+AG194+AG199+AG204+AG209+AG214+AG219+AG224+AG230</f>
        <v>#REF!</v>
      </c>
      <c r="H443" s="5" t="e">
        <f>#REF!+#REF!+#REF!+AH5+#REF!+#REF!+AH14+AH19+AH24+AH29+AH34+AH39+AH44+AH49+AH54+AH59+AH64+AH69+AH74+AH79+AH84+AH89+AH94+AH99+AH104+AH109+AH114+AH119+AH124+AH129+AH134+AH139+AH144+AH149+AH154+AH159+AH164+AH169+AH174+AH179+AH184+AH189+AH194+AH199+AH204+AH209+AH214+AH219+AH224+AH230</f>
        <v>#REF!</v>
      </c>
      <c r="I443" s="5" t="e">
        <f>#REF!+#REF!+#REF!+AI5+#REF!+#REF!+AI14+AI19+AI24+AI29+AI34+AI39+AI44+AI49+AI54+AI59+AI64+AI69+AI74+AI79+AI84+AI89+AI94+AI99+AI104+AI109+AI114+AI119+AI124+AI129+AI134+AI139+AI144+AI149+AI154+AI159+AI164+AI169+AI174+AI179+AI184+AI189+AI194+AI199+AI204+AI209+AI214+AI219+AI224+AI230</f>
        <v>#REF!</v>
      </c>
      <c r="J443" s="5" t="e">
        <f>#REF!+#REF!+#REF!+AJ5+#REF!+#REF!+AJ14+AJ19+AJ24+AJ29+AJ34+AJ39+AJ44+AJ49+AJ54+AJ59+AJ64+AJ69+AJ74+AJ79+AJ84+AJ89+AJ94+AJ99+AJ104+AJ109+AJ114+AJ119+AJ124+AJ129+AJ134+AJ139+AJ144+AJ149+AJ154+AJ159+AJ164+AJ169+AJ174+AJ179+AJ184+AJ189+AJ194+AJ199+AJ204+AJ209+AJ214+AJ219+AJ224+AJ230</f>
        <v>#REF!</v>
      </c>
    </row>
    <row r="444" spans="1:36" x14ac:dyDescent="0.2">
      <c r="B444" s="8">
        <v>0.79166666666666663</v>
      </c>
      <c r="C444" s="8">
        <v>0</v>
      </c>
      <c r="D444" s="5" t="e">
        <f>#REF!+#REF!+#REF!+AD6+#REF!+AD10+AD15+AD20+AD25+AD30+AD35+AD40+AD45+AD50+AD55+AD60+AD65+AD70+AD75+AD80+AD85+AD90+AD95+AD100+AD105+AD110+AD115+AD120+AD125+AD130+AD135+AD140+AD145+AD150+AD155+AD160+AD165+AD170+AD175+AD180+AD185+AD190+AD195+AD200+AD205+AD210+AD215+AD220+AD225+AD231</f>
        <v>#REF!</v>
      </c>
      <c r="E444" s="5" t="e">
        <f>#REF!+#REF!+#REF!+AE6+#REF!+AE10+AE15+AE20+AE25+AE30+AE35+AE40+AE45+AE50+AE55+AE60+AE65+AE70+AE75+AE80+AE85+AE90+AE95+AE100+AE105+AE110+AE115+AE120+AE125+AE130+AE135+AE140+AE145+AE150+AE155+AE160+AE165+AE170+AE175+AE180+AE185+AE190+AE195+AE200+AE205+AE210+AE215+AE220+AE225+AE231</f>
        <v>#REF!</v>
      </c>
      <c r="F444" s="5" t="e">
        <f>#REF!+#REF!+#REF!+AF6+#REF!+AF10+AF15+AF20+AF25+AF30+AF35+AF40+AF45+AF50+AF55+AF60+AF65+AF70+AF75+AF80+AF85+AF90+AF95+AF100+AF105+AF110+AF115+AF120+AF125+AF130+AF135+AF140+AF145+AF150+AF155+AF160+AF165+AF170+AF175+AF180+AF185+AF190+AF195+AF200+AF205+AF210+AF215+AF220+AF225+AF231</f>
        <v>#REF!</v>
      </c>
      <c r="G444" s="5" t="e">
        <f>#REF!+#REF!+#REF!+AG6+#REF!+AG10+AG15+AG20+AG25+AG30+AG35+AG40+AG45+AG50+AG55+AG60+AG65+AG70+AG75+AG80+AG85+AG90+AG95+AG100+AG105+AG110+AG115+AG120+AG125+AG130+AG135+AG140+AG145+AG150+AG155+AG160+AG165+AG170+AG175+AG180+AG185+AG190+AG195+AG200+AG205+AG210+AG215+AG220+AG225+AG231</f>
        <v>#REF!</v>
      </c>
      <c r="H444" s="5" t="e">
        <f>#REF!+#REF!+#REF!+AH6+#REF!+AH10+AH15+AH20+AH25+AH30+AH35+AH40+AH45+AH50+AH55+AH60+AH65+AH70+AH75+AH80+AH85+AH90+AH95+AH100+AH105+AH110+AH115+AH120+AH125+AH130+AH135+AH140+AH145+AH150+AH155+AH160+AH165+AH170+AH175+AH180+AH185+AH190+AH195+AH200+AH205+AH210+AH215+AH220+AH225+AH231</f>
        <v>#REF!</v>
      </c>
      <c r="I444" s="5" t="e">
        <f>#REF!+#REF!+#REF!+AI6+#REF!+AI10+AI15+AI20+AI25+AI30+AI35+AI40+AI45+AI50+AI55+AI60+AI65+AI70+AI75+AI80+AI85+AI90+AI95+AI100+AI105+AI110+AI115+AI120+AI125+AI130+AI135+AI140+AI145+AI150+AI155+AI160+AI165+AI170+AI175+AI180+AI185+AI190+AI195+AI200+AI205+AI210+AI215+AI220+AI225+AI231</f>
        <v>#REF!</v>
      </c>
      <c r="J444" s="5" t="e">
        <f>#REF!+#REF!+#REF!+AJ6+#REF!+AJ10+AJ15+AJ20+AJ25+AJ30+AJ35+AJ40+AJ45+AJ50+AJ55+AJ60+AJ65+AJ70+AJ75+AJ80+AJ85+AJ90+AJ95+AJ100+AJ105+AJ110+AJ115+AJ120+AJ125+AJ130+AJ135+AJ140+AJ145+AJ150+AJ155+AJ160+AJ165+AJ170+AJ175+AJ180+AJ185+AJ190+AJ195+AJ200+AJ205+AJ210+AJ215+AJ220+AJ225+AJ231</f>
        <v>#REF!</v>
      </c>
    </row>
    <row r="446" spans="1:36" hidden="1" x14ac:dyDescent="0.2">
      <c r="C446" s="46" t="s">
        <v>31</v>
      </c>
      <c r="D446" s="22">
        <v>100</v>
      </c>
      <c r="E446" s="22"/>
      <c r="F446" s="22"/>
      <c r="G446" s="22"/>
      <c r="H446" s="22"/>
      <c r="I446" s="22"/>
      <c r="J446" s="22"/>
      <c r="K446" s="22">
        <f>J446+I446+H446+G446+F446+E446+D446</f>
        <v>100</v>
      </c>
    </row>
    <row r="447" spans="1:36" hidden="1" x14ac:dyDescent="0.2"/>
    <row r="448" spans="1:36" hidden="1" x14ac:dyDescent="0.2">
      <c r="C448" s="46" t="s">
        <v>33</v>
      </c>
      <c r="D448" s="23" t="e">
        <f>D446/#REF!</f>
        <v>#REF!</v>
      </c>
      <c r="E448" s="23" t="e">
        <f>E446/#REF!</f>
        <v>#REF!</v>
      </c>
      <c r="F448" s="23" t="e">
        <f>F446/#REF!</f>
        <v>#REF!</v>
      </c>
      <c r="G448" s="23" t="e">
        <f>G446/#REF!</f>
        <v>#REF!</v>
      </c>
      <c r="H448" s="23" t="e">
        <f>H446/#REF!</f>
        <v>#REF!</v>
      </c>
      <c r="I448" s="23" t="e">
        <f>I446/#REF!</f>
        <v>#REF!</v>
      </c>
      <c r="J448" s="23" t="e">
        <f>J446/#REF!</f>
        <v>#REF!</v>
      </c>
      <c r="K448" s="23" t="e">
        <f>K446/#REF!</f>
        <v>#REF!</v>
      </c>
    </row>
  </sheetData>
  <pageMargins left="0.75" right="0.75" top="0.51" bottom="1" header="0.5" footer="0.5"/>
  <pageSetup paperSize="8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448"/>
  <sheetViews>
    <sheetView topLeftCell="A379" zoomScale="80" zoomScaleNormal="80" workbookViewId="0">
      <selection activeCell="G13" sqref="G13"/>
    </sheetView>
  </sheetViews>
  <sheetFormatPr defaultRowHeight="12.75" x14ac:dyDescent="0.2"/>
  <cols>
    <col min="1" max="1" width="16.5703125" customWidth="1"/>
    <col min="2" max="2" width="17.42578125" customWidth="1"/>
    <col min="3" max="3" width="7.28515625" customWidth="1"/>
    <col min="4" max="4" width="16.7109375" style="1" customWidth="1"/>
    <col min="5" max="5" width="10.85546875" style="1" bestFit="1" customWidth="1"/>
    <col min="6" max="6" width="9.85546875" style="1" customWidth="1"/>
    <col min="7" max="8" width="9.140625" style="1"/>
    <col min="9" max="9" width="12.140625" style="1" customWidth="1"/>
    <col min="10" max="10" width="8.140625" style="1" bestFit="1" customWidth="1"/>
    <col min="11" max="11" width="9.140625" style="1"/>
    <col min="13" max="13" width="46.42578125" customWidth="1"/>
    <col min="14" max="14" width="6" customWidth="1"/>
    <col min="15" max="15" width="6.140625" bestFit="1" customWidth="1"/>
    <col min="16" max="16" width="5.7109375" customWidth="1"/>
    <col min="17" max="17" width="6.140625" bestFit="1" customWidth="1"/>
    <col min="18" max="19" width="5.7109375" customWidth="1"/>
    <col min="20" max="20" width="6.140625" bestFit="1" customWidth="1"/>
    <col min="21" max="21" width="2.42578125" customWidth="1"/>
    <col min="22" max="23" width="6.140625" bestFit="1" customWidth="1"/>
    <col min="24" max="28" width="5.7109375" customWidth="1"/>
    <col min="30" max="31" width="2.28515625" customWidth="1"/>
    <col min="32" max="32" width="2.42578125" customWidth="1"/>
    <col min="33" max="33" width="2.28515625" customWidth="1"/>
    <col min="34" max="34" width="2.42578125" customWidth="1"/>
    <col min="35" max="36" width="2" customWidth="1"/>
  </cols>
  <sheetData>
    <row r="1" spans="1:36" ht="13.5" customHeight="1" x14ac:dyDescent="0.2">
      <c r="A1" s="50" t="s">
        <v>34</v>
      </c>
      <c r="B1" s="49"/>
      <c r="C1" s="6"/>
      <c r="D1" s="62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  <c r="AD1" s="6"/>
      <c r="AE1" s="6"/>
      <c r="AF1" s="6"/>
      <c r="AG1" s="6"/>
      <c r="AH1" s="6"/>
      <c r="AI1" s="6"/>
      <c r="AJ1" s="6"/>
    </row>
    <row r="2" spans="1:36" ht="13.5" thickBot="1" x14ac:dyDescent="0.25">
      <c r="A2" s="29"/>
      <c r="B2" s="48"/>
      <c r="C2" s="6"/>
      <c r="D2" s="31">
        <v>45511</v>
      </c>
      <c r="E2" s="31">
        <v>45512</v>
      </c>
      <c r="F2" s="31">
        <v>45513</v>
      </c>
      <c r="G2" s="31">
        <v>45514</v>
      </c>
      <c r="H2" s="31">
        <v>45515</v>
      </c>
      <c r="I2" s="31">
        <v>45516</v>
      </c>
      <c r="J2" s="31">
        <v>45517</v>
      </c>
      <c r="K2" s="63"/>
      <c r="L2" s="5" t="s">
        <v>14</v>
      </c>
      <c r="M2" s="51" t="s">
        <v>32</v>
      </c>
      <c r="O2" s="21"/>
      <c r="AD2" s="6" t="s">
        <v>21</v>
      </c>
      <c r="AE2" s="6" t="s">
        <v>22</v>
      </c>
      <c r="AF2" s="6" t="s">
        <v>23</v>
      </c>
      <c r="AG2" s="6" t="s">
        <v>22</v>
      </c>
      <c r="AH2" s="6" t="s">
        <v>24</v>
      </c>
      <c r="AI2" s="6" t="s">
        <v>25</v>
      </c>
      <c r="AJ2" s="6" t="s">
        <v>25</v>
      </c>
    </row>
    <row r="3" spans="1:36" ht="13.5" thickBot="1" x14ac:dyDescent="0.25">
      <c r="A3" s="6" t="s">
        <v>30</v>
      </c>
      <c r="B3" s="6" t="s">
        <v>35</v>
      </c>
      <c r="C3" s="6"/>
      <c r="D3" s="65"/>
      <c r="E3" s="65"/>
      <c r="F3" s="65"/>
      <c r="G3" s="65"/>
      <c r="H3" s="65"/>
      <c r="I3" s="65"/>
      <c r="J3" s="65"/>
      <c r="K3" s="5"/>
      <c r="L3" s="6"/>
      <c r="M3" s="52" t="s">
        <v>39</v>
      </c>
      <c r="AD3" s="6"/>
      <c r="AE3" s="6"/>
      <c r="AF3" s="6"/>
      <c r="AG3" s="6"/>
      <c r="AH3" s="6"/>
      <c r="AI3" s="6"/>
      <c r="AJ3" s="6"/>
    </row>
    <row r="4" spans="1:36" x14ac:dyDescent="0.2">
      <c r="A4" s="37" t="s">
        <v>88</v>
      </c>
      <c r="B4" s="38" t="s">
        <v>47</v>
      </c>
      <c r="C4" s="14" t="s">
        <v>0</v>
      </c>
      <c r="D4" s="26"/>
      <c r="E4" s="26"/>
      <c r="F4" s="26">
        <v>0.77083333333333337</v>
      </c>
      <c r="G4" s="26">
        <v>0.77083333333333337</v>
      </c>
      <c r="H4" s="26"/>
      <c r="I4" s="26"/>
      <c r="J4" s="26"/>
      <c r="K4" s="16"/>
      <c r="L4" s="6"/>
      <c r="M4" s="21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D4" s="6">
        <f>IF((D4&lt;&gt;"")*(D8=""),IF((D4&lt;=$B$440)*((D5&gt;=$C$440)+(D5&lt;2/24)),1,0),0)</f>
        <v>0</v>
      </c>
      <c r="AE4" s="6">
        <f>IF((E4&lt;&gt;"")*(E8=""),IF((E4&lt;=$B$440)*((E5&gt;=$C$440)+(E5&lt;2/24)),1,0),0)</f>
        <v>0</v>
      </c>
      <c r="AF4" s="6">
        <f>IF((F4&lt;&gt;"")*(F8=""),IF((F4&lt;=$B$440)*((F5&gt;=$C$440)+(F5&lt;2/24)),1,0),0)</f>
        <v>0</v>
      </c>
      <c r="AG4" s="6" t="e">
        <f>IF((#REF!&lt;&gt;"")*(G8=""),IF((#REF!&lt;=$B$440)*((#REF!&gt;=$C$440)+(#REF!&lt;2/24)),1,0),0)</f>
        <v>#REF!</v>
      </c>
      <c r="AH4" s="6">
        <f>IF((H4&lt;&gt;"")*(H8=""),IF((H4&lt;=$B$440)*((H5&gt;=$C$440)+(H5&lt;2/24)),1,0),0)</f>
        <v>0</v>
      </c>
      <c r="AI4" s="6">
        <f>IF((I4&lt;&gt;"")*(I8=""),IF((I4&lt;=$B$440)*((I5&gt;=$C$440)+(I5&lt;2/24)),1,0),0)</f>
        <v>0</v>
      </c>
      <c r="AJ4" s="6">
        <f>IF((J4&lt;&gt;"")*(J8=""),IF((J4&lt;=$B$440)*((J5&gt;=$C$440)+(J5&lt;2/24)),1,0),0)</f>
        <v>0</v>
      </c>
    </row>
    <row r="5" spans="1:36" x14ac:dyDescent="0.2">
      <c r="A5" s="39"/>
      <c r="B5" s="40"/>
      <c r="C5" s="15" t="s">
        <v>1</v>
      </c>
      <c r="D5" s="27"/>
      <c r="E5" s="27"/>
      <c r="F5" s="27">
        <v>0.95833333333333337</v>
      </c>
      <c r="G5" s="27">
        <v>0.95833333333333337</v>
      </c>
      <c r="H5" s="27"/>
      <c r="I5" s="27"/>
      <c r="J5" s="27"/>
      <c r="K5" s="17"/>
      <c r="L5" s="6"/>
      <c r="M5" s="2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D5" s="6">
        <f>IF((D4&lt;&gt;"")*(D8=""),IF((D4&lt;=$B$441)*((D5&gt;=$C$441)+(D5&lt;2/24)),1,0),0)</f>
        <v>0</v>
      </c>
      <c r="AE5" s="6">
        <f>IF((E4&lt;&gt;"")*(E8=""),IF((E4&lt;=$B$441)*((E5&gt;=$C$441)+(E5&lt;2/24)),1,0),0)</f>
        <v>0</v>
      </c>
      <c r="AF5" s="6">
        <f>IF((F4&lt;&gt;"")*(F8=""),IF((F4&lt;=$B$441)*((F5&gt;=$C$441)+(F5&lt;2/24)),1,0),0)</f>
        <v>0</v>
      </c>
      <c r="AG5" s="6" t="e">
        <f>IF((#REF!&lt;&gt;"")*(G8=""),IF((#REF!&lt;=$B$441)*((#REF!&gt;=$C$441)+(#REF!&lt;2/24)),1,0),0)</f>
        <v>#REF!</v>
      </c>
      <c r="AH5" s="6">
        <f>IF((H4&lt;&gt;"")*(H8=""),IF((H4&lt;=$B$441)*((H5&gt;=$C$441)+(H5&lt;2/24)),1,0),0)</f>
        <v>0</v>
      </c>
      <c r="AI5" s="6">
        <f>IF((I4&lt;&gt;"")*(I8=""),IF((I4&lt;=$B$441)*((I5&gt;=$C$441)+(I5&lt;2/24)),1,0),0)</f>
        <v>0</v>
      </c>
      <c r="AJ5" s="6">
        <f>IF((J4&lt;&gt;"")*(J8=""),IF((J4&lt;=$B$441)*((J5&gt;=$C$441)+(J5&lt;2/24)),1,0),0)</f>
        <v>0</v>
      </c>
    </row>
    <row r="6" spans="1:36" x14ac:dyDescent="0.2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D6" s="6">
        <f>IF((D4&lt;&gt;"")*(D8=""),IF((D4&lt;=$B$442)*((D5&gt;=$C$442)+(D5&lt;2/24)),1,0),0)</f>
        <v>0</v>
      </c>
      <c r="AE6" s="6">
        <f>IF((E4&lt;&gt;"")*(E8=""),IF((E4&lt;=$B$442)*((E5&gt;=$C$442)+(E5&lt;2/24)),1,0),0)</f>
        <v>0</v>
      </c>
      <c r="AF6" s="6">
        <f>IF((F4&lt;&gt;"")*(F8=""),IF((F4&lt;=$B$442)*((F5&gt;=$C$442)+(F5&lt;2/24)),1,0),0)</f>
        <v>0</v>
      </c>
      <c r="AG6" s="6" t="e">
        <f>IF((#REF!&lt;&gt;"")*(G8=""),IF((#REF!&lt;=$B$442)*((#REF!&gt;=$C$442)+(#REF!&lt;2/24)),1,0),0)</f>
        <v>#REF!</v>
      </c>
      <c r="AH6" s="6">
        <f>IF((H4&lt;&gt;"")*(H8=""),IF((H4&lt;=$B$442)*((H5&gt;=$C$442)+(H5&lt;2/24)),1,0),0)</f>
        <v>0</v>
      </c>
      <c r="AI6" s="6">
        <f>IF((I4&lt;&gt;"")*(I8=""),IF((I4&lt;=$B$442)*((I5&gt;=$C$442)+(I5&lt;2/24)),1,0),0)</f>
        <v>0</v>
      </c>
      <c r="AJ6" s="6">
        <f>IF((J4&lt;&gt;"")*(J8=""),IF((J4&lt;=$B$442)*((J5&gt;=$C$442)+(J5&lt;2/24)),1,0),0)</f>
        <v>0</v>
      </c>
    </row>
    <row r="7" spans="1:36" x14ac:dyDescent="0.2">
      <c r="A7" s="39"/>
      <c r="B7" s="40"/>
      <c r="C7" s="15" t="s">
        <v>3</v>
      </c>
      <c r="D7" s="43"/>
      <c r="E7" s="43"/>
      <c r="F7" s="43">
        <v>4.5</v>
      </c>
      <c r="G7" s="43">
        <v>4.5</v>
      </c>
      <c r="H7" s="43"/>
      <c r="I7" s="43"/>
      <c r="J7" s="44"/>
      <c r="K7" s="18">
        <f>SUMIF(D8:J8,"",D7:J7)</f>
        <v>9</v>
      </c>
      <c r="L7" s="12">
        <f>SUM(D7:J7)</f>
        <v>9</v>
      </c>
      <c r="M7" s="24"/>
      <c r="N7" s="10">
        <f t="shared" ref="N7:T7" si="0">IF(D8="",D7,0)</f>
        <v>0</v>
      </c>
      <c r="O7" s="10">
        <f t="shared" si="0"/>
        <v>0</v>
      </c>
      <c r="P7" s="10">
        <f t="shared" si="0"/>
        <v>4.5</v>
      </c>
      <c r="Q7" s="10">
        <f t="shared" si="0"/>
        <v>4.5</v>
      </c>
      <c r="R7" s="10">
        <f t="shared" si="0"/>
        <v>0</v>
      </c>
      <c r="S7" s="10">
        <f t="shared" si="0"/>
        <v>0</v>
      </c>
      <c r="T7" s="10">
        <f t="shared" si="0"/>
        <v>0</v>
      </c>
      <c r="U7" s="10"/>
      <c r="V7" s="10">
        <f t="shared" ref="V7:AB7" si="1">D7</f>
        <v>0</v>
      </c>
      <c r="W7" s="10">
        <f t="shared" si="1"/>
        <v>0</v>
      </c>
      <c r="X7" s="10">
        <f t="shared" si="1"/>
        <v>4.5</v>
      </c>
      <c r="Y7" s="10">
        <f t="shared" si="1"/>
        <v>4.5</v>
      </c>
      <c r="Z7" s="10">
        <f t="shared" si="1"/>
        <v>0</v>
      </c>
      <c r="AA7" s="10">
        <f t="shared" si="1"/>
        <v>0</v>
      </c>
      <c r="AB7" s="10">
        <f t="shared" si="1"/>
        <v>0</v>
      </c>
      <c r="AD7" s="6">
        <f>IF((D4&lt;&gt;"")*(D8=""),IF((D4&lt;=$B$443)*((D5&gt;=$C$443)+(D5&lt;2/24)),1,0),0)</f>
        <v>0</v>
      </c>
      <c r="AE7" s="6">
        <f>IF((E4&lt;&gt;"")*(E8=""),IF((E4&lt;=$B$443)*((E5&gt;=$C$443)+(E5&lt;2/24)),1,0),0)</f>
        <v>0</v>
      </c>
      <c r="AF7" s="6">
        <f>IF((F4&lt;&gt;"")*(F8=""),IF((F4&lt;=$B$443)*((F5&gt;=$C$443)+(F5&lt;2/24)),1,0),0)</f>
        <v>1</v>
      </c>
      <c r="AG7" s="6" t="e">
        <f>IF((#REF!&lt;&gt;"")*(G8=""),IF((#REF!&lt;=$B$443)*((#REF!&gt;=$C$443)+(#REF!&lt;2/24)),1,0),0)</f>
        <v>#REF!</v>
      </c>
      <c r="AH7" s="6">
        <f>IF((H4&lt;&gt;"")*(H8=""),IF((H4&lt;=$B$443)*((H5&gt;=$C$443)+(H5&lt;2/24)),1,0),0)</f>
        <v>0</v>
      </c>
      <c r="AI7" s="6">
        <f>IF((I4&lt;&gt;"")*(I8=""),IF((I4&lt;=$B$443)*((I5&gt;=$C$443)+(I5&lt;2/24)),1,0),0)</f>
        <v>0</v>
      </c>
      <c r="AJ7" s="6">
        <f>IF((J4&lt;&gt;"")*(J8=""),IF((J4&lt;=$B$443)*((J5&gt;=$C$443)+(J5&lt;2/24)),1,0),0)</f>
        <v>0</v>
      </c>
    </row>
    <row r="8" spans="1:36" x14ac:dyDescent="0.2">
      <c r="A8" s="39"/>
      <c r="B8" s="40"/>
      <c r="C8" s="32" t="s">
        <v>4</v>
      </c>
      <c r="D8" s="33"/>
      <c r="E8" s="33"/>
      <c r="F8" s="33"/>
      <c r="G8" s="33"/>
      <c r="H8" s="33"/>
      <c r="I8" s="33"/>
      <c r="J8" s="33"/>
      <c r="K8" s="17"/>
      <c r="L8" s="6"/>
      <c r="M8" s="25"/>
      <c r="N8" s="6"/>
      <c r="O8" s="6"/>
      <c r="P8" s="6"/>
      <c r="Q8" s="6"/>
      <c r="R8" s="6"/>
      <c r="S8" s="6"/>
      <c r="T8" s="6"/>
      <c r="U8" s="6"/>
      <c r="V8" s="20"/>
      <c r="W8" s="20"/>
      <c r="X8" s="20"/>
      <c r="Y8" s="20"/>
      <c r="Z8" s="20"/>
      <c r="AA8" s="20"/>
      <c r="AB8" s="20"/>
      <c r="AD8" s="6">
        <f>IF((D4&lt;&gt;"")*(D8=""),IF((D4&lt;=$B$444)*((D5&gt;=$C$444)+(D5&lt;2/24)),1,0),0)</f>
        <v>0</v>
      </c>
      <c r="AE8" s="6">
        <f>IF((E4&lt;&gt;"")*(E8=""),IF((E4&lt;=$B$444)*((E5&gt;=$C$444)+(E5&lt;2/24)),1,0),0)</f>
        <v>0</v>
      </c>
      <c r="AF8" s="6">
        <f>IF((F4&lt;&gt;"")*(F8=""),IF((F4&lt;=$B$444)*((F5&gt;=$C$444)+(F5&lt;2/24)),1,0),0)</f>
        <v>1</v>
      </c>
      <c r="AG8" s="6" t="e">
        <f>IF((#REF!&lt;&gt;"")*(G8=""),IF((#REF!&lt;=$B$444)*((#REF!&gt;=$C$444)+(#REF!&lt;2/24)),1,0),0)</f>
        <v>#REF!</v>
      </c>
      <c r="AH8" s="6">
        <f>IF((H4&lt;&gt;"")*(H8=""),IF((H4&lt;=$B$444)*((H5&gt;=$C$444)+(H5&lt;2/24)),1,0),0)</f>
        <v>0</v>
      </c>
      <c r="AI8" s="6">
        <f>IF((I4&lt;&gt;"")*(I8=""),IF((I4&lt;=$B$444)*((I5&gt;=$C$444)+(I5&lt;2/24)),1,0),0)</f>
        <v>0</v>
      </c>
      <c r="AJ8" s="6">
        <f>IF((J4&lt;&gt;"")*(J8=""),IF((J4&lt;=$B$444)*((J5&gt;=$C$444)+(J5&lt;2/24)),1,0),0)</f>
        <v>0</v>
      </c>
    </row>
    <row r="9" spans="1:36" ht="13.5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  <c r="L9" s="6"/>
      <c r="M9" s="25"/>
      <c r="N9" s="6"/>
      <c r="O9" s="6"/>
      <c r="P9" s="6"/>
      <c r="Q9" s="6"/>
      <c r="R9" s="6"/>
      <c r="S9" s="6"/>
      <c r="T9" s="6"/>
      <c r="U9" s="6"/>
      <c r="V9" s="20"/>
      <c r="W9" s="20"/>
      <c r="X9" s="20"/>
      <c r="Y9" s="20"/>
      <c r="Z9" s="20"/>
      <c r="AA9" s="20"/>
      <c r="AB9" s="20"/>
      <c r="AD9" s="6"/>
      <c r="AE9" s="6"/>
      <c r="AF9" s="6"/>
      <c r="AG9" s="6"/>
      <c r="AH9" s="6"/>
      <c r="AI9" s="6"/>
      <c r="AJ9" s="6"/>
    </row>
    <row r="10" spans="1:36" x14ac:dyDescent="0.2">
      <c r="A10" s="37" t="s">
        <v>89</v>
      </c>
      <c r="B10" s="38" t="s">
        <v>90</v>
      </c>
      <c r="C10" s="14" t="s">
        <v>0</v>
      </c>
      <c r="D10" s="45"/>
      <c r="E10" s="26"/>
      <c r="F10" s="45"/>
      <c r="G10" s="26"/>
      <c r="H10" s="26"/>
      <c r="I10" s="26">
        <v>0.54166666666666663</v>
      </c>
      <c r="J10" s="26"/>
      <c r="K10" s="16"/>
      <c r="L10" s="6"/>
      <c r="M10" s="21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D10" s="6">
        <f>IF((D10&lt;&gt;"")*(D14=""),IF((D10&lt;=$B$440)*((D11&gt;=$C$440)+(D11&lt;2/24)),1,0),0)</f>
        <v>0</v>
      </c>
      <c r="AE10" s="6">
        <f>IF((E10&lt;&gt;"")*(E14=""),IF((E10&lt;=$B$440)*((E11&gt;=$C$440)+(E11&lt;2/24)),1,0),0)</f>
        <v>0</v>
      </c>
      <c r="AF10" s="6">
        <f>IF((F10&lt;&gt;"")*(F14=""),IF((F10&lt;=$B$440)*((F11&gt;=$C$440)+(F11&lt;2/24)),1,0),0)</f>
        <v>0</v>
      </c>
      <c r="AG10" s="6">
        <f>IF((G10&lt;&gt;"")*(G14=""),IF((G10&lt;=$B$440)*((G11&gt;=$C$440)+(G11&lt;2/24)),1,0),0)</f>
        <v>0</v>
      </c>
      <c r="AH10" s="6">
        <f>IF((H10&lt;&gt;"")*(H14=""),IF((H10&lt;=$B$440)*((H11&gt;=$C$440)+(H11&lt;2/24)),1,0),0)</f>
        <v>0</v>
      </c>
      <c r="AI10" s="6">
        <f>IF((I10&lt;&gt;"")*(I14=""),IF((I10&lt;=$B$440)*((I11&gt;=$C$440)+(I11&lt;2/24)),1,0),0)</f>
        <v>0</v>
      </c>
      <c r="AJ10" s="6">
        <f>IF((J10&lt;&gt;"")*(J14=""),IF((J10&lt;=$B$440)*((J11&gt;=$C$440)+(J11&lt;2/24)),1,0),0)</f>
        <v>0</v>
      </c>
    </row>
    <row r="11" spans="1:36" x14ac:dyDescent="0.2">
      <c r="A11" s="39"/>
      <c r="B11" s="40"/>
      <c r="C11" s="15" t="s">
        <v>1</v>
      </c>
      <c r="D11" s="3"/>
      <c r="E11" s="27"/>
      <c r="F11" s="3"/>
      <c r="G11" s="27"/>
      <c r="H11" s="27"/>
      <c r="I11" s="27">
        <v>0.75</v>
      </c>
      <c r="J11" s="27"/>
      <c r="K11" s="17"/>
      <c r="L11" s="6"/>
      <c r="M11" s="21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D11" s="6">
        <f>IF((D10&lt;&gt;"")*(D14=""),IF((D10&lt;=$B$441)*((D11&gt;=$C$441)+(D11&lt;2/24)),1,0),0)</f>
        <v>0</v>
      </c>
      <c r="AE11" s="6">
        <f>IF((E10&lt;&gt;"")*(E14=""),IF((E10&lt;=$B$441)*((E11&gt;=$C$441)+(E11&lt;2/24)),1,0),0)</f>
        <v>0</v>
      </c>
      <c r="AF11" s="6">
        <f>IF((F10&lt;&gt;"")*(F14=""),IF((F10&lt;=$B$441)*((F11&gt;=$C$441)+(F11&lt;2/24)),1,0),0)</f>
        <v>0</v>
      </c>
      <c r="AG11" s="6">
        <f>IF((G10&lt;&gt;"")*(G14=""),IF((G10&lt;=$B$441)*((G11&gt;=$C$441)+(G11&lt;2/24)),1,0),0)</f>
        <v>0</v>
      </c>
      <c r="AH11" s="6">
        <f>IF((H10&lt;&gt;"")*(H14=""),IF((H10&lt;=$B$441)*((H11&gt;=$C$441)+(H11&lt;2/24)),1,0),0)</f>
        <v>0</v>
      </c>
      <c r="AI11" s="6">
        <f>IF((I10&lt;&gt;"")*(I14=""),IF((I10&lt;=$B$441)*((I11&gt;=$C$441)+(I11&lt;2/24)),1,0),0)</f>
        <v>1</v>
      </c>
      <c r="AJ11" s="6">
        <f>IF((J10&lt;&gt;"")*(J14=""),IF((J10&lt;=$B$441)*((J11&gt;=$C$441)+(J11&lt;2/24)),1,0),0)</f>
        <v>0</v>
      </c>
    </row>
    <row r="12" spans="1:36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D12" s="6">
        <f>IF((D10&lt;&gt;"")*(D14=""),IF((D10&lt;=$B$442)*((D11&gt;=$C$442)+(D11&lt;2/24)),1,0),0)</f>
        <v>0</v>
      </c>
      <c r="AE12" s="6">
        <f>IF((E10&lt;&gt;"")*(E14=""),IF((E10&lt;=$B$442)*((E11&gt;=$C$442)+(E11&lt;2/24)),1,0),0)</f>
        <v>0</v>
      </c>
      <c r="AF12" s="6">
        <f>IF((F10&lt;&gt;"")*(F14=""),IF((F10&lt;=$B$442)*((F11&gt;=$C$442)+(F11&lt;2/24)),1,0),0)</f>
        <v>0</v>
      </c>
      <c r="AG12" s="6">
        <f>IF((G10&lt;&gt;"")*(G14=""),IF((G10&lt;=$B$442)*((G11&gt;=$C$442)+(G11&lt;2/24)),1,0),0)</f>
        <v>0</v>
      </c>
      <c r="AH12" s="6">
        <f>IF((H10&lt;&gt;"")*(H14=""),IF((H10&lt;=$B$442)*((H11&gt;=$C$442)+(H11&lt;2/24)),1,0),0)</f>
        <v>0</v>
      </c>
      <c r="AI12" s="6">
        <f>IF((I10&lt;&gt;"")*(I14=""),IF((I10&lt;=$B$442)*((I11&gt;=$C$442)+(I11&lt;2/24)),1,0),0)</f>
        <v>1</v>
      </c>
      <c r="AJ12" s="6">
        <f>IF((J10&lt;&gt;"")*(J14=""),IF((J10&lt;=$B$442)*((J11&gt;=$C$442)+(J11&lt;2/24)),1,0),0)</f>
        <v>0</v>
      </c>
    </row>
    <row r="13" spans="1:36" x14ac:dyDescent="0.2">
      <c r="A13" s="39"/>
      <c r="B13" s="40"/>
      <c r="C13" s="15" t="s">
        <v>3</v>
      </c>
      <c r="D13" s="43"/>
      <c r="E13" s="43"/>
      <c r="F13" s="59"/>
      <c r="G13" s="43"/>
      <c r="H13" s="43"/>
      <c r="I13" s="43">
        <v>5</v>
      </c>
      <c r="J13" s="44"/>
      <c r="K13" s="18">
        <f>SUMIF(D14:J14,"",D13:J13)</f>
        <v>5</v>
      </c>
      <c r="L13" s="12">
        <f>SUM(D13:J13)</f>
        <v>5</v>
      </c>
      <c r="M13" s="24"/>
      <c r="N13" s="10">
        <f t="shared" ref="N13:T13" si="2">IF(D14="",D13,0)</f>
        <v>0</v>
      </c>
      <c r="O13" s="10">
        <f t="shared" si="2"/>
        <v>0</v>
      </c>
      <c r="P13" s="10">
        <f t="shared" si="2"/>
        <v>0</v>
      </c>
      <c r="Q13" s="10">
        <f t="shared" si="2"/>
        <v>0</v>
      </c>
      <c r="R13" s="10">
        <f t="shared" si="2"/>
        <v>0</v>
      </c>
      <c r="S13" s="10">
        <f t="shared" si="2"/>
        <v>5</v>
      </c>
      <c r="T13" s="10">
        <f t="shared" si="2"/>
        <v>0</v>
      </c>
      <c r="U13" s="10"/>
      <c r="V13" s="10">
        <f t="shared" ref="V13:AB13" si="3">D13</f>
        <v>0</v>
      </c>
      <c r="W13" s="10">
        <f t="shared" si="3"/>
        <v>0</v>
      </c>
      <c r="X13" s="10">
        <f t="shared" si="3"/>
        <v>0</v>
      </c>
      <c r="Y13" s="10">
        <f t="shared" si="3"/>
        <v>0</v>
      </c>
      <c r="Z13" s="10">
        <f t="shared" si="3"/>
        <v>0</v>
      </c>
      <c r="AA13" s="10">
        <f t="shared" si="3"/>
        <v>5</v>
      </c>
      <c r="AB13" s="10">
        <f t="shared" si="3"/>
        <v>0</v>
      </c>
      <c r="AD13" s="6">
        <f>IF((D10&lt;&gt;"")*(D14=""),IF((D10&lt;=$B$443)*((D11&gt;=$C$443)+(D11&lt;2/24)),1,0),0)</f>
        <v>0</v>
      </c>
      <c r="AE13" s="6">
        <f>IF((E10&lt;&gt;"")*(E14=""),IF((E10&lt;=$B$443)*((E11&gt;=$C$443)+(E11&lt;2/24)),1,0),0)</f>
        <v>0</v>
      </c>
      <c r="AF13" s="6">
        <f>IF((F10&lt;&gt;"")*(F14=""),IF((F10&lt;=$B$443)*((F11&gt;=$C$443)+(F11&lt;2/24)),1,0),0)</f>
        <v>0</v>
      </c>
      <c r="AG13" s="6">
        <f>IF((G10&lt;&gt;"")*(G14=""),IF((G10&lt;=$B$443)*((G11&gt;=$C$443)+(G11&lt;2/24)),1,0),0)</f>
        <v>0</v>
      </c>
      <c r="AH13" s="6">
        <f>IF((H10&lt;&gt;"")*(H14=""),IF((H10&lt;=$B$443)*((H11&gt;=$C$443)+(H11&lt;2/24)),1,0),0)</f>
        <v>0</v>
      </c>
      <c r="AI13" s="6">
        <f>IF((I10&lt;&gt;"")*(I14=""),IF((I10&lt;=$B$443)*((I11&gt;=$C$443)+(I11&lt;2/24)),1,0),0)</f>
        <v>0</v>
      </c>
      <c r="AJ13" s="6">
        <f>IF((J10&lt;&gt;"")*(J14=""),IF((J10&lt;=$B$443)*((J11&gt;=$C$443)+(J11&lt;2/24)),1,0),0)</f>
        <v>0</v>
      </c>
    </row>
    <row r="14" spans="1:36" x14ac:dyDescent="0.2">
      <c r="A14" s="39"/>
      <c r="B14" s="40"/>
      <c r="C14" s="32" t="s">
        <v>4</v>
      </c>
      <c r="D14" s="56"/>
      <c r="E14" s="33"/>
      <c r="F14" s="33"/>
      <c r="G14" s="33"/>
      <c r="H14" s="33"/>
      <c r="I14" s="33"/>
      <c r="J14" s="33"/>
      <c r="K14" s="17"/>
      <c r="L14" s="6"/>
      <c r="M14" s="25"/>
      <c r="N14" s="6"/>
      <c r="O14" s="6"/>
      <c r="P14" s="6"/>
      <c r="Q14" s="6"/>
      <c r="R14" s="6"/>
      <c r="S14" s="6"/>
      <c r="T14" s="6"/>
      <c r="U14" s="6"/>
      <c r="V14" s="20"/>
      <c r="W14" s="20"/>
      <c r="X14" s="20"/>
      <c r="Y14" s="20"/>
      <c r="Z14" s="20"/>
      <c r="AA14" s="20"/>
      <c r="AB14" s="20"/>
      <c r="AD14" s="6">
        <f>IF((D10&lt;&gt;"")*(D14=""),IF((D10&lt;=$B$444)*((D11&gt;=$C$444)+(D11&lt;2/24)),1,0),0)</f>
        <v>0</v>
      </c>
      <c r="AE14" s="6">
        <f>IF((E10&lt;&gt;"")*(E14=""),IF((E10&lt;=$B$444)*((E11&gt;=$C$444)+(E11&lt;2/24)),1,0),0)</f>
        <v>0</v>
      </c>
      <c r="AF14" s="6">
        <f>IF((F10&lt;&gt;"")*(F14=""),IF((F10&lt;=$B$444)*((F11&gt;=$C$444)+(F11&lt;2/24)),1,0),0)</f>
        <v>0</v>
      </c>
      <c r="AG14" s="6">
        <f>IF((G10&lt;&gt;"")*(G14=""),IF((G10&lt;=$B$444)*((G11&gt;=$C$444)+(G11&lt;2/24)),1,0),0)</f>
        <v>0</v>
      </c>
      <c r="AH14" s="6">
        <f>IF((H10&lt;&gt;"")*(H14=""),IF((H10&lt;=$B$444)*((H11&gt;=$C$444)+(H11&lt;2/24)),1,0),0)</f>
        <v>0</v>
      </c>
      <c r="AI14" s="6">
        <f>IF((I10&lt;&gt;"")*(I14=""),IF((I10&lt;=$B$444)*((I11&gt;=$C$444)+(I11&lt;2/24)),1,0),0)</f>
        <v>0</v>
      </c>
      <c r="AJ14" s="6">
        <f>IF((J10&lt;&gt;"")*(J14=""),IF((J10&lt;=$B$444)*((J11&gt;=$C$444)+(J11&lt;2/24)),1,0),0)</f>
        <v>0</v>
      </c>
    </row>
    <row r="15" spans="1:36" ht="13.5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  <c r="L15" s="6"/>
      <c r="M15" s="25"/>
      <c r="N15" s="6"/>
      <c r="O15" s="6"/>
      <c r="P15" s="6"/>
      <c r="Q15" s="6"/>
      <c r="R15" s="6"/>
      <c r="S15" s="6"/>
      <c r="T15" s="6"/>
      <c r="U15" s="6"/>
      <c r="V15" s="20"/>
      <c r="W15" s="20"/>
      <c r="X15" s="20"/>
      <c r="Y15" s="20"/>
      <c r="Z15" s="20"/>
      <c r="AA15" s="20"/>
      <c r="AB15" s="20"/>
      <c r="AD15" s="6"/>
      <c r="AE15" s="6"/>
      <c r="AF15" s="6"/>
      <c r="AG15" s="6"/>
      <c r="AH15" s="6"/>
      <c r="AI15" s="6"/>
      <c r="AJ15" s="6"/>
    </row>
    <row r="16" spans="1:36" x14ac:dyDescent="0.2">
      <c r="A16" s="37" t="s">
        <v>97</v>
      </c>
      <c r="B16" s="38" t="s">
        <v>98</v>
      </c>
      <c r="C16" s="14" t="s">
        <v>0</v>
      </c>
      <c r="D16" s="45">
        <v>0.77083333333333337</v>
      </c>
      <c r="E16" s="26"/>
      <c r="F16" s="45"/>
      <c r="G16" s="26"/>
      <c r="H16" s="26">
        <v>0.77083333333333337</v>
      </c>
      <c r="I16" s="26"/>
      <c r="J16" s="26"/>
      <c r="K16" s="16"/>
      <c r="L16" s="6"/>
      <c r="M16" s="21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D16" s="6">
        <f>IF((D16&lt;&gt;"")*(D20=""),IF((D16&lt;=$B$440)*((D17&gt;=$C$440)+(D17&lt;2/24)),1,0),0)</f>
        <v>0</v>
      </c>
      <c r="AE16" s="6">
        <f>IF((E16&lt;&gt;"")*(E20=""),IF((E16&lt;=$B$440)*((E17&gt;=$C$440)+(E17&lt;2/24)),1,0),0)</f>
        <v>0</v>
      </c>
      <c r="AF16" s="6">
        <f>IF((F16&lt;&gt;"")*(F20=""),IF((F16&lt;=$B$440)*((F17&gt;=$C$440)+(F17&lt;2/24)),1,0),0)</f>
        <v>0</v>
      </c>
      <c r="AG16" s="6">
        <f>IF((G16&lt;&gt;"")*(G20=""),IF((G16&lt;=$B$440)*((G17&gt;=$C$440)+(G17&lt;2/24)),1,0),0)</f>
        <v>0</v>
      </c>
      <c r="AH16" s="6">
        <f>IF((H16&lt;&gt;"")*(H20=""),IF((H16&lt;=$B$440)*((H17&gt;=$C$440)+(H17&lt;2/24)),1,0),0)</f>
        <v>0</v>
      </c>
      <c r="AI16" s="6">
        <f>IF((I16&lt;&gt;"")*(I20=""),IF((I16&lt;=$B$440)*((I17&gt;=$C$440)+(I17&lt;2/24)),1,0),0)</f>
        <v>0</v>
      </c>
      <c r="AJ16" s="6">
        <f>IF((J16&lt;&gt;"")*(J20=""),IF((J16&lt;=$B$440)*((J17&gt;=$C$440)+(J17&lt;2/24)),1,0),0)</f>
        <v>0</v>
      </c>
    </row>
    <row r="17" spans="1:36" x14ac:dyDescent="0.2">
      <c r="A17" s="39"/>
      <c r="B17" s="40"/>
      <c r="C17" s="15" t="s">
        <v>1</v>
      </c>
      <c r="D17" s="3">
        <v>0.95833333333333337</v>
      </c>
      <c r="E17" s="27"/>
      <c r="F17" s="3"/>
      <c r="G17" s="27"/>
      <c r="H17" s="27">
        <v>0.95833333333333337</v>
      </c>
      <c r="I17" s="27"/>
      <c r="J17" s="27"/>
      <c r="K17" s="17"/>
      <c r="L17" s="6"/>
      <c r="M17" s="21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D17" s="6">
        <f>IF((D16&lt;&gt;"")*(D20=""),IF((D16&lt;=$B$441)*((D17&gt;=$C$441)+(D17&lt;2/24)),1,0),0)</f>
        <v>0</v>
      </c>
      <c r="AE17" s="6">
        <f>IF((E16&lt;&gt;"")*(E20=""),IF((E16&lt;=$B$441)*((E17&gt;=$C$441)+(E17&lt;2/24)),1,0),0)</f>
        <v>0</v>
      </c>
      <c r="AF17" s="6">
        <f>IF((F16&lt;&gt;"")*(F20=""),IF((F16&lt;=$B$441)*((F17&gt;=$C$441)+(F17&lt;2/24)),1,0),0)</f>
        <v>0</v>
      </c>
      <c r="AG17" s="6">
        <f>IF((G16&lt;&gt;"")*(G20=""),IF((G16&lt;=$B$441)*((G17&gt;=$C$441)+(G17&lt;2/24)),1,0),0)</f>
        <v>0</v>
      </c>
      <c r="AH17" s="6">
        <f>IF((H16&lt;&gt;"")*(H20=""),IF((H16&lt;=$B$441)*((H17&gt;=$C$441)+(H17&lt;2/24)),1,0),0)</f>
        <v>0</v>
      </c>
      <c r="AI17" s="6">
        <f>IF((I16&lt;&gt;"")*(I20=""),IF((I16&lt;=$B$441)*((I17&gt;=$C$441)+(I17&lt;2/24)),1,0),0)</f>
        <v>0</v>
      </c>
      <c r="AJ17" s="6">
        <f>IF((J16&lt;&gt;"")*(J20=""),IF((J16&lt;=$B$441)*((J17&gt;=$C$441)+(J17&lt;2/24)),1,0),0)</f>
        <v>0</v>
      </c>
    </row>
    <row r="18" spans="1:36" x14ac:dyDescent="0.2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D18" s="6">
        <f>IF((D16&lt;&gt;"")*(D20=""),IF((D16&lt;=$B$442)*((D17&gt;=$C$442)+(D17&lt;2/24)),1,0),0)</f>
        <v>0</v>
      </c>
      <c r="AE18" s="6">
        <f>IF((E16&lt;&gt;"")*(E20=""),IF((E16&lt;=$B$442)*((E17&gt;=$C$442)+(E17&lt;2/24)),1,0),0)</f>
        <v>0</v>
      </c>
      <c r="AF18" s="6">
        <f>IF((F16&lt;&gt;"")*(F20=""),IF((F16&lt;=$B$442)*((F17&gt;=$C$442)+(F17&lt;2/24)),1,0),0)</f>
        <v>0</v>
      </c>
      <c r="AG18" s="6">
        <f>IF((G16&lt;&gt;"")*(G20=""),IF((G16&lt;=$B$442)*((G17&gt;=$C$442)+(G17&lt;2/24)),1,0),0)</f>
        <v>0</v>
      </c>
      <c r="AH18" s="6">
        <f>IF((H16&lt;&gt;"")*(H20=""),IF((H16&lt;=$B$442)*((H17&gt;=$C$442)+(H17&lt;2/24)),1,0),0)</f>
        <v>0</v>
      </c>
      <c r="AI18" s="6">
        <f>IF((I16&lt;&gt;"")*(I20=""),IF((I16&lt;=$B$442)*((I17&gt;=$C$442)+(I17&lt;2/24)),1,0),0)</f>
        <v>0</v>
      </c>
      <c r="AJ18" s="6">
        <f>IF((J16&lt;&gt;"")*(J20=""),IF((J16&lt;=$B$442)*((J17&gt;=$C$442)+(J17&lt;2/24)),1,0),0)</f>
        <v>0</v>
      </c>
    </row>
    <row r="19" spans="1:36" x14ac:dyDescent="0.2">
      <c r="A19" s="39"/>
      <c r="B19" s="40"/>
      <c r="C19" s="15" t="s">
        <v>3</v>
      </c>
      <c r="D19" s="19">
        <v>4.5</v>
      </c>
      <c r="E19" s="43"/>
      <c r="F19" s="59"/>
      <c r="G19" s="43"/>
      <c r="H19" s="43">
        <v>4.5</v>
      </c>
      <c r="I19" s="43"/>
      <c r="J19" s="44"/>
      <c r="K19" s="18">
        <f>SUMIF(D20:J20,"",D19:J19)</f>
        <v>9</v>
      </c>
      <c r="L19" s="12">
        <f>SUM(D19:J19)</f>
        <v>9</v>
      </c>
      <c r="M19" s="24"/>
      <c r="N19" s="10">
        <f t="shared" ref="N19" si="4">IF(D20="",D19,0)</f>
        <v>4.5</v>
      </c>
      <c r="O19" s="10">
        <f t="shared" ref="O19" si="5">IF(E20="",E19,0)</f>
        <v>0</v>
      </c>
      <c r="P19" s="10">
        <f t="shared" ref="P19" si="6">IF(F20="",F19,0)</f>
        <v>0</v>
      </c>
      <c r="Q19" s="10">
        <f t="shared" ref="Q19" si="7">IF(G20="",G19,0)</f>
        <v>0</v>
      </c>
      <c r="R19" s="10">
        <f t="shared" ref="R19" si="8">IF(H20="",H19,0)</f>
        <v>4.5</v>
      </c>
      <c r="S19" s="10">
        <f t="shared" ref="S19" si="9">IF(I20="",I19,0)</f>
        <v>0</v>
      </c>
      <c r="T19" s="10">
        <f t="shared" ref="T19" si="10">IF(J20="",J19,0)</f>
        <v>0</v>
      </c>
      <c r="U19" s="10"/>
      <c r="V19" s="10">
        <f t="shared" ref="V19" si="11">D19</f>
        <v>4.5</v>
      </c>
      <c r="W19" s="10">
        <f t="shared" ref="W19" si="12">E19</f>
        <v>0</v>
      </c>
      <c r="X19" s="10">
        <f t="shared" ref="X19" si="13">F19</f>
        <v>0</v>
      </c>
      <c r="Y19" s="10">
        <f t="shared" ref="Y19" si="14">G19</f>
        <v>0</v>
      </c>
      <c r="Z19" s="10">
        <f t="shared" ref="Z19" si="15">H19</f>
        <v>4.5</v>
      </c>
      <c r="AA19" s="10">
        <f t="shared" ref="AA19" si="16">I19</f>
        <v>0</v>
      </c>
      <c r="AB19" s="10">
        <f t="shared" ref="AB19" si="17">J19</f>
        <v>0</v>
      </c>
      <c r="AD19" s="6">
        <f>IF((D16&lt;&gt;"")*(D20=""),IF((D16&lt;=$B$443)*((D17&gt;=$C$443)+(D17&lt;2/24)),1,0),0)</f>
        <v>1</v>
      </c>
      <c r="AE19" s="6">
        <f>IF((E16&lt;&gt;"")*(E20=""),IF((E16&lt;=$B$443)*((E17&gt;=$C$443)+(E17&lt;2/24)),1,0),0)</f>
        <v>0</v>
      </c>
      <c r="AF19" s="6">
        <f>IF((F16&lt;&gt;"")*(F20=""),IF((F16&lt;=$B$443)*((F17&gt;=$C$443)+(F17&lt;2/24)),1,0),0)</f>
        <v>0</v>
      </c>
      <c r="AG19" s="6">
        <f>IF((G16&lt;&gt;"")*(G20=""),IF((G16&lt;=$B$443)*((G17&gt;=$C$443)+(G17&lt;2/24)),1,0),0)</f>
        <v>0</v>
      </c>
      <c r="AH19" s="6">
        <f>IF((H16&lt;&gt;"")*(H20=""),IF((H16&lt;=$B$443)*((H17&gt;=$C$443)+(H17&lt;2/24)),1,0),0)</f>
        <v>1</v>
      </c>
      <c r="AI19" s="6">
        <f>IF((I16&lt;&gt;"")*(I20=""),IF((I16&lt;=$B$443)*((I17&gt;=$C$443)+(I17&lt;2/24)),1,0),0)</f>
        <v>0</v>
      </c>
      <c r="AJ19" s="6">
        <f>IF((J16&lt;&gt;"")*(J20=""),IF((J16&lt;=$B$443)*((J17&gt;=$C$443)+(J17&lt;2/24)),1,0),0)</f>
        <v>0</v>
      </c>
    </row>
    <row r="20" spans="1:36" x14ac:dyDescent="0.2">
      <c r="A20" s="39"/>
      <c r="B20" s="40"/>
      <c r="C20" s="32" t="s">
        <v>4</v>
      </c>
      <c r="D20" s="56"/>
      <c r="E20" s="33"/>
      <c r="F20" s="33"/>
      <c r="G20" s="33"/>
      <c r="H20" s="33"/>
      <c r="I20" s="33"/>
      <c r="J20" s="33"/>
      <c r="K20" s="17"/>
      <c r="L20" s="6"/>
      <c r="M20" s="25"/>
      <c r="N20" s="6"/>
      <c r="O20" s="6"/>
      <c r="P20" s="6"/>
      <c r="Q20" s="6"/>
      <c r="R20" s="6"/>
      <c r="S20" s="6"/>
      <c r="T20" s="6"/>
      <c r="U20" s="6"/>
      <c r="V20" s="20"/>
      <c r="W20" s="20"/>
      <c r="X20" s="20"/>
      <c r="Y20" s="20"/>
      <c r="Z20" s="20"/>
      <c r="AA20" s="20"/>
      <c r="AB20" s="20"/>
      <c r="AD20" s="6">
        <f>IF((D16&lt;&gt;"")*(D20=""),IF((D16&lt;=$B$444)*((D17&gt;=$C$444)+(D17&lt;2/24)),1,0),0)</f>
        <v>1</v>
      </c>
      <c r="AE20" s="6">
        <f>IF((E16&lt;&gt;"")*(E20=""),IF((E16&lt;=$B$444)*((E17&gt;=$C$444)+(E17&lt;2/24)),1,0),0)</f>
        <v>0</v>
      </c>
      <c r="AF20" s="6">
        <f>IF((F16&lt;&gt;"")*(F20=""),IF((F16&lt;=$B$444)*((F17&gt;=$C$444)+(F17&lt;2/24)),1,0),0)</f>
        <v>0</v>
      </c>
      <c r="AG20" s="6">
        <f>IF((G16&lt;&gt;"")*(G20=""),IF((G16&lt;=$B$444)*((G17&gt;=$C$444)+(G17&lt;2/24)),1,0),0)</f>
        <v>0</v>
      </c>
      <c r="AH20" s="6">
        <f>IF((H16&lt;&gt;"")*(H20=""),IF((H16&lt;=$B$444)*((H17&gt;=$C$444)+(H17&lt;2/24)),1,0),0)</f>
        <v>1</v>
      </c>
      <c r="AI20" s="6">
        <f>IF((I16&lt;&gt;"")*(I20=""),IF((I16&lt;=$B$444)*((I17&gt;=$C$444)+(I17&lt;2/24)),1,0),0)</f>
        <v>0</v>
      </c>
      <c r="AJ20" s="6">
        <f>IF((J16&lt;&gt;"")*(J20=""),IF((J16&lt;=$B$444)*((J17&gt;=$C$444)+(J17&lt;2/24)),1,0),0)</f>
        <v>0</v>
      </c>
    </row>
    <row r="21" spans="1:36" ht="13.5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  <c r="N21" s="6"/>
      <c r="O21" s="6"/>
      <c r="P21" s="6"/>
      <c r="Q21" s="6"/>
      <c r="R21" s="6"/>
      <c r="S21" s="6"/>
      <c r="T21" s="6"/>
      <c r="U21" s="6"/>
      <c r="V21" s="20"/>
      <c r="W21" s="20"/>
      <c r="X21" s="20"/>
      <c r="Y21" s="20"/>
      <c r="Z21" s="20"/>
      <c r="AA21" s="20"/>
      <c r="AB21" s="20"/>
      <c r="AD21" s="6"/>
      <c r="AE21" s="6"/>
      <c r="AF21" s="6"/>
      <c r="AG21" s="6"/>
      <c r="AH21" s="6"/>
      <c r="AI21" s="6"/>
      <c r="AJ21" s="6"/>
    </row>
    <row r="22" spans="1:36" x14ac:dyDescent="0.2">
      <c r="A22" s="37" t="s">
        <v>128</v>
      </c>
      <c r="B22" s="38" t="s">
        <v>37</v>
      </c>
      <c r="C22" s="14" t="s">
        <v>0</v>
      </c>
      <c r="D22" s="45">
        <v>0.77083333333333337</v>
      </c>
      <c r="E22" s="26"/>
      <c r="F22" s="45">
        <v>0.77083333333333337</v>
      </c>
      <c r="G22" s="26"/>
      <c r="H22" s="26"/>
      <c r="I22" s="26"/>
      <c r="J22" s="26"/>
      <c r="K22" s="16"/>
      <c r="L22" s="6"/>
      <c r="M22" s="21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D22" s="6">
        <f>IF((D22&lt;&gt;"")*(D26=""),IF((D22&lt;=$B$440)*((D23&gt;=$C$440)+(D23&lt;2/24)),1,0),0)</f>
        <v>0</v>
      </c>
      <c r="AE22" s="6">
        <f>IF((E22&lt;&gt;"")*(E26=""),IF((E22&lt;=$B$440)*((E23&gt;=$C$440)+(E23&lt;2/24)),1,0),0)</f>
        <v>0</v>
      </c>
      <c r="AF22" s="6">
        <f>IF((F22&lt;&gt;"")*(F26=""),IF((F22&lt;=$B$440)*((F23&gt;=$C$440)+(F23&lt;2/24)),1,0),0)</f>
        <v>0</v>
      </c>
      <c r="AG22" s="6">
        <f>IF((G22&lt;&gt;"")*(G26=""),IF((G22&lt;=$B$440)*((G23&gt;=$C$440)+(G23&lt;2/24)),1,0),0)</f>
        <v>0</v>
      </c>
      <c r="AH22" s="6">
        <f>IF((H22&lt;&gt;"")*(H26=""),IF((H22&lt;=$B$440)*((H23&gt;=$C$440)+(H23&lt;2/24)),1,0),0)</f>
        <v>0</v>
      </c>
      <c r="AI22" s="6">
        <f>IF((I22&lt;&gt;"")*(I26=""),IF((I22&lt;=$B$440)*((I23&gt;=$C$440)+(I23&lt;2/24)),1,0),0)</f>
        <v>0</v>
      </c>
      <c r="AJ22" s="6">
        <f>IF((J22&lt;&gt;"")*(J26=""),IF((J22&lt;=$B$440)*((J23&gt;=$C$440)+(J23&lt;2/24)),1,0),0)</f>
        <v>0</v>
      </c>
    </row>
    <row r="23" spans="1:36" x14ac:dyDescent="0.2">
      <c r="A23" s="39"/>
      <c r="B23" s="40"/>
      <c r="C23" s="15" t="s">
        <v>1</v>
      </c>
      <c r="D23" s="3">
        <v>0.95833333333333337</v>
      </c>
      <c r="E23" s="27"/>
      <c r="F23" s="3">
        <v>0.95833333333333337</v>
      </c>
      <c r="G23" s="27"/>
      <c r="H23" s="27"/>
      <c r="I23" s="27"/>
      <c r="J23" s="27"/>
      <c r="K23" s="17"/>
      <c r="L23" s="6"/>
      <c r="M23" s="21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D23" s="6">
        <f>IF((D22&lt;&gt;"")*(D26=""),IF((D22&lt;=$B$441)*((D23&gt;=$C$441)+(D23&lt;2/24)),1,0),0)</f>
        <v>0</v>
      </c>
      <c r="AE23" s="6">
        <f>IF((E22&lt;&gt;"")*(E26=""),IF((E22&lt;=$B$441)*((E23&gt;=$C$441)+(E23&lt;2/24)),1,0),0)</f>
        <v>0</v>
      </c>
      <c r="AF23" s="6">
        <f>IF((F22&lt;&gt;"")*(F26=""),IF((F22&lt;=$B$441)*((F23&gt;=$C$441)+(F23&lt;2/24)),1,0),0)</f>
        <v>0</v>
      </c>
      <c r="AG23" s="6">
        <f>IF((G22&lt;&gt;"")*(G26=""),IF((G22&lt;=$B$441)*((G23&gt;=$C$441)+(G23&lt;2/24)),1,0),0)</f>
        <v>0</v>
      </c>
      <c r="AH23" s="6">
        <f>IF((H22&lt;&gt;"")*(H26=""),IF((H22&lt;=$B$441)*((H23&gt;=$C$441)+(H23&lt;2/24)),1,0),0)</f>
        <v>0</v>
      </c>
      <c r="AI23" s="6">
        <f>IF((I22&lt;&gt;"")*(I26=""),IF((I22&lt;=$B$441)*((I23&gt;=$C$441)+(I23&lt;2/24)),1,0),0)</f>
        <v>0</v>
      </c>
      <c r="AJ23" s="6">
        <f>IF((J22&lt;&gt;"")*(J26=""),IF((J22&lt;=$B$441)*((J23&gt;=$C$441)+(J23&lt;2/24)),1,0),0)</f>
        <v>0</v>
      </c>
    </row>
    <row r="24" spans="1:36" x14ac:dyDescent="0.2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D24" s="6">
        <f>IF((D22&lt;&gt;"")*(D26=""),IF((D22&lt;=$B$442)*((D23&gt;=$C$442)+(D23&lt;2/24)),1,0),0)</f>
        <v>0</v>
      </c>
      <c r="AE24" s="6">
        <f>IF((E22&lt;&gt;"")*(E26=""),IF((E22&lt;=$B$442)*((E23&gt;=$C$442)+(E23&lt;2/24)),1,0),0)</f>
        <v>0</v>
      </c>
      <c r="AF24" s="6">
        <f>IF((F22&lt;&gt;"")*(F26=""),IF((F22&lt;=$B$442)*((F23&gt;=$C$442)+(F23&lt;2/24)),1,0),0)</f>
        <v>0</v>
      </c>
      <c r="AG24" s="6">
        <f>IF((G22&lt;&gt;"")*(G26=""),IF((G22&lt;=$B$442)*((G23&gt;=$C$442)+(G23&lt;2/24)),1,0),0)</f>
        <v>0</v>
      </c>
      <c r="AH24" s="6">
        <f>IF((H22&lt;&gt;"")*(H26=""),IF((H22&lt;=$B$442)*((H23&gt;=$C$442)+(H23&lt;2/24)),1,0),0)</f>
        <v>0</v>
      </c>
      <c r="AI24" s="6">
        <f>IF((I22&lt;&gt;"")*(I26=""),IF((I22&lt;=$B$442)*((I23&gt;=$C$442)+(I23&lt;2/24)),1,0),0)</f>
        <v>0</v>
      </c>
      <c r="AJ24" s="6">
        <f>IF((J22&lt;&gt;"")*(J26=""),IF((J22&lt;=$B$442)*((J23&gt;=$C$442)+(J23&lt;2/24)),1,0),0)</f>
        <v>0</v>
      </c>
    </row>
    <row r="25" spans="1:36" x14ac:dyDescent="0.2">
      <c r="A25" s="39"/>
      <c r="B25" s="40"/>
      <c r="C25" s="15" t="s">
        <v>3</v>
      </c>
      <c r="D25" s="19">
        <v>4.5</v>
      </c>
      <c r="E25" s="43"/>
      <c r="F25" s="55">
        <v>4.5</v>
      </c>
      <c r="G25" s="43"/>
      <c r="H25" s="43"/>
      <c r="I25" s="43"/>
      <c r="J25" s="44"/>
      <c r="K25" s="18">
        <f>SUMIF(D26:J26,"",D25:J25)</f>
        <v>9</v>
      </c>
      <c r="L25" s="12">
        <f>SUM(D25:J25)</f>
        <v>9</v>
      </c>
      <c r="M25" s="24"/>
      <c r="N25" s="10">
        <f t="shared" ref="N25" si="18">IF(D26="",D25,0)</f>
        <v>4.5</v>
      </c>
      <c r="O25" s="10">
        <f t="shared" ref="O25" si="19">IF(E26="",E25,0)</f>
        <v>0</v>
      </c>
      <c r="P25" s="10">
        <f t="shared" ref="P25" si="20">IF(F26="",F25,0)</f>
        <v>4.5</v>
      </c>
      <c r="Q25" s="10">
        <f t="shared" ref="Q25" si="21">IF(G26="",G25,0)</f>
        <v>0</v>
      </c>
      <c r="R25" s="10">
        <f t="shared" ref="R25" si="22">IF(H26="",H25,0)</f>
        <v>0</v>
      </c>
      <c r="S25" s="10">
        <f t="shared" ref="S25" si="23">IF(I26="",I25,0)</f>
        <v>0</v>
      </c>
      <c r="T25" s="10">
        <f t="shared" ref="T25" si="24">IF(J26="",J25,0)</f>
        <v>0</v>
      </c>
      <c r="U25" s="10"/>
      <c r="V25" s="10">
        <f t="shared" ref="V25" si="25">D25</f>
        <v>4.5</v>
      </c>
      <c r="W25" s="10">
        <f t="shared" ref="W25" si="26">E25</f>
        <v>0</v>
      </c>
      <c r="X25" s="10">
        <f t="shared" ref="X25" si="27">F25</f>
        <v>4.5</v>
      </c>
      <c r="Y25" s="10">
        <f t="shared" ref="Y25" si="28">G25</f>
        <v>0</v>
      </c>
      <c r="Z25" s="10">
        <f t="shared" ref="Z25" si="29">H25</f>
        <v>0</v>
      </c>
      <c r="AA25" s="10">
        <f t="shared" ref="AA25" si="30">I25</f>
        <v>0</v>
      </c>
      <c r="AB25" s="10">
        <f t="shared" ref="AB25" si="31">J25</f>
        <v>0</v>
      </c>
      <c r="AD25" s="6">
        <f>IF((D22&lt;&gt;"")*(D26=""),IF((D22&lt;=$B$443)*((D23&gt;=$C$443)+(D23&lt;2/24)),1,0),0)</f>
        <v>1</v>
      </c>
      <c r="AE25" s="6">
        <f>IF((E22&lt;&gt;"")*(E26=""),IF((E22&lt;=$B$443)*((E23&gt;=$C$443)+(E23&lt;2/24)),1,0),0)</f>
        <v>0</v>
      </c>
      <c r="AF25" s="6">
        <f>IF((F22&lt;&gt;"")*(F26=""),IF((F22&lt;=$B$443)*((F23&gt;=$C$443)+(F23&lt;2/24)),1,0),0)</f>
        <v>1</v>
      </c>
      <c r="AG25" s="6">
        <f>IF((G22&lt;&gt;"")*(G26=""),IF((G22&lt;=$B$443)*((G23&gt;=$C$443)+(G23&lt;2/24)),1,0),0)</f>
        <v>0</v>
      </c>
      <c r="AH25" s="6">
        <f>IF((H22&lt;&gt;"")*(H26=""),IF((H22&lt;=$B$443)*((H23&gt;=$C$443)+(H23&lt;2/24)),1,0),0)</f>
        <v>0</v>
      </c>
      <c r="AI25" s="6">
        <f>IF((I22&lt;&gt;"")*(I26=""),IF((I22&lt;=$B$443)*((I23&gt;=$C$443)+(I23&lt;2/24)),1,0),0)</f>
        <v>0</v>
      </c>
      <c r="AJ25" s="6">
        <f>IF((J22&lt;&gt;"")*(J26=""),IF((J22&lt;=$B$443)*((J23&gt;=$C$443)+(J23&lt;2/24)),1,0),0)</f>
        <v>0</v>
      </c>
    </row>
    <row r="26" spans="1:36" x14ac:dyDescent="0.2">
      <c r="A26" s="39"/>
      <c r="B26" s="40"/>
      <c r="C26" s="32" t="s">
        <v>4</v>
      </c>
      <c r="D26" s="56"/>
      <c r="E26" s="33"/>
      <c r="F26" s="33"/>
      <c r="G26" s="33"/>
      <c r="H26" s="33"/>
      <c r="I26" s="33"/>
      <c r="J26" s="33"/>
      <c r="K26" s="17"/>
      <c r="L26" s="6"/>
      <c r="M26" s="25"/>
      <c r="N26" s="6"/>
      <c r="O26" s="6"/>
      <c r="P26" s="6"/>
      <c r="Q26" s="6"/>
      <c r="R26" s="6"/>
      <c r="S26" s="6"/>
      <c r="T26" s="6"/>
      <c r="U26" s="6"/>
      <c r="V26" s="20"/>
      <c r="W26" s="20"/>
      <c r="X26" s="20"/>
      <c r="Y26" s="20"/>
      <c r="Z26" s="20"/>
      <c r="AA26" s="20"/>
      <c r="AB26" s="20"/>
      <c r="AD26" s="6">
        <f>IF((D22&lt;&gt;"")*(D26=""),IF((D22&lt;=$B$444)*((D23&gt;=$C$444)+(D23&lt;2/24)),1,0),0)</f>
        <v>1</v>
      </c>
      <c r="AE26" s="6">
        <f>IF((E22&lt;&gt;"")*(E26=""),IF((E22&lt;=$B$444)*((E23&gt;=$C$444)+(E23&lt;2/24)),1,0),0)</f>
        <v>0</v>
      </c>
      <c r="AF26" s="6">
        <f>IF((F22&lt;&gt;"")*(F26=""),IF((F22&lt;=$B$444)*((F23&gt;=$C$444)+(F23&lt;2/24)),1,0),0)</f>
        <v>1</v>
      </c>
      <c r="AG26" s="6">
        <f>IF((G22&lt;&gt;"")*(G26=""),IF((G22&lt;=$B$444)*((G23&gt;=$C$444)+(G23&lt;2/24)),1,0),0)</f>
        <v>0</v>
      </c>
      <c r="AH26" s="6">
        <f>IF((H22&lt;&gt;"")*(H26=""),IF((H22&lt;=$B$444)*((H23&gt;=$C$444)+(H23&lt;2/24)),1,0),0)</f>
        <v>0</v>
      </c>
      <c r="AI26" s="6">
        <f>IF((I22&lt;&gt;"")*(I26=""),IF((I22&lt;=$B$444)*((I23&gt;=$C$444)+(I23&lt;2/24)),1,0),0)</f>
        <v>0</v>
      </c>
      <c r="AJ26" s="6">
        <f>IF((J22&lt;&gt;"")*(J26=""),IF((J22&lt;=$B$444)*((J23&gt;=$C$444)+(J23&lt;2/24)),1,0),0)</f>
        <v>0</v>
      </c>
    </row>
    <row r="27" spans="1:36" ht="13.5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  <c r="N27" s="6"/>
      <c r="O27" s="6"/>
      <c r="P27" s="6"/>
      <c r="Q27" s="6"/>
      <c r="R27" s="6"/>
      <c r="S27" s="6"/>
      <c r="T27" s="6"/>
      <c r="U27" s="6"/>
      <c r="V27" s="20"/>
      <c r="W27" s="20"/>
      <c r="X27" s="20"/>
      <c r="Y27" s="20"/>
      <c r="Z27" s="20"/>
      <c r="AA27" s="20"/>
      <c r="AB27" s="20"/>
      <c r="AD27" s="6"/>
      <c r="AE27" s="6"/>
      <c r="AF27" s="6"/>
      <c r="AG27" s="6"/>
      <c r="AH27" s="6"/>
      <c r="AI27" s="6"/>
      <c r="AJ27" s="6"/>
    </row>
    <row r="28" spans="1:36" x14ac:dyDescent="0.2">
      <c r="A28" s="37" t="s">
        <v>65</v>
      </c>
      <c r="B28" s="38" t="s">
        <v>66</v>
      </c>
      <c r="C28" s="14" t="s">
        <v>0</v>
      </c>
      <c r="D28" s="45"/>
      <c r="E28" s="26"/>
      <c r="F28" s="45"/>
      <c r="G28" s="26"/>
      <c r="H28" s="26"/>
      <c r="I28" s="26"/>
      <c r="J28" s="26"/>
      <c r="K28" s="16"/>
      <c r="L28" s="6"/>
      <c r="M28" s="21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D28" s="6">
        <f>IF((D28&lt;&gt;"")*(D32=""),IF((D28&lt;=$B$440)*((D29&gt;=$C$440)+(D29&lt;2/24)),1,0),0)</f>
        <v>0</v>
      </c>
      <c r="AE28" s="6">
        <f>IF((E28&lt;&gt;"")*(E32=""),IF((E28&lt;=$B$440)*((E29&gt;=$C$440)+(E29&lt;2/24)),1,0),0)</f>
        <v>0</v>
      </c>
      <c r="AF28" s="6">
        <f>IF((F28&lt;&gt;"")*(F32=""),IF((F28&lt;=$B$440)*((F29&gt;=$C$440)+(F29&lt;2/24)),1,0),0)</f>
        <v>0</v>
      </c>
      <c r="AG28" s="6">
        <f>IF((G28&lt;&gt;"")*(G32=""),IF((G28&lt;=$B$440)*((G29&gt;=$C$440)+(G29&lt;2/24)),1,0),0)</f>
        <v>0</v>
      </c>
      <c r="AH28" s="6">
        <f>IF((H28&lt;&gt;"")*(H32=""),IF((H28&lt;=$B$440)*((H29&gt;=$C$440)+(H29&lt;2/24)),1,0),0)</f>
        <v>0</v>
      </c>
      <c r="AI28" s="6">
        <f>IF((I28&lt;&gt;"")*(I32=""),IF((I28&lt;=$B$440)*((I29&gt;=$C$440)+(I29&lt;2/24)),1,0),0)</f>
        <v>0</v>
      </c>
      <c r="AJ28" s="6">
        <f>IF((J28&lt;&gt;"")*(J32=""),IF((J28&lt;=$B$440)*((J29&gt;=$C$440)+(J29&lt;2/24)),1,0),0)</f>
        <v>0</v>
      </c>
    </row>
    <row r="29" spans="1:36" x14ac:dyDescent="0.2">
      <c r="A29" s="39"/>
      <c r="B29" s="40"/>
      <c r="C29" s="15" t="s">
        <v>1</v>
      </c>
      <c r="D29" s="3"/>
      <c r="E29" s="27"/>
      <c r="F29" s="3"/>
      <c r="G29" s="27"/>
      <c r="H29" s="27"/>
      <c r="I29" s="27"/>
      <c r="J29" s="27"/>
      <c r="K29" s="17"/>
      <c r="L29" s="6"/>
      <c r="M29" s="21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D29" s="6">
        <f>IF((D28&lt;&gt;"")*(D32=""),IF((D28&lt;=$B$441)*((D29&gt;=$C$441)+(D29&lt;2/24)),1,0),0)</f>
        <v>0</v>
      </c>
      <c r="AE29" s="6">
        <f>IF((E28&lt;&gt;"")*(E32=""),IF((E28&lt;=$B$441)*((E29&gt;=$C$441)+(E29&lt;2/24)),1,0),0)</f>
        <v>0</v>
      </c>
      <c r="AF29" s="6">
        <f>IF((F28&lt;&gt;"")*(F32=""),IF((F28&lt;=$B$441)*((F29&gt;=$C$441)+(F29&lt;2/24)),1,0),0)</f>
        <v>0</v>
      </c>
      <c r="AG29" s="6">
        <f>IF((G28&lt;&gt;"")*(G32=""),IF((G28&lt;=$B$441)*((G29&gt;=$C$441)+(G29&lt;2/24)),1,0),0)</f>
        <v>0</v>
      </c>
      <c r="AH29" s="6">
        <f>IF((H28&lt;&gt;"")*(H32=""),IF((H28&lt;=$B$441)*((H29&gt;=$C$441)+(H29&lt;2/24)),1,0),0)</f>
        <v>0</v>
      </c>
      <c r="AI29" s="6">
        <f>IF((I28&lt;&gt;"")*(I32=""),IF((I28&lt;=$B$441)*((I29&gt;=$C$441)+(I29&lt;2/24)),1,0),0)</f>
        <v>0</v>
      </c>
      <c r="AJ29" s="6">
        <f>IF((J28&lt;&gt;"")*(J32=""),IF((J28&lt;=$B$441)*((J29&gt;=$C$441)+(J29&lt;2/24)),1,0),0)</f>
        <v>0</v>
      </c>
    </row>
    <row r="30" spans="1:36" x14ac:dyDescent="0.2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D30" s="6">
        <f>IF((D28&lt;&gt;"")*(D32=""),IF((D28&lt;=$B$442)*((D29&gt;=$C$442)+(D29&lt;2/24)),1,0),0)</f>
        <v>0</v>
      </c>
      <c r="AE30" s="6">
        <f>IF((E28&lt;&gt;"")*(E32=""),IF((E28&lt;=$B$442)*((E29&gt;=$C$442)+(E29&lt;2/24)),1,0),0)</f>
        <v>0</v>
      </c>
      <c r="AF30" s="6">
        <f>IF((F28&lt;&gt;"")*(F32=""),IF((F28&lt;=$B$442)*((F29&gt;=$C$442)+(F29&lt;2/24)),1,0),0)</f>
        <v>0</v>
      </c>
      <c r="AG30" s="6">
        <f>IF((G28&lt;&gt;"")*(G32=""),IF((G28&lt;=$B$442)*((G29&gt;=$C$442)+(G29&lt;2/24)),1,0),0)</f>
        <v>0</v>
      </c>
      <c r="AH30" s="6">
        <f>IF((H28&lt;&gt;"")*(H32=""),IF((H28&lt;=$B$442)*((H29&gt;=$C$442)+(H29&lt;2/24)),1,0),0)</f>
        <v>0</v>
      </c>
      <c r="AI30" s="6">
        <f>IF((I28&lt;&gt;"")*(I32=""),IF((I28&lt;=$B$442)*((I29&gt;=$C$442)+(I29&lt;2/24)),1,0),0)</f>
        <v>0</v>
      </c>
      <c r="AJ30" s="6">
        <f>IF((J28&lt;&gt;"")*(J32=""),IF((J28&lt;=$B$442)*((J29&gt;=$C$442)+(J29&lt;2/24)),1,0),0)</f>
        <v>0</v>
      </c>
    </row>
    <row r="31" spans="1:36" x14ac:dyDescent="0.2">
      <c r="A31" s="39"/>
      <c r="B31" s="40"/>
      <c r="C31" s="15" t="s">
        <v>3</v>
      </c>
      <c r="D31" s="19"/>
      <c r="E31" s="43"/>
      <c r="F31" s="55"/>
      <c r="G31" s="43"/>
      <c r="H31" s="43"/>
      <c r="I31" s="43"/>
      <c r="J31" s="44"/>
      <c r="K31" s="18">
        <f>SUMIF(D32:J32,"",D31:J31)</f>
        <v>0</v>
      </c>
      <c r="L31" s="12">
        <f>SUM(D31:J31)</f>
        <v>0</v>
      </c>
      <c r="M31" s="24"/>
      <c r="N31" s="10">
        <f t="shared" ref="N31" si="32">IF(D32="",D31,0)</f>
        <v>0</v>
      </c>
      <c r="O31" s="10">
        <f t="shared" ref="O31" si="33">IF(E32="",E31,0)</f>
        <v>0</v>
      </c>
      <c r="P31" s="10">
        <f t="shared" ref="P31" si="34">IF(F32="",F31,0)</f>
        <v>0</v>
      </c>
      <c r="Q31" s="10">
        <f t="shared" ref="Q31" si="35">IF(G32="",G31,0)</f>
        <v>0</v>
      </c>
      <c r="R31" s="10">
        <f t="shared" ref="R31" si="36">IF(H32="",H31,0)</f>
        <v>0</v>
      </c>
      <c r="S31" s="10">
        <f t="shared" ref="S31" si="37">IF(I32="",I31,0)</f>
        <v>0</v>
      </c>
      <c r="T31" s="10">
        <f t="shared" ref="T31" si="38">IF(J32="",J31,0)</f>
        <v>0</v>
      </c>
      <c r="U31" s="10"/>
      <c r="V31" s="10">
        <f t="shared" ref="V31" si="39">D31</f>
        <v>0</v>
      </c>
      <c r="W31" s="10">
        <f t="shared" ref="W31" si="40">E31</f>
        <v>0</v>
      </c>
      <c r="X31" s="10">
        <f t="shared" ref="X31" si="41">F31</f>
        <v>0</v>
      </c>
      <c r="Y31" s="10">
        <f t="shared" ref="Y31" si="42">G31</f>
        <v>0</v>
      </c>
      <c r="Z31" s="10">
        <f t="shared" ref="Z31" si="43">H31</f>
        <v>0</v>
      </c>
      <c r="AA31" s="10">
        <f t="shared" ref="AA31" si="44">I31</f>
        <v>0</v>
      </c>
      <c r="AB31" s="10">
        <f t="shared" ref="AB31" si="45">J31</f>
        <v>0</v>
      </c>
      <c r="AD31" s="6">
        <f>IF((D28&lt;&gt;"")*(D32=""),IF((D28&lt;=$B$443)*((D29&gt;=$C$443)+(D29&lt;2/24)),1,0),0)</f>
        <v>0</v>
      </c>
      <c r="AE31" s="6">
        <f>IF((E28&lt;&gt;"")*(E32=""),IF((E28&lt;=$B$443)*((E29&gt;=$C$443)+(E29&lt;2/24)),1,0),0)</f>
        <v>0</v>
      </c>
      <c r="AF31" s="6">
        <f>IF((F28&lt;&gt;"")*(F32=""),IF((F28&lt;=$B$443)*((F29&gt;=$C$443)+(F29&lt;2/24)),1,0),0)</f>
        <v>0</v>
      </c>
      <c r="AG31" s="6">
        <f>IF((G28&lt;&gt;"")*(G32=""),IF((G28&lt;=$B$443)*((G29&gt;=$C$443)+(G29&lt;2/24)),1,0),0)</f>
        <v>0</v>
      </c>
      <c r="AH31" s="6">
        <f>IF((H28&lt;&gt;"")*(H32=""),IF((H28&lt;=$B$443)*((H29&gt;=$C$443)+(H29&lt;2/24)),1,0),0)</f>
        <v>0</v>
      </c>
      <c r="AI31" s="6">
        <f>IF((I28&lt;&gt;"")*(I32=""),IF((I28&lt;=$B$443)*((I29&gt;=$C$443)+(I29&lt;2/24)),1,0),0)</f>
        <v>0</v>
      </c>
      <c r="AJ31" s="6">
        <f>IF((J28&lt;&gt;"")*(J32=""),IF((J28&lt;=$B$443)*((J29&gt;=$C$443)+(J29&lt;2/24)),1,0),0)</f>
        <v>0</v>
      </c>
    </row>
    <row r="32" spans="1:36" x14ac:dyDescent="0.2">
      <c r="A32" s="39"/>
      <c r="B32" s="40"/>
      <c r="C32" s="32" t="s">
        <v>4</v>
      </c>
      <c r="D32" s="56"/>
      <c r="E32" s="33"/>
      <c r="F32" s="33"/>
      <c r="G32" s="33"/>
      <c r="H32" s="33"/>
      <c r="I32" s="33"/>
      <c r="J32" s="33"/>
      <c r="K32" s="17"/>
      <c r="L32" s="6"/>
      <c r="M32" s="25"/>
      <c r="N32" s="6"/>
      <c r="O32" s="6"/>
      <c r="P32" s="6"/>
      <c r="Q32" s="6"/>
      <c r="R32" s="6"/>
      <c r="S32" s="6"/>
      <c r="T32" s="6"/>
      <c r="U32" s="6"/>
      <c r="V32" s="20"/>
      <c r="W32" s="20"/>
      <c r="X32" s="20"/>
      <c r="Y32" s="20"/>
      <c r="Z32" s="20"/>
      <c r="AA32" s="20"/>
      <c r="AB32" s="20"/>
      <c r="AD32" s="6">
        <f>IF((D28&lt;&gt;"")*(D32=""),IF((D28&lt;=$B$444)*((D29&gt;=$C$444)+(D29&lt;2/24)),1,0),0)</f>
        <v>0</v>
      </c>
      <c r="AE32" s="6">
        <f>IF((E28&lt;&gt;"")*(E32=""),IF((E28&lt;=$B$444)*((E29&gt;=$C$444)+(E29&lt;2/24)),1,0),0)</f>
        <v>0</v>
      </c>
      <c r="AF32" s="6">
        <f>IF((F28&lt;&gt;"")*(F32=""),IF((F28&lt;=$B$444)*((F29&gt;=$C$444)+(F29&lt;2/24)),1,0),0)</f>
        <v>0</v>
      </c>
      <c r="AG32" s="6">
        <f>IF((G28&lt;&gt;"")*(G32=""),IF((G28&lt;=$B$444)*((G29&gt;=$C$444)+(G29&lt;2/24)),1,0),0)</f>
        <v>0</v>
      </c>
      <c r="AH32" s="6">
        <f>IF((H28&lt;&gt;"")*(H32=""),IF((H28&lt;=$B$444)*((H29&gt;=$C$444)+(H29&lt;2/24)),1,0),0)</f>
        <v>0</v>
      </c>
      <c r="AI32" s="6">
        <f>IF((I28&lt;&gt;"")*(I32=""),IF((I28&lt;=$B$444)*((I29&gt;=$C$444)+(I29&lt;2/24)),1,0),0)</f>
        <v>0</v>
      </c>
      <c r="AJ32" s="6">
        <f>IF((J28&lt;&gt;"")*(J32=""),IF((J28&lt;=$B$444)*((J29&gt;=$C$444)+(J29&lt;2/24)),1,0),0)</f>
        <v>0</v>
      </c>
    </row>
    <row r="33" spans="1:36" ht="13.5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  <c r="N33" s="6"/>
      <c r="O33" s="6"/>
      <c r="P33" s="6"/>
      <c r="Q33" s="6"/>
      <c r="R33" s="6"/>
      <c r="S33" s="6"/>
      <c r="T33" s="6"/>
      <c r="U33" s="6"/>
      <c r="V33" s="20"/>
      <c r="W33" s="20"/>
      <c r="X33" s="20"/>
      <c r="Y33" s="20"/>
      <c r="Z33" s="20"/>
      <c r="AA33" s="20"/>
      <c r="AB33" s="20"/>
      <c r="AD33" s="6"/>
      <c r="AE33" s="6"/>
      <c r="AF33" s="6"/>
      <c r="AG33" s="6"/>
      <c r="AH33" s="6"/>
      <c r="AI33" s="6"/>
      <c r="AJ33" s="6"/>
    </row>
    <row r="34" spans="1:36" x14ac:dyDescent="0.2">
      <c r="A34" s="37" t="s">
        <v>79</v>
      </c>
      <c r="B34" s="38" t="s">
        <v>55</v>
      </c>
      <c r="C34" s="14" t="s">
        <v>0</v>
      </c>
      <c r="D34" s="45"/>
      <c r="E34" s="26"/>
      <c r="F34" s="45"/>
      <c r="G34" s="26"/>
      <c r="H34" s="26"/>
      <c r="I34" s="26"/>
      <c r="J34" s="26"/>
      <c r="K34" s="16"/>
      <c r="L34" s="6"/>
      <c r="M34" s="21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D34" s="6">
        <f>IF((D34&lt;&gt;"")*(D38=""),IF((D34&lt;=$B$440)*((D35&gt;=$C$440)+(D35&lt;2/24)),1,0),0)</f>
        <v>0</v>
      </c>
      <c r="AE34" s="6">
        <f>IF((E34&lt;&gt;"")*(E38=""),IF((E34&lt;=$B$440)*((E35&gt;=$C$440)+(E35&lt;2/24)),1,0),0)</f>
        <v>0</v>
      </c>
      <c r="AF34" s="6">
        <f>IF((F34&lt;&gt;"")*(F38=""),IF((F34&lt;=$B$440)*((F35&gt;=$C$440)+(F35&lt;2/24)),1,0),0)</f>
        <v>0</v>
      </c>
      <c r="AG34" s="6">
        <f>IF((G34&lt;&gt;"")*(G38=""),IF((G34&lt;=$B$440)*((G35&gt;=$C$440)+(G35&lt;2/24)),1,0),0)</f>
        <v>0</v>
      </c>
      <c r="AH34" s="6">
        <f>IF((H34&lt;&gt;"")*(H38=""),IF((H34&lt;=$B$440)*((H35&gt;=$C$440)+(H35&lt;2/24)),1,0),0)</f>
        <v>0</v>
      </c>
      <c r="AI34" s="6">
        <f>IF((I34&lt;&gt;"")*(I38=""),IF((I34&lt;=$B$440)*((I35&gt;=$C$440)+(I35&lt;2/24)),1,0),0)</f>
        <v>0</v>
      </c>
      <c r="AJ34" s="6">
        <f>IF((J34&lt;&gt;"")*(J38=""),IF((J34&lt;=$B$440)*((J35&gt;=$C$440)+(J35&lt;2/24)),1,0),0)</f>
        <v>0</v>
      </c>
    </row>
    <row r="35" spans="1:36" x14ac:dyDescent="0.2">
      <c r="A35" s="39"/>
      <c r="B35" s="40"/>
      <c r="C35" s="15" t="s">
        <v>1</v>
      </c>
      <c r="D35" s="3"/>
      <c r="E35" s="27"/>
      <c r="F35" s="3"/>
      <c r="G35" s="27"/>
      <c r="H35" s="27"/>
      <c r="I35" s="27"/>
      <c r="J35" s="27"/>
      <c r="K35" s="17"/>
      <c r="L35" s="6"/>
      <c r="M35" s="21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D35" s="6">
        <f>IF((D34&lt;&gt;"")*(D38=""),IF((D34&lt;=$B$441)*((D35&gt;=$C$441)+(D35&lt;2/24)),1,0),0)</f>
        <v>0</v>
      </c>
      <c r="AE35" s="6">
        <f>IF((E34&lt;&gt;"")*(E38=""),IF((E34&lt;=$B$441)*((E35&gt;=$C$441)+(E35&lt;2/24)),1,0),0)</f>
        <v>0</v>
      </c>
      <c r="AF35" s="6">
        <f>IF((F34&lt;&gt;"")*(F38=""),IF((F34&lt;=$B$441)*((F35&gt;=$C$441)+(F35&lt;2/24)),1,0),0)</f>
        <v>0</v>
      </c>
      <c r="AG35" s="6">
        <f>IF((G34&lt;&gt;"")*(G38=""),IF((G34&lt;=$B$441)*((G35&gt;=$C$441)+(G35&lt;2/24)),1,0),0)</f>
        <v>0</v>
      </c>
      <c r="AH35" s="6">
        <f>IF((H34&lt;&gt;"")*(H38=""),IF((H34&lt;=$B$441)*((H35&gt;=$C$441)+(H35&lt;2/24)),1,0),0)</f>
        <v>0</v>
      </c>
      <c r="AI35" s="6">
        <f>IF((I34&lt;&gt;"")*(I38=""),IF((I34&lt;=$B$441)*((I35&gt;=$C$441)+(I35&lt;2/24)),1,0),0)</f>
        <v>0</v>
      </c>
      <c r="AJ35" s="6">
        <f>IF((J34&lt;&gt;"")*(J38=""),IF((J34&lt;=$B$441)*((J35&gt;=$C$441)+(J35&lt;2/24)),1,0),0)</f>
        <v>0</v>
      </c>
    </row>
    <row r="36" spans="1:36" x14ac:dyDescent="0.2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D36" s="6">
        <f>IF((D34&lt;&gt;"")*(D38=""),IF((D34&lt;=$B$442)*((D35&gt;=$C$442)+(D35&lt;2/24)),1,0),0)</f>
        <v>0</v>
      </c>
      <c r="AE36" s="6">
        <f>IF((E34&lt;&gt;"")*(E38=""),IF((E34&lt;=$B$442)*((E35&gt;=$C$442)+(E35&lt;2/24)),1,0),0)</f>
        <v>0</v>
      </c>
      <c r="AF36" s="6">
        <f>IF((F34&lt;&gt;"")*(F38=""),IF((F34&lt;=$B$442)*((F35&gt;=$C$442)+(F35&lt;2/24)),1,0),0)</f>
        <v>0</v>
      </c>
      <c r="AG36" s="6">
        <f>IF((G34&lt;&gt;"")*(G38=""),IF((G34&lt;=$B$442)*((G35&gt;=$C$442)+(G35&lt;2/24)),1,0),0)</f>
        <v>0</v>
      </c>
      <c r="AH36" s="6">
        <f>IF((H34&lt;&gt;"")*(H38=""),IF((H34&lt;=$B$442)*((H35&gt;=$C$442)+(H35&lt;2/24)),1,0),0)</f>
        <v>0</v>
      </c>
      <c r="AI36" s="6">
        <f>IF((I34&lt;&gt;"")*(I38=""),IF((I34&lt;=$B$442)*((I35&gt;=$C$442)+(I35&lt;2/24)),1,0),0)</f>
        <v>0</v>
      </c>
      <c r="AJ36" s="6">
        <f>IF((J34&lt;&gt;"")*(J38=""),IF((J34&lt;=$B$442)*((J35&gt;=$C$442)+(J35&lt;2/24)),1,0),0)</f>
        <v>0</v>
      </c>
    </row>
    <row r="37" spans="1:36" x14ac:dyDescent="0.2">
      <c r="A37" s="39"/>
      <c r="B37" s="40"/>
      <c r="C37" s="15" t="s">
        <v>3</v>
      </c>
      <c r="D37" s="19"/>
      <c r="E37" s="43"/>
      <c r="F37" s="59"/>
      <c r="G37" s="43"/>
      <c r="H37" s="43"/>
      <c r="I37" s="43"/>
      <c r="J37" s="44"/>
      <c r="K37" s="18">
        <f>SUMIF(D38:J38,"",D37:J37)</f>
        <v>0</v>
      </c>
      <c r="L37" s="12">
        <f>SUM(D37:J37)</f>
        <v>0</v>
      </c>
      <c r="M37" s="24"/>
      <c r="N37" s="10">
        <f t="shared" ref="N37" si="46">IF(D38="",D37,0)</f>
        <v>0</v>
      </c>
      <c r="O37" s="10">
        <f t="shared" ref="O37" si="47">IF(E38="",E37,0)</f>
        <v>0</v>
      </c>
      <c r="P37" s="10">
        <f t="shared" ref="P37" si="48">IF(F38="",F37,0)</f>
        <v>0</v>
      </c>
      <c r="Q37" s="10">
        <f t="shared" ref="Q37" si="49">IF(G38="",G37,0)</f>
        <v>0</v>
      </c>
      <c r="R37" s="10">
        <f t="shared" ref="R37" si="50">IF(H38="",H37,0)</f>
        <v>0</v>
      </c>
      <c r="S37" s="10">
        <f t="shared" ref="S37" si="51">IF(I38="",I37,0)</f>
        <v>0</v>
      </c>
      <c r="T37" s="10">
        <f t="shared" ref="T37" si="52">IF(J38="",J37,0)</f>
        <v>0</v>
      </c>
      <c r="U37" s="10"/>
      <c r="V37" s="10">
        <f t="shared" ref="V37" si="53">D37</f>
        <v>0</v>
      </c>
      <c r="W37" s="10">
        <f t="shared" ref="W37" si="54">E37</f>
        <v>0</v>
      </c>
      <c r="X37" s="10">
        <f t="shared" ref="X37" si="55">F37</f>
        <v>0</v>
      </c>
      <c r="Y37" s="10">
        <f t="shared" ref="Y37" si="56">G37</f>
        <v>0</v>
      </c>
      <c r="Z37" s="10">
        <f t="shared" ref="Z37" si="57">H37</f>
        <v>0</v>
      </c>
      <c r="AA37" s="10">
        <f t="shared" ref="AA37" si="58">I37</f>
        <v>0</v>
      </c>
      <c r="AB37" s="10">
        <f t="shared" ref="AB37" si="59">J37</f>
        <v>0</v>
      </c>
      <c r="AD37" s="6">
        <f>IF((D34&lt;&gt;"")*(D38=""),IF((D34&lt;=$B$443)*((D35&gt;=$C$443)+(D35&lt;2/24)),1,0),0)</f>
        <v>0</v>
      </c>
      <c r="AE37" s="6">
        <f>IF((E34&lt;&gt;"")*(E38=""),IF((E34&lt;=$B$443)*((E35&gt;=$C$443)+(E35&lt;2/24)),1,0),0)</f>
        <v>0</v>
      </c>
      <c r="AF37" s="6">
        <f>IF((F34&lt;&gt;"")*(F38=""),IF((F34&lt;=$B$443)*((F35&gt;=$C$443)+(F35&lt;2/24)),1,0),0)</f>
        <v>0</v>
      </c>
      <c r="AG37" s="6">
        <f>IF((G34&lt;&gt;"")*(G38=""),IF((G34&lt;=$B$443)*((G35&gt;=$C$443)+(G35&lt;2/24)),1,0),0)</f>
        <v>0</v>
      </c>
      <c r="AH37" s="6">
        <f>IF((H34&lt;&gt;"")*(H38=""),IF((H34&lt;=$B$443)*((H35&gt;=$C$443)+(H35&lt;2/24)),1,0),0)</f>
        <v>0</v>
      </c>
      <c r="AI37" s="6">
        <f>IF((I34&lt;&gt;"")*(I38=""),IF((I34&lt;=$B$443)*((I35&gt;=$C$443)+(I35&lt;2/24)),1,0),0)</f>
        <v>0</v>
      </c>
      <c r="AJ37" s="6">
        <f>IF((J34&lt;&gt;"")*(J38=""),IF((J34&lt;=$B$443)*((J35&gt;=$C$443)+(J35&lt;2/24)),1,0),0)</f>
        <v>0</v>
      </c>
    </row>
    <row r="38" spans="1:36" x14ac:dyDescent="0.2">
      <c r="A38" s="39"/>
      <c r="B38" s="40"/>
      <c r="C38" s="32" t="s">
        <v>4</v>
      </c>
      <c r="D38" s="56"/>
      <c r="E38" s="33"/>
      <c r="F38" s="33"/>
      <c r="G38" s="33"/>
      <c r="H38" s="33"/>
      <c r="I38" s="33"/>
      <c r="J38" s="33"/>
      <c r="K38" s="17"/>
      <c r="L38" s="6"/>
      <c r="M38" s="25"/>
      <c r="N38" s="6"/>
      <c r="O38" s="6"/>
      <c r="P38" s="6"/>
      <c r="Q38" s="6"/>
      <c r="R38" s="6"/>
      <c r="S38" s="6"/>
      <c r="T38" s="6"/>
      <c r="U38" s="6"/>
      <c r="V38" s="20"/>
      <c r="W38" s="20"/>
      <c r="X38" s="20"/>
      <c r="Y38" s="20"/>
      <c r="Z38" s="20"/>
      <c r="AA38" s="20"/>
      <c r="AB38" s="20"/>
      <c r="AD38" s="6">
        <f>IF((D34&lt;&gt;"")*(D38=""),IF((D34&lt;=$B$444)*((D35&gt;=$C$444)+(D35&lt;2/24)),1,0),0)</f>
        <v>0</v>
      </c>
      <c r="AE38" s="6">
        <f>IF((E34&lt;&gt;"")*(E38=""),IF((E34&lt;=$B$444)*((E35&gt;=$C$444)+(E35&lt;2/24)),1,0),0)</f>
        <v>0</v>
      </c>
      <c r="AF38" s="6">
        <f>IF((F34&lt;&gt;"")*(F38=""),IF((F34&lt;=$B$444)*((F35&gt;=$C$444)+(F35&lt;2/24)),1,0),0)</f>
        <v>0</v>
      </c>
      <c r="AG38" s="6">
        <f>IF((G34&lt;&gt;"")*(G38=""),IF((G34&lt;=$B$444)*((G35&gt;=$C$444)+(G35&lt;2/24)),1,0),0)</f>
        <v>0</v>
      </c>
      <c r="AH38" s="6">
        <f>IF((H34&lt;&gt;"")*(H38=""),IF((H34&lt;=$B$444)*((H35&gt;=$C$444)+(H35&lt;2/24)),1,0),0)</f>
        <v>0</v>
      </c>
      <c r="AI38" s="6">
        <f>IF((I34&lt;&gt;"")*(I38=""),IF((I34&lt;=$B$444)*((I35&gt;=$C$444)+(I35&lt;2/24)),1,0),0)</f>
        <v>0</v>
      </c>
      <c r="AJ38" s="6">
        <f>IF((J34&lt;&gt;"")*(J38=""),IF((J34&lt;=$B$444)*((J35&gt;=$C$444)+(J35&lt;2/24)),1,0),0)</f>
        <v>0</v>
      </c>
    </row>
    <row r="39" spans="1:36" ht="13.5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  <c r="N39" s="6"/>
      <c r="O39" s="6"/>
      <c r="P39" s="6"/>
      <c r="Q39" s="6"/>
      <c r="R39" s="6"/>
      <c r="S39" s="6"/>
      <c r="T39" s="6"/>
      <c r="U39" s="6"/>
      <c r="V39" s="20"/>
      <c r="W39" s="20"/>
      <c r="X39" s="20"/>
      <c r="Y39" s="20"/>
      <c r="Z39" s="20"/>
      <c r="AA39" s="20"/>
      <c r="AB39" s="20"/>
      <c r="AD39" s="6"/>
      <c r="AE39" s="6"/>
      <c r="AF39" s="6"/>
      <c r="AG39" s="6"/>
      <c r="AH39" s="6"/>
      <c r="AI39" s="6"/>
      <c r="AJ39" s="6"/>
    </row>
    <row r="40" spans="1:36" ht="13.5" hidden="1" thickBot="1" x14ac:dyDescent="0.25">
      <c r="A40" s="37" t="s">
        <v>29</v>
      </c>
      <c r="B40" s="38" t="s">
        <v>30</v>
      </c>
      <c r="C40" s="14" t="s">
        <v>0</v>
      </c>
      <c r="D40" s="26"/>
      <c r="E40" s="26"/>
      <c r="F40" s="26"/>
      <c r="G40" s="26"/>
      <c r="H40" s="26"/>
      <c r="I40" s="26"/>
      <c r="J40" s="26"/>
      <c r="K40" s="16"/>
      <c r="L40" s="6"/>
      <c r="M40" s="21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D40" s="6">
        <f>IF((D40&lt;&gt;"")*(D44=""),IF((D40&lt;=$B$440)*((D41&gt;=$C$440)+(D41&lt;2/24)),1,0),0)</f>
        <v>0</v>
      </c>
      <c r="AE40" s="6">
        <f>IF((E40&lt;&gt;"")*(E44=""),IF((E40&lt;=$B$440)*((E41&gt;=$C$440)+(E41&lt;2/24)),1,0),0)</f>
        <v>0</v>
      </c>
      <c r="AF40" s="6">
        <f>IF((F40&lt;&gt;"")*(F44=""),IF((F40&lt;=$B$440)*((F41&gt;=$C$440)+(F41&lt;2/24)),1,0),0)</f>
        <v>0</v>
      </c>
      <c r="AG40" s="6">
        <f>IF((G40&lt;&gt;"")*(G44=""),IF((G40&lt;=$B$440)*((G41&gt;=$C$440)+(G41&lt;2/24)),1,0),0)</f>
        <v>0</v>
      </c>
      <c r="AH40" s="6">
        <f>IF((H40&lt;&gt;"")*(H44=""),IF((H40&lt;=$B$440)*((H41&gt;=$C$440)+(H41&lt;2/24)),1,0),0)</f>
        <v>0</v>
      </c>
      <c r="AI40" s="6">
        <f>IF((I40&lt;&gt;"")*(I44=""),IF((I40&lt;=$B$440)*((I41&gt;=$C$440)+(I41&lt;2/24)),1,0),0)</f>
        <v>0</v>
      </c>
      <c r="AJ40" s="6">
        <f>IF((J40&lt;&gt;"")*(J44=""),IF((J40&lt;=$B$440)*((J41&gt;=$C$440)+(J41&lt;2/24)),1,0),0)</f>
        <v>0</v>
      </c>
    </row>
    <row r="41" spans="1:36" ht="13.5" hidden="1" thickBot="1" x14ac:dyDescent="0.25">
      <c r="A41" s="39"/>
      <c r="B41" s="40"/>
      <c r="C41" s="15" t="s">
        <v>1</v>
      </c>
      <c r="D41" s="27"/>
      <c r="E41" s="27"/>
      <c r="F41" s="27"/>
      <c r="G41" s="27"/>
      <c r="H41" s="27"/>
      <c r="I41" s="27"/>
      <c r="J41" s="27"/>
      <c r="K41" s="17"/>
      <c r="L41" s="6"/>
      <c r="M41" s="21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D41" s="6">
        <f>IF((D40&lt;&gt;"")*(D44=""),IF((D40&lt;=$B$441)*((D41&gt;=$C$441)+(D41&lt;2/24)),1,0),0)</f>
        <v>0</v>
      </c>
      <c r="AE41" s="6">
        <f>IF((E40&lt;&gt;"")*(E44=""),IF((E40&lt;=$B$441)*((E41&gt;=$C$441)+(E41&lt;2/24)),1,0),0)</f>
        <v>0</v>
      </c>
      <c r="AF41" s="6">
        <f>IF((F40&lt;&gt;"")*(F44=""),IF((F40&lt;=$B$441)*((F41&gt;=$C$441)+(F41&lt;2/24)),1,0),0)</f>
        <v>0</v>
      </c>
      <c r="AG41" s="6">
        <f>IF((G40&lt;&gt;"")*(G44=""),IF((G40&lt;=$B$441)*((G41&gt;=$C$441)+(G41&lt;2/24)),1,0),0)</f>
        <v>0</v>
      </c>
      <c r="AH41" s="6">
        <f>IF((H40&lt;&gt;"")*(H44=""),IF((H40&lt;=$B$441)*((H41&gt;=$C$441)+(H41&lt;2/24)),1,0),0)</f>
        <v>0</v>
      </c>
      <c r="AI41" s="6">
        <f>IF((I40&lt;&gt;"")*(I44=""),IF((I40&lt;=$B$441)*((I41&gt;=$C$441)+(I41&lt;2/24)),1,0),0)</f>
        <v>0</v>
      </c>
      <c r="AJ41" s="6">
        <f>IF((J40&lt;&gt;"")*(J44=""),IF((J40&lt;=$B$441)*((J41&gt;=$C$441)+(J41&lt;2/24)),1,0),0)</f>
        <v>0</v>
      </c>
    </row>
    <row r="42" spans="1:36" ht="13.5" hidden="1" thickBot="1" x14ac:dyDescent="0.25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D42" s="6">
        <f>IF((D40&lt;&gt;"")*(D44=""),IF((D40&lt;=$B$442)*((D41&gt;=$C$442)+(D41&lt;2/24)),1,0),0)</f>
        <v>0</v>
      </c>
      <c r="AE42" s="6">
        <f>IF((E40&lt;&gt;"")*(E44=""),IF((E40&lt;=$B$442)*((E41&gt;=$C$442)+(E41&lt;2/24)),1,0),0)</f>
        <v>0</v>
      </c>
      <c r="AF42" s="6">
        <f>IF((F40&lt;&gt;"")*(F44=""),IF((F40&lt;=$B$442)*((F41&gt;=$C$442)+(F41&lt;2/24)),1,0),0)</f>
        <v>0</v>
      </c>
      <c r="AG42" s="6">
        <f>IF((G40&lt;&gt;"")*(G44=""),IF((G40&lt;=$B$442)*((G41&gt;=$C$442)+(G41&lt;2/24)),1,0),0)</f>
        <v>0</v>
      </c>
      <c r="AH42" s="6">
        <f>IF((H40&lt;&gt;"")*(H44=""),IF((H40&lt;=$B$442)*((H41&gt;=$C$442)+(H41&lt;2/24)),1,0),0)</f>
        <v>0</v>
      </c>
      <c r="AI42" s="6">
        <f>IF((I40&lt;&gt;"")*(I44=""),IF((I40&lt;=$B$442)*((I41&gt;=$C$442)+(I41&lt;2/24)),1,0),0)</f>
        <v>0</v>
      </c>
      <c r="AJ42" s="6">
        <f>IF((J40&lt;&gt;"")*(J44=""),IF((J40&lt;=$B$442)*((J41&gt;=$C$442)+(J41&lt;2/24)),1,0),0)</f>
        <v>0</v>
      </c>
    </row>
    <row r="43" spans="1:36" ht="13.5" hidden="1" thickBot="1" x14ac:dyDescent="0.25">
      <c r="A43" s="39"/>
      <c r="B43" s="40"/>
      <c r="C43" s="15" t="s">
        <v>3</v>
      </c>
      <c r="D43" s="43"/>
      <c r="E43" s="43"/>
      <c r="F43" s="43"/>
      <c r="G43" s="43"/>
      <c r="H43" s="43"/>
      <c r="I43" s="43"/>
      <c r="J43" s="44"/>
      <c r="K43" s="18">
        <f>SUMIF(D44:J44,"",D43:J43)</f>
        <v>0</v>
      </c>
      <c r="L43" s="12">
        <f>SUM(D43:J43)</f>
        <v>0</v>
      </c>
      <c r="M43" s="24"/>
      <c r="N43" s="10">
        <f t="shared" ref="N43:T43" si="60">IF(D44="",D43,0)</f>
        <v>0</v>
      </c>
      <c r="O43" s="10">
        <f t="shared" si="60"/>
        <v>0</v>
      </c>
      <c r="P43" s="10">
        <f t="shared" si="60"/>
        <v>0</v>
      </c>
      <c r="Q43" s="10">
        <f t="shared" si="60"/>
        <v>0</v>
      </c>
      <c r="R43" s="10">
        <f t="shared" si="60"/>
        <v>0</v>
      </c>
      <c r="S43" s="10">
        <f t="shared" si="60"/>
        <v>0</v>
      </c>
      <c r="T43" s="10">
        <f t="shared" si="60"/>
        <v>0</v>
      </c>
      <c r="U43" s="10"/>
      <c r="V43" s="10">
        <f t="shared" ref="V43:AB43" si="61">D43</f>
        <v>0</v>
      </c>
      <c r="W43" s="10">
        <f t="shared" si="61"/>
        <v>0</v>
      </c>
      <c r="X43" s="10">
        <f t="shared" si="61"/>
        <v>0</v>
      </c>
      <c r="Y43" s="10">
        <f t="shared" si="61"/>
        <v>0</v>
      </c>
      <c r="Z43" s="10">
        <f t="shared" si="61"/>
        <v>0</v>
      </c>
      <c r="AA43" s="10">
        <f t="shared" si="61"/>
        <v>0</v>
      </c>
      <c r="AB43" s="10">
        <f t="shared" si="61"/>
        <v>0</v>
      </c>
      <c r="AD43" s="6">
        <f>IF((D40&lt;&gt;"")*(D44=""),IF((D40&lt;=$B$443)*((D41&gt;=$C$443)+(D41&lt;2/24)),1,0),0)</f>
        <v>0</v>
      </c>
      <c r="AE43" s="6">
        <f>IF((E40&lt;&gt;"")*(E44=""),IF((E40&lt;=$B$443)*((E41&gt;=$C$443)+(E41&lt;2/24)),1,0),0)</f>
        <v>0</v>
      </c>
      <c r="AF43" s="6">
        <f>IF((F40&lt;&gt;"")*(F44=""),IF((F40&lt;=$B$443)*((F41&gt;=$C$443)+(F41&lt;2/24)),1,0),0)</f>
        <v>0</v>
      </c>
      <c r="AG43" s="6">
        <f>IF((G40&lt;&gt;"")*(G44=""),IF((G40&lt;=$B$443)*((G41&gt;=$C$443)+(G41&lt;2/24)),1,0),0)</f>
        <v>0</v>
      </c>
      <c r="AH43" s="6">
        <f>IF((H40&lt;&gt;"")*(H44=""),IF((H40&lt;=$B$443)*((H41&gt;=$C$443)+(H41&lt;2/24)),1,0),0)</f>
        <v>0</v>
      </c>
      <c r="AI43" s="6">
        <f>IF((I40&lt;&gt;"")*(I44=""),IF((I40&lt;=$B$443)*((I41&gt;=$C$443)+(I41&lt;2/24)),1,0),0)</f>
        <v>0</v>
      </c>
      <c r="AJ43" s="6">
        <f>IF((J40&lt;&gt;"")*(J44=""),IF((J40&lt;=$B$443)*((J41&gt;=$C$443)+(J41&lt;2/24)),1,0),0)</f>
        <v>0</v>
      </c>
    </row>
    <row r="44" spans="1:36" ht="13.5" hidden="1" thickBot="1" x14ac:dyDescent="0.25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  <c r="N44" s="6"/>
      <c r="O44" s="6"/>
      <c r="P44" s="6"/>
      <c r="Q44" s="6"/>
      <c r="R44" s="6"/>
      <c r="S44" s="6"/>
      <c r="T44" s="6"/>
      <c r="U44" s="6"/>
      <c r="V44" s="20"/>
      <c r="W44" s="20"/>
      <c r="X44" s="20"/>
      <c r="Y44" s="20"/>
      <c r="Z44" s="20"/>
      <c r="AA44" s="20"/>
      <c r="AB44" s="20"/>
      <c r="AD44" s="6">
        <f>IF((D40&lt;&gt;"")*(D44=""),IF((D40&lt;=$B$444)*((D41&gt;=$C$444)+(D41&lt;2/24)),1,0),0)</f>
        <v>0</v>
      </c>
      <c r="AE44" s="6">
        <f>IF((E40&lt;&gt;"")*(E44=""),IF((E40&lt;=$B$444)*((E41&gt;=$C$444)+(E41&lt;2/24)),1,0),0)</f>
        <v>0</v>
      </c>
      <c r="AF44" s="6">
        <f>IF((F40&lt;&gt;"")*(F44=""),IF((F40&lt;=$B$444)*((F41&gt;=$C$444)+(F41&lt;2/24)),1,0),0)</f>
        <v>0</v>
      </c>
      <c r="AG44" s="6">
        <f>IF((G40&lt;&gt;"")*(G44=""),IF((G40&lt;=$B$444)*((G41&gt;=$C$444)+(G41&lt;2/24)),1,0),0)</f>
        <v>0</v>
      </c>
      <c r="AH44" s="6">
        <f>IF((H40&lt;&gt;"")*(H44=""),IF((H40&lt;=$B$444)*((H41&gt;=$C$444)+(H41&lt;2/24)),1,0),0)</f>
        <v>0</v>
      </c>
      <c r="AI44" s="6">
        <f>IF((I40&lt;&gt;"")*(I44=""),IF((I40&lt;=$B$444)*((I41&gt;=$C$444)+(I41&lt;2/24)),1,0),0)</f>
        <v>0</v>
      </c>
      <c r="AJ44" s="6">
        <f>IF((J40&lt;&gt;"")*(J44=""),IF((J40&lt;=$B$444)*((J41&gt;=$C$444)+(J41&lt;2/24)),1,0),0)</f>
        <v>0</v>
      </c>
    </row>
    <row r="45" spans="1:36" ht="13.5" hidden="1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  <c r="N45" s="6"/>
      <c r="O45" s="6"/>
      <c r="P45" s="6"/>
      <c r="Q45" s="6"/>
      <c r="R45" s="6"/>
      <c r="S45" s="6"/>
      <c r="T45" s="6"/>
      <c r="U45" s="6"/>
      <c r="V45" s="20"/>
      <c r="W45" s="20"/>
      <c r="X45" s="20"/>
      <c r="Y45" s="20"/>
      <c r="Z45" s="20"/>
      <c r="AA45" s="20"/>
      <c r="AB45" s="20"/>
      <c r="AD45" s="6"/>
      <c r="AE45" s="6"/>
      <c r="AF45" s="6"/>
      <c r="AG45" s="6"/>
      <c r="AH45" s="6"/>
      <c r="AI45" s="6"/>
      <c r="AJ45" s="6"/>
    </row>
    <row r="46" spans="1:36" ht="13.5" hidden="1" thickBot="1" x14ac:dyDescent="0.25">
      <c r="A46" s="37" t="s">
        <v>29</v>
      </c>
      <c r="B46" s="38" t="s">
        <v>30</v>
      </c>
      <c r="C46" s="14" t="s">
        <v>0</v>
      </c>
      <c r="D46" s="26"/>
      <c r="E46" s="26"/>
      <c r="F46" s="26"/>
      <c r="G46" s="26"/>
      <c r="H46" s="26"/>
      <c r="I46" s="26"/>
      <c r="J46" s="26"/>
      <c r="K46" s="16"/>
      <c r="L46" s="6"/>
      <c r="M46" s="21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D46" s="6">
        <f>IF((D46&lt;&gt;"")*(D50=""),IF((D46&lt;=$B$440)*((D47&gt;=$C$440)+(D47&lt;2/24)),1,0),0)</f>
        <v>0</v>
      </c>
      <c r="AE46" s="6">
        <f>IF((E46&lt;&gt;"")*(E50=""),IF((E46&lt;=$B$440)*((E47&gt;=$C$440)+(E47&lt;2/24)),1,0),0)</f>
        <v>0</v>
      </c>
      <c r="AF46" s="6">
        <f>IF((F46&lt;&gt;"")*(F50=""),IF((F46&lt;=$B$440)*((F47&gt;=$C$440)+(F47&lt;2/24)),1,0),0)</f>
        <v>0</v>
      </c>
      <c r="AG46" s="6">
        <f>IF((G46&lt;&gt;"")*(G50=""),IF((G46&lt;=$B$440)*((G47&gt;=$C$440)+(G47&lt;2/24)),1,0),0)</f>
        <v>0</v>
      </c>
      <c r="AH46" s="6">
        <f>IF((H46&lt;&gt;"")*(H50=""),IF((H46&lt;=$B$440)*((H47&gt;=$C$440)+(H47&lt;2/24)),1,0),0)</f>
        <v>0</v>
      </c>
      <c r="AI46" s="6">
        <f>IF((I46&lt;&gt;"")*(I50=""),IF((I46&lt;=$B$440)*((I47&gt;=$C$440)+(I47&lt;2/24)),1,0),0)</f>
        <v>0</v>
      </c>
      <c r="AJ46" s="6">
        <f>IF((J46&lt;&gt;"")*(J50=""),IF((J46&lt;=$B$440)*((J47&gt;=$C$440)+(J47&lt;2/24)),1,0),0)</f>
        <v>0</v>
      </c>
    </row>
    <row r="47" spans="1:36" ht="13.5" hidden="1" thickBot="1" x14ac:dyDescent="0.25">
      <c r="A47" s="39"/>
      <c r="B47" s="40"/>
      <c r="C47" s="15" t="s">
        <v>1</v>
      </c>
      <c r="D47" s="27"/>
      <c r="E47" s="27"/>
      <c r="F47" s="27"/>
      <c r="G47" s="27"/>
      <c r="H47" s="27"/>
      <c r="I47" s="27"/>
      <c r="J47" s="27"/>
      <c r="K47" s="17"/>
      <c r="L47" s="6"/>
      <c r="M47" s="21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D47" s="6">
        <f>IF((D46&lt;&gt;"")*(D50=""),IF((D46&lt;=$B$441)*((D47&gt;=$C$441)+(D47&lt;2/24)),1,0),0)</f>
        <v>0</v>
      </c>
      <c r="AE47" s="6">
        <f>IF((E46&lt;&gt;"")*(E50=""),IF((E46&lt;=$B$441)*((E47&gt;=$C$441)+(E47&lt;2/24)),1,0),0)</f>
        <v>0</v>
      </c>
      <c r="AF47" s="6">
        <f>IF((F46&lt;&gt;"")*(F50=""),IF((F46&lt;=$B$441)*((F47&gt;=$C$441)+(F47&lt;2/24)),1,0),0)</f>
        <v>0</v>
      </c>
      <c r="AG47" s="6">
        <f>IF((G46&lt;&gt;"")*(G50=""),IF((G46&lt;=$B$441)*((G47&gt;=$C$441)+(G47&lt;2/24)),1,0),0)</f>
        <v>0</v>
      </c>
      <c r="AH47" s="6">
        <f>IF((H46&lt;&gt;"")*(H50=""),IF((H46&lt;=$B$441)*((H47&gt;=$C$441)+(H47&lt;2/24)),1,0),0)</f>
        <v>0</v>
      </c>
      <c r="AI47" s="6">
        <f>IF((I46&lt;&gt;"")*(I50=""),IF((I46&lt;=$B$441)*((I47&gt;=$C$441)+(I47&lt;2/24)),1,0),0)</f>
        <v>0</v>
      </c>
      <c r="AJ47" s="6">
        <f>IF((J46&lt;&gt;"")*(J50=""),IF((J46&lt;=$B$441)*((J47&gt;=$C$441)+(J47&lt;2/24)),1,0),0)</f>
        <v>0</v>
      </c>
    </row>
    <row r="48" spans="1:36" ht="13.5" hidden="1" thickBot="1" x14ac:dyDescent="0.25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  <c r="L48" s="6"/>
      <c r="M48" s="21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D48" s="6">
        <f>IF((D46&lt;&gt;"")*(D50=""),IF((D46&lt;=$B$442)*((D47&gt;=$C$442)+(D47&lt;2/24)),1,0),0)</f>
        <v>0</v>
      </c>
      <c r="AE48" s="6">
        <f>IF((E46&lt;&gt;"")*(E50=""),IF((E46&lt;=$B$442)*((E47&gt;=$C$442)+(E47&lt;2/24)),1,0),0)</f>
        <v>0</v>
      </c>
      <c r="AF48" s="6">
        <f>IF((F46&lt;&gt;"")*(F50=""),IF((F46&lt;=$B$442)*((F47&gt;=$C$442)+(F47&lt;2/24)),1,0),0)</f>
        <v>0</v>
      </c>
      <c r="AG48" s="6">
        <f>IF((G46&lt;&gt;"")*(G50=""),IF((G46&lt;=$B$442)*((G47&gt;=$C$442)+(G47&lt;2/24)),1,0),0)</f>
        <v>0</v>
      </c>
      <c r="AH48" s="6">
        <f>IF((H46&lt;&gt;"")*(H50=""),IF((H46&lt;=$B$442)*((H47&gt;=$C$442)+(H47&lt;2/24)),1,0),0)</f>
        <v>0</v>
      </c>
      <c r="AI48" s="6">
        <f>IF((I46&lt;&gt;"")*(I50=""),IF((I46&lt;=$B$442)*((I47&gt;=$C$442)+(I47&lt;2/24)),1,0),0)</f>
        <v>0</v>
      </c>
      <c r="AJ48" s="6">
        <f>IF((J46&lt;&gt;"")*(J50=""),IF((J46&lt;=$B$442)*((J47&gt;=$C$442)+(J47&lt;2/24)),1,0),0)</f>
        <v>0</v>
      </c>
    </row>
    <row r="49" spans="1:36" ht="13.5" hidden="1" thickBot="1" x14ac:dyDescent="0.25">
      <c r="A49" s="39"/>
      <c r="B49" s="40"/>
      <c r="C49" s="15" t="s">
        <v>3</v>
      </c>
      <c r="D49" s="43"/>
      <c r="E49" s="43"/>
      <c r="F49" s="43"/>
      <c r="G49" s="43"/>
      <c r="H49" s="43"/>
      <c r="I49" s="43"/>
      <c r="J49" s="44"/>
      <c r="K49" s="18">
        <f>SUMIF(D50:J50,"",D49:J49)</f>
        <v>0</v>
      </c>
      <c r="L49" s="12">
        <f>SUM(D49:J49)</f>
        <v>0</v>
      </c>
      <c r="M49" s="24"/>
      <c r="N49" s="10">
        <f t="shared" ref="N49:T49" si="62">IF(D50="",D49,0)</f>
        <v>0</v>
      </c>
      <c r="O49" s="10">
        <f t="shared" si="62"/>
        <v>0</v>
      </c>
      <c r="P49" s="10">
        <f t="shared" si="62"/>
        <v>0</v>
      </c>
      <c r="Q49" s="10">
        <f t="shared" si="62"/>
        <v>0</v>
      </c>
      <c r="R49" s="10">
        <f t="shared" si="62"/>
        <v>0</v>
      </c>
      <c r="S49" s="10">
        <f t="shared" si="62"/>
        <v>0</v>
      </c>
      <c r="T49" s="10">
        <f t="shared" si="62"/>
        <v>0</v>
      </c>
      <c r="U49" s="10"/>
      <c r="V49" s="10">
        <f t="shared" ref="V49:AB49" si="63">D49</f>
        <v>0</v>
      </c>
      <c r="W49" s="10">
        <f t="shared" si="63"/>
        <v>0</v>
      </c>
      <c r="X49" s="10">
        <f t="shared" si="63"/>
        <v>0</v>
      </c>
      <c r="Y49" s="10">
        <f t="shared" si="63"/>
        <v>0</v>
      </c>
      <c r="Z49" s="10">
        <f t="shared" si="63"/>
        <v>0</v>
      </c>
      <c r="AA49" s="10">
        <f t="shared" si="63"/>
        <v>0</v>
      </c>
      <c r="AB49" s="10">
        <f t="shared" si="63"/>
        <v>0</v>
      </c>
      <c r="AD49" s="6">
        <f>IF((D46&lt;&gt;"")*(D50=""),IF((D46&lt;=$B$443)*((D47&gt;=$C$443)+(D47&lt;2/24)),1,0),0)</f>
        <v>0</v>
      </c>
      <c r="AE49" s="6">
        <f>IF((E46&lt;&gt;"")*(E50=""),IF((E46&lt;=$B$443)*((E47&gt;=$C$443)+(E47&lt;2/24)),1,0),0)</f>
        <v>0</v>
      </c>
      <c r="AF49" s="6">
        <f>IF((F46&lt;&gt;"")*(F50=""),IF((F46&lt;=$B$443)*((F47&gt;=$C$443)+(F47&lt;2/24)),1,0),0)</f>
        <v>0</v>
      </c>
      <c r="AG49" s="6">
        <f>IF((G46&lt;&gt;"")*(G50=""),IF((G46&lt;=$B$443)*((G47&gt;=$C$443)+(G47&lt;2/24)),1,0),0)</f>
        <v>0</v>
      </c>
      <c r="AH49" s="6">
        <f>IF((H46&lt;&gt;"")*(H50=""),IF((H46&lt;=$B$443)*((H47&gt;=$C$443)+(H47&lt;2/24)),1,0),0)</f>
        <v>0</v>
      </c>
      <c r="AI49" s="6">
        <f>IF((I46&lt;&gt;"")*(I50=""),IF((I46&lt;=$B$443)*((I47&gt;=$C$443)+(I47&lt;2/24)),1,0),0)</f>
        <v>0</v>
      </c>
      <c r="AJ49" s="6">
        <f>IF((J46&lt;&gt;"")*(J50=""),IF((J46&lt;=$B$443)*((J47&gt;=$C$443)+(J47&lt;2/24)),1,0),0)</f>
        <v>0</v>
      </c>
    </row>
    <row r="50" spans="1:36" ht="13.5" hidden="1" thickBot="1" x14ac:dyDescent="0.25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  <c r="N50" s="6"/>
      <c r="O50" s="6"/>
      <c r="P50" s="6"/>
      <c r="Q50" s="6"/>
      <c r="R50" s="6"/>
      <c r="S50" s="6"/>
      <c r="T50" s="6"/>
      <c r="U50" s="6"/>
      <c r="V50" s="20"/>
      <c r="W50" s="20"/>
      <c r="X50" s="20"/>
      <c r="Y50" s="20"/>
      <c r="Z50" s="20"/>
      <c r="AA50" s="20"/>
      <c r="AB50" s="20"/>
      <c r="AD50" s="6">
        <f>IF((D46&lt;&gt;"")*(D50=""),IF((D46&lt;=$B$444)*((D47&gt;=$C$444)+(D47&lt;2/24)),1,0),0)</f>
        <v>0</v>
      </c>
      <c r="AE50" s="6">
        <f>IF((E46&lt;&gt;"")*(E50=""),IF((E46&lt;=$B$444)*((E47&gt;=$C$444)+(E47&lt;2/24)),1,0),0)</f>
        <v>0</v>
      </c>
      <c r="AF50" s="6">
        <f>IF((F46&lt;&gt;"")*(F50=""),IF((F46&lt;=$B$444)*((F47&gt;=$C$444)+(F47&lt;2/24)),1,0),0)</f>
        <v>0</v>
      </c>
      <c r="AG50" s="6">
        <f>IF((G46&lt;&gt;"")*(G50=""),IF((G46&lt;=$B$444)*((G47&gt;=$C$444)+(G47&lt;2/24)),1,0),0)</f>
        <v>0</v>
      </c>
      <c r="AH50" s="6">
        <f>IF((H46&lt;&gt;"")*(H50=""),IF((H46&lt;=$B$444)*((H47&gt;=$C$444)+(H47&lt;2/24)),1,0),0)</f>
        <v>0</v>
      </c>
      <c r="AI50" s="6">
        <f>IF((I46&lt;&gt;"")*(I50=""),IF((I46&lt;=$B$444)*((I47&gt;=$C$444)+(I47&lt;2/24)),1,0),0)</f>
        <v>0</v>
      </c>
      <c r="AJ50" s="6">
        <f>IF((J46&lt;&gt;"")*(J50=""),IF((J46&lt;=$B$444)*((J47&gt;=$C$444)+(J47&lt;2/24)),1,0),0)</f>
        <v>0</v>
      </c>
    </row>
    <row r="51" spans="1:36" ht="13.5" hidden="1" thickBot="1" x14ac:dyDescent="0.25">
      <c r="A51" s="41"/>
      <c r="B51" s="42"/>
      <c r="C51" s="35" t="s">
        <v>28</v>
      </c>
      <c r="D51" s="36"/>
      <c r="E51" s="36"/>
      <c r="F51" s="36"/>
      <c r="G51" s="36"/>
      <c r="H51" s="36"/>
      <c r="I51" s="36"/>
      <c r="J51" s="36"/>
      <c r="K51" s="34"/>
      <c r="L51" s="6"/>
      <c r="M51" s="25"/>
      <c r="N51" s="6"/>
      <c r="O51" s="6"/>
      <c r="P51" s="6"/>
      <c r="Q51" s="6"/>
      <c r="R51" s="6"/>
      <c r="S51" s="6"/>
      <c r="T51" s="6"/>
      <c r="U51" s="6"/>
      <c r="V51" s="20"/>
      <c r="W51" s="20"/>
      <c r="X51" s="20"/>
      <c r="Y51" s="20"/>
      <c r="Z51" s="20"/>
      <c r="AA51" s="20"/>
      <c r="AB51" s="20"/>
      <c r="AD51" s="6"/>
      <c r="AE51" s="6"/>
      <c r="AF51" s="6"/>
      <c r="AG51" s="6"/>
      <c r="AH51" s="6"/>
      <c r="AI51" s="6"/>
      <c r="AJ51" s="6"/>
    </row>
    <row r="52" spans="1:36" ht="13.5" hidden="1" thickBot="1" x14ac:dyDescent="0.25">
      <c r="A52" s="37" t="s">
        <v>29</v>
      </c>
      <c r="B52" s="38" t="s">
        <v>30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D52" s="6">
        <f>IF((D52&lt;&gt;"")*(D56=""),IF((D52&lt;=$B$440)*((D53&gt;=$C$440)+(D53&lt;2/24)),1,0),0)</f>
        <v>0</v>
      </c>
      <c r="AE52" s="6">
        <f>IF((E52&lt;&gt;"")*(E56=""),IF((E52&lt;=$B$440)*((E53&gt;=$C$440)+(E53&lt;2/24)),1,0),0)</f>
        <v>0</v>
      </c>
      <c r="AF52" s="6">
        <f>IF((F52&lt;&gt;"")*(F56=""),IF((F52&lt;=$B$440)*((F53&gt;=$C$440)+(F53&lt;2/24)),1,0),0)</f>
        <v>0</v>
      </c>
      <c r="AG52" s="6">
        <f>IF((G52&lt;&gt;"")*(G56=""),IF((G52&lt;=$B$440)*((G53&gt;=$C$440)+(G53&lt;2/24)),1,0),0)</f>
        <v>0</v>
      </c>
      <c r="AH52" s="6">
        <f>IF((H52&lt;&gt;"")*(H56=""),IF((H52&lt;=$B$440)*((H53&gt;=$C$440)+(H53&lt;2/24)),1,0),0)</f>
        <v>0</v>
      </c>
      <c r="AI52" s="6">
        <f>IF((I52&lt;&gt;"")*(I56=""),IF((I52&lt;=$B$440)*((I53&gt;=$C$440)+(I53&lt;2/24)),1,0),0)</f>
        <v>0</v>
      </c>
      <c r="AJ52" s="6">
        <f>IF((J52&lt;&gt;"")*(J56=""),IF((J52&lt;=$B$440)*((J53&gt;=$C$440)+(J53&lt;2/24)),1,0),0)</f>
        <v>0</v>
      </c>
    </row>
    <row r="53" spans="1:36" ht="13.5" hidden="1" thickBot="1" x14ac:dyDescent="0.25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D53" s="6">
        <f>IF((D52&lt;&gt;"")*(D56=""),IF((D52&lt;=$B$441)*((D53&gt;=$C$441)+(D53&lt;2/24)),1,0),0)</f>
        <v>0</v>
      </c>
      <c r="AE53" s="6">
        <f>IF((E52&lt;&gt;"")*(E56=""),IF((E52&lt;=$B$441)*((E53&gt;=$C$441)+(E53&lt;2/24)),1,0),0)</f>
        <v>0</v>
      </c>
      <c r="AF53" s="6">
        <f>IF((F52&lt;&gt;"")*(F56=""),IF((F52&lt;=$B$441)*((F53&gt;=$C$441)+(F53&lt;2/24)),1,0),0)</f>
        <v>0</v>
      </c>
      <c r="AG53" s="6">
        <f>IF((G52&lt;&gt;"")*(G56=""),IF((G52&lt;=$B$441)*((G53&gt;=$C$441)+(G53&lt;2/24)),1,0),0)</f>
        <v>0</v>
      </c>
      <c r="AH53" s="6">
        <f>IF((H52&lt;&gt;"")*(H56=""),IF((H52&lt;=$B$441)*((H53&gt;=$C$441)+(H53&lt;2/24)),1,0),0)</f>
        <v>0</v>
      </c>
      <c r="AI53" s="6">
        <f>IF((I52&lt;&gt;"")*(I56=""),IF((I52&lt;=$B$441)*((I53&gt;=$C$441)+(I53&lt;2/24)),1,0),0)</f>
        <v>0</v>
      </c>
      <c r="AJ53" s="6">
        <f>IF((J52&lt;&gt;"")*(J56=""),IF((J52&lt;=$B$441)*((J53&gt;=$C$441)+(J53&lt;2/24)),1,0),0)</f>
        <v>0</v>
      </c>
    </row>
    <row r="54" spans="1:36" ht="13.5" hidden="1" thickBot="1" x14ac:dyDescent="0.25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  <c r="L54" s="6"/>
      <c r="M54" s="21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D54" s="6">
        <f>IF((D52&lt;&gt;"")*(D56=""),IF((D52&lt;=$B$442)*((D53&gt;=$C$442)+(D53&lt;2/24)),1,0),0)</f>
        <v>0</v>
      </c>
      <c r="AE54" s="6">
        <f>IF((E52&lt;&gt;"")*(E56=""),IF((E52&lt;=$B$442)*((E53&gt;=$C$442)+(E53&lt;2/24)),1,0),0)</f>
        <v>0</v>
      </c>
      <c r="AF54" s="6">
        <f>IF((F52&lt;&gt;"")*(F56=""),IF((F52&lt;=$B$442)*((F53&gt;=$C$442)+(F53&lt;2/24)),1,0),0)</f>
        <v>0</v>
      </c>
      <c r="AG54" s="6">
        <f>IF((G52&lt;&gt;"")*(G56=""),IF((G52&lt;=$B$442)*((G53&gt;=$C$442)+(G53&lt;2/24)),1,0),0)</f>
        <v>0</v>
      </c>
      <c r="AH54" s="6">
        <f>IF((H52&lt;&gt;"")*(H56=""),IF((H52&lt;=$B$442)*((H53&gt;=$C$442)+(H53&lt;2/24)),1,0),0)</f>
        <v>0</v>
      </c>
      <c r="AI54" s="6">
        <f>IF((I52&lt;&gt;"")*(I56=""),IF((I52&lt;=$B$442)*((I53&gt;=$C$442)+(I53&lt;2/24)),1,0),0)</f>
        <v>0</v>
      </c>
      <c r="AJ54" s="6">
        <f>IF((J52&lt;&gt;"")*(J56=""),IF((J52&lt;=$B$442)*((J53&gt;=$C$442)+(J53&lt;2/24)),1,0),0)</f>
        <v>0</v>
      </c>
    </row>
    <row r="55" spans="1:36" ht="13.5" hidden="1" thickBot="1" x14ac:dyDescent="0.25">
      <c r="A55" s="39"/>
      <c r="B55" s="40"/>
      <c r="C55" s="15" t="s">
        <v>3</v>
      </c>
      <c r="D55" s="43"/>
      <c r="E55" s="43"/>
      <c r="F55" s="43"/>
      <c r="G55" s="43"/>
      <c r="H55" s="43"/>
      <c r="I55" s="43"/>
      <c r="J55" s="44"/>
      <c r="K55" s="18">
        <f>SUMIF(D56:J56,"",D55:J55)</f>
        <v>0</v>
      </c>
      <c r="L55" s="12">
        <f>SUM(D55:J55)</f>
        <v>0</v>
      </c>
      <c r="M55" s="24"/>
      <c r="N55" s="10">
        <f t="shared" ref="N55:T55" si="64">IF(D56="",D55,0)</f>
        <v>0</v>
      </c>
      <c r="O55" s="10">
        <f t="shared" si="64"/>
        <v>0</v>
      </c>
      <c r="P55" s="10">
        <f t="shared" si="64"/>
        <v>0</v>
      </c>
      <c r="Q55" s="10">
        <f t="shared" si="64"/>
        <v>0</v>
      </c>
      <c r="R55" s="10">
        <f t="shared" si="64"/>
        <v>0</v>
      </c>
      <c r="S55" s="10">
        <f t="shared" si="64"/>
        <v>0</v>
      </c>
      <c r="T55" s="10">
        <f t="shared" si="64"/>
        <v>0</v>
      </c>
      <c r="U55" s="10"/>
      <c r="V55" s="10">
        <f t="shared" ref="V55:AB55" si="65">D55</f>
        <v>0</v>
      </c>
      <c r="W55" s="10">
        <f t="shared" si="65"/>
        <v>0</v>
      </c>
      <c r="X55" s="10">
        <f t="shared" si="65"/>
        <v>0</v>
      </c>
      <c r="Y55" s="10">
        <f t="shared" si="65"/>
        <v>0</v>
      </c>
      <c r="Z55" s="10">
        <f t="shared" si="65"/>
        <v>0</v>
      </c>
      <c r="AA55" s="10">
        <f t="shared" si="65"/>
        <v>0</v>
      </c>
      <c r="AB55" s="10">
        <f t="shared" si="65"/>
        <v>0</v>
      </c>
      <c r="AD55" s="6">
        <f>IF((D52&lt;&gt;"")*(D56=""),IF((D52&lt;=$B$443)*((D53&gt;=$C$443)+(D53&lt;2/24)),1,0),0)</f>
        <v>0</v>
      </c>
      <c r="AE55" s="6">
        <f>IF((E52&lt;&gt;"")*(E56=""),IF((E52&lt;=$B$443)*((E53&gt;=$C$443)+(E53&lt;2/24)),1,0),0)</f>
        <v>0</v>
      </c>
      <c r="AF55" s="6">
        <f>IF((F52&lt;&gt;"")*(F56=""),IF((F52&lt;=$B$443)*((F53&gt;=$C$443)+(F53&lt;2/24)),1,0),0)</f>
        <v>0</v>
      </c>
      <c r="AG55" s="6">
        <f>IF((G52&lt;&gt;"")*(G56=""),IF((G52&lt;=$B$443)*((G53&gt;=$C$443)+(G53&lt;2/24)),1,0),0)</f>
        <v>0</v>
      </c>
      <c r="AH55" s="6">
        <f>IF((H52&lt;&gt;"")*(H56=""),IF((H52&lt;=$B$443)*((H53&gt;=$C$443)+(H53&lt;2/24)),1,0),0)</f>
        <v>0</v>
      </c>
      <c r="AI55" s="6">
        <f>IF((I52&lt;&gt;"")*(I56=""),IF((I52&lt;=$B$443)*((I53&gt;=$C$443)+(I53&lt;2/24)),1,0),0)</f>
        <v>0</v>
      </c>
      <c r="AJ55" s="6">
        <f>IF((J52&lt;&gt;"")*(J56=""),IF((J52&lt;=$B$443)*((J53&gt;=$C$443)+(J53&lt;2/24)),1,0),0)</f>
        <v>0</v>
      </c>
    </row>
    <row r="56" spans="1:36" ht="13.5" hidden="1" thickBot="1" x14ac:dyDescent="0.25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  <c r="N56" s="6"/>
      <c r="O56" s="6"/>
      <c r="P56" s="6"/>
      <c r="Q56" s="6"/>
      <c r="R56" s="6"/>
      <c r="S56" s="6"/>
      <c r="T56" s="6"/>
      <c r="U56" s="6"/>
      <c r="V56" s="20"/>
      <c r="W56" s="20"/>
      <c r="X56" s="20"/>
      <c r="Y56" s="20"/>
      <c r="Z56" s="20"/>
      <c r="AA56" s="20"/>
      <c r="AB56" s="20"/>
      <c r="AD56" s="6">
        <f>IF((D52&lt;&gt;"")*(D56=""),IF((D52&lt;=$B$444)*((D53&gt;=$C$444)+(D53&lt;2/24)),1,0),0)</f>
        <v>0</v>
      </c>
      <c r="AE56" s="6">
        <f>IF((E52&lt;&gt;"")*(E56=""),IF((E52&lt;=$B$444)*((E53&gt;=$C$444)+(E53&lt;2/24)),1,0),0)</f>
        <v>0</v>
      </c>
      <c r="AF56" s="6">
        <f>IF((F52&lt;&gt;"")*(F56=""),IF((F52&lt;=$B$444)*((F53&gt;=$C$444)+(F53&lt;2/24)),1,0),0)</f>
        <v>0</v>
      </c>
      <c r="AG56" s="6">
        <f>IF((G52&lt;&gt;"")*(G56=""),IF((G52&lt;=$B$444)*((G53&gt;=$C$444)+(G53&lt;2/24)),1,0),0)</f>
        <v>0</v>
      </c>
      <c r="AH56" s="6">
        <f>IF((H52&lt;&gt;"")*(H56=""),IF((H52&lt;=$B$444)*((H53&gt;=$C$444)+(H53&lt;2/24)),1,0),0)</f>
        <v>0</v>
      </c>
      <c r="AI56" s="6">
        <f>IF((I52&lt;&gt;"")*(I56=""),IF((I52&lt;=$B$444)*((I53&gt;=$C$444)+(I53&lt;2/24)),1,0),0)</f>
        <v>0</v>
      </c>
      <c r="AJ56" s="6">
        <f>IF((J52&lt;&gt;"")*(J56=""),IF((J52&lt;=$B$444)*((J53&gt;=$C$444)+(J53&lt;2/24)),1,0),0)</f>
        <v>0</v>
      </c>
    </row>
    <row r="57" spans="1:36" ht="13.5" hidden="1" thickBot="1" x14ac:dyDescent="0.25">
      <c r="A57" s="41"/>
      <c r="B57" s="42"/>
      <c r="C57" s="35" t="s">
        <v>28</v>
      </c>
      <c r="D57" s="36"/>
      <c r="E57" s="36"/>
      <c r="F57" s="36"/>
      <c r="G57" s="36"/>
      <c r="H57" s="36"/>
      <c r="I57" s="36"/>
      <c r="J57" s="36"/>
      <c r="K57" s="34"/>
      <c r="L57" s="6"/>
      <c r="M57" s="25"/>
      <c r="N57" s="6"/>
      <c r="O57" s="6"/>
      <c r="P57" s="6"/>
      <c r="Q57" s="6"/>
      <c r="R57" s="6"/>
      <c r="S57" s="6"/>
      <c r="T57" s="6"/>
      <c r="U57" s="6"/>
      <c r="V57" s="20"/>
      <c r="W57" s="20"/>
      <c r="X57" s="20"/>
      <c r="Y57" s="20"/>
      <c r="Z57" s="20"/>
      <c r="AA57" s="20"/>
      <c r="AB57" s="20"/>
      <c r="AD57" s="6"/>
      <c r="AE57" s="6"/>
      <c r="AF57" s="6"/>
      <c r="AG57" s="6"/>
      <c r="AH57" s="6"/>
      <c r="AI57" s="6"/>
      <c r="AJ57" s="6"/>
    </row>
    <row r="58" spans="1:36" ht="13.5" hidden="1" thickBot="1" x14ac:dyDescent="0.25">
      <c r="A58" s="37" t="s">
        <v>29</v>
      </c>
      <c r="B58" s="38" t="s">
        <v>30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  <c r="L58" s="6"/>
      <c r="M58" s="21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D58" s="6">
        <f>IF((D58&lt;&gt;"")*(D62=""),IF((D58&lt;=$B$440)*((D59&gt;=$C$440)+(D59&lt;2/24)),1,0),0)</f>
        <v>0</v>
      </c>
      <c r="AE58" s="6">
        <f>IF((E58&lt;&gt;"")*(E62=""),IF((E58&lt;=$B$440)*((E59&gt;=$C$440)+(E59&lt;2/24)),1,0),0)</f>
        <v>0</v>
      </c>
      <c r="AF58" s="6">
        <f>IF((F58&lt;&gt;"")*(F62=""),IF((F58&lt;=$B$440)*((F59&gt;=$C$440)+(F59&lt;2/24)),1,0),0)</f>
        <v>0</v>
      </c>
      <c r="AG58" s="6">
        <f>IF((G58&lt;&gt;"")*(G62=""),IF((G58&lt;=$B$440)*((G59&gt;=$C$440)+(G59&lt;2/24)),1,0),0)</f>
        <v>0</v>
      </c>
      <c r="AH58" s="6">
        <f>IF((H58&lt;&gt;"")*(H62=""),IF((H58&lt;=$B$440)*((H59&gt;=$C$440)+(H59&lt;2/24)),1,0),0)</f>
        <v>0</v>
      </c>
      <c r="AI58" s="6">
        <f>IF((I58&lt;&gt;"")*(I62=""),IF((I58&lt;=$B$440)*((I59&gt;=$C$440)+(I59&lt;2/24)),1,0),0)</f>
        <v>0</v>
      </c>
      <c r="AJ58" s="6">
        <f>IF((J58&lt;&gt;"")*(J62=""),IF((J58&lt;=$B$440)*((J59&gt;=$C$440)+(J59&lt;2/24)),1,0),0)</f>
        <v>0</v>
      </c>
    </row>
    <row r="59" spans="1:36" ht="13.5" hidden="1" thickBot="1" x14ac:dyDescent="0.25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  <c r="L59" s="6"/>
      <c r="M59" s="21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D59" s="6">
        <f>IF((D58&lt;&gt;"")*(D62=""),IF((D58&lt;=$B$441)*((D59&gt;=$C$441)+(D59&lt;2/24)),1,0),0)</f>
        <v>0</v>
      </c>
      <c r="AE59" s="6">
        <f>IF((E58&lt;&gt;"")*(E62=""),IF((E58&lt;=$B$441)*((E59&gt;=$C$441)+(E59&lt;2/24)),1,0),0)</f>
        <v>0</v>
      </c>
      <c r="AF59" s="6">
        <f>IF((F58&lt;&gt;"")*(F62=""),IF((F58&lt;=$B$441)*((F59&gt;=$C$441)+(F59&lt;2/24)),1,0),0)</f>
        <v>0</v>
      </c>
      <c r="AG59" s="6">
        <f>IF((G58&lt;&gt;"")*(G62=""),IF((G58&lt;=$B$441)*((G59&gt;=$C$441)+(G59&lt;2/24)),1,0),0)</f>
        <v>0</v>
      </c>
      <c r="AH59" s="6">
        <f>IF((H58&lt;&gt;"")*(H62=""),IF((H58&lt;=$B$441)*((H59&gt;=$C$441)+(H59&lt;2/24)),1,0),0)</f>
        <v>0</v>
      </c>
      <c r="AI59" s="6">
        <f>IF((I58&lt;&gt;"")*(I62=""),IF((I58&lt;=$B$441)*((I59&gt;=$C$441)+(I59&lt;2/24)),1,0),0)</f>
        <v>0</v>
      </c>
      <c r="AJ59" s="6">
        <f>IF((J58&lt;&gt;"")*(J62=""),IF((J58&lt;=$B$441)*((J59&gt;=$C$441)+(J59&lt;2/24)),1,0),0)</f>
        <v>0</v>
      </c>
    </row>
    <row r="60" spans="1:36" ht="13.5" hidden="1" thickBot="1" x14ac:dyDescent="0.25">
      <c r="A60" s="39"/>
      <c r="B60" s="40"/>
      <c r="C60" s="15" t="s">
        <v>2</v>
      </c>
      <c r="D60" s="4"/>
      <c r="E60" s="4"/>
      <c r="F60" s="4"/>
      <c r="G60" s="4"/>
      <c r="H60" s="4"/>
      <c r="I60" s="4"/>
      <c r="J60" s="4"/>
      <c r="K60" s="17"/>
      <c r="L60" s="6"/>
      <c r="M60" s="21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D60" s="6">
        <f>IF((D58&lt;&gt;"")*(D62=""),IF((D58&lt;=$B$442)*((D59&gt;=$C$442)+(D59&lt;2/24)),1,0),0)</f>
        <v>0</v>
      </c>
      <c r="AE60" s="6">
        <f>IF((E58&lt;&gt;"")*(E62=""),IF((E58&lt;=$B$442)*((E59&gt;=$C$442)+(E59&lt;2/24)),1,0),0)</f>
        <v>0</v>
      </c>
      <c r="AF60" s="6">
        <f>IF((F58&lt;&gt;"")*(F62=""),IF((F58&lt;=$B$442)*((F59&gt;=$C$442)+(F59&lt;2/24)),1,0),0)</f>
        <v>0</v>
      </c>
      <c r="AG60" s="6">
        <f>IF((G58&lt;&gt;"")*(G62=""),IF((G58&lt;=$B$442)*((G59&gt;=$C$442)+(G59&lt;2/24)),1,0),0)</f>
        <v>0</v>
      </c>
      <c r="AH60" s="6">
        <f>IF((H58&lt;&gt;"")*(H62=""),IF((H58&lt;=$B$442)*((H59&gt;=$C$442)+(H59&lt;2/24)),1,0),0)</f>
        <v>0</v>
      </c>
      <c r="AI60" s="6">
        <f>IF((I58&lt;&gt;"")*(I62=""),IF((I58&lt;=$B$442)*((I59&gt;=$C$442)+(I59&lt;2/24)),1,0),0)</f>
        <v>0</v>
      </c>
      <c r="AJ60" s="6">
        <f>IF((J58&lt;&gt;"")*(J62=""),IF((J58&lt;=$B$442)*((J59&gt;=$C$442)+(J59&lt;2/24)),1,0),0)</f>
        <v>0</v>
      </c>
    </row>
    <row r="61" spans="1:36" ht="13.5" hidden="1" thickBot="1" x14ac:dyDescent="0.25">
      <c r="A61" s="39"/>
      <c r="B61" s="40"/>
      <c r="C61" s="15" t="s">
        <v>3</v>
      </c>
      <c r="D61" s="43"/>
      <c r="E61" s="43"/>
      <c r="F61" s="43"/>
      <c r="G61" s="43"/>
      <c r="H61" s="43"/>
      <c r="I61" s="43"/>
      <c r="J61" s="44"/>
      <c r="K61" s="18">
        <f>SUMIF(D62:J62,"",D61:J61)</f>
        <v>0</v>
      </c>
      <c r="L61" s="12">
        <f>SUM(D61:J61)</f>
        <v>0</v>
      </c>
      <c r="M61" s="24"/>
      <c r="N61" s="10">
        <f t="shared" ref="N61:T61" si="66">IF(D62="",D61,0)</f>
        <v>0</v>
      </c>
      <c r="O61" s="10">
        <f t="shared" si="66"/>
        <v>0</v>
      </c>
      <c r="P61" s="10">
        <f t="shared" si="66"/>
        <v>0</v>
      </c>
      <c r="Q61" s="10">
        <f t="shared" si="66"/>
        <v>0</v>
      </c>
      <c r="R61" s="10">
        <f t="shared" si="66"/>
        <v>0</v>
      </c>
      <c r="S61" s="10">
        <f t="shared" si="66"/>
        <v>0</v>
      </c>
      <c r="T61" s="10">
        <f t="shared" si="66"/>
        <v>0</v>
      </c>
      <c r="U61" s="10"/>
      <c r="V61" s="10">
        <f t="shared" ref="V61:AB61" si="67">D61</f>
        <v>0</v>
      </c>
      <c r="W61" s="10">
        <f t="shared" si="67"/>
        <v>0</v>
      </c>
      <c r="X61" s="10">
        <f t="shared" si="67"/>
        <v>0</v>
      </c>
      <c r="Y61" s="10">
        <f t="shared" si="67"/>
        <v>0</v>
      </c>
      <c r="Z61" s="10">
        <f t="shared" si="67"/>
        <v>0</v>
      </c>
      <c r="AA61" s="10">
        <f t="shared" si="67"/>
        <v>0</v>
      </c>
      <c r="AB61" s="10">
        <f t="shared" si="67"/>
        <v>0</v>
      </c>
      <c r="AD61" s="6">
        <f>IF((D58&lt;&gt;"")*(D62=""),IF((D58&lt;=$B$443)*((D59&gt;=$C$443)+(D59&lt;2/24)),1,0),0)</f>
        <v>0</v>
      </c>
      <c r="AE61" s="6">
        <f>IF((E58&lt;&gt;"")*(E62=""),IF((E58&lt;=$B$443)*((E59&gt;=$C$443)+(E59&lt;2/24)),1,0),0)</f>
        <v>0</v>
      </c>
      <c r="AF61" s="6">
        <f>IF((F58&lt;&gt;"")*(F62=""),IF((F58&lt;=$B$443)*((F59&gt;=$C$443)+(F59&lt;2/24)),1,0),0)</f>
        <v>0</v>
      </c>
      <c r="AG61" s="6">
        <f>IF((G58&lt;&gt;"")*(G62=""),IF((G58&lt;=$B$443)*((G59&gt;=$C$443)+(G59&lt;2/24)),1,0),0)</f>
        <v>0</v>
      </c>
      <c r="AH61" s="6">
        <f>IF((H58&lt;&gt;"")*(H62=""),IF((H58&lt;=$B$443)*((H59&gt;=$C$443)+(H59&lt;2/24)),1,0),0)</f>
        <v>0</v>
      </c>
      <c r="AI61" s="6">
        <f>IF((I58&lt;&gt;"")*(I62=""),IF((I58&lt;=$B$443)*((I59&gt;=$C$443)+(I59&lt;2/24)),1,0),0)</f>
        <v>0</v>
      </c>
      <c r="AJ61" s="6">
        <f>IF((J58&lt;&gt;"")*(J62=""),IF((J58&lt;=$B$443)*((J59&gt;=$C$443)+(J59&lt;2/24)),1,0),0)</f>
        <v>0</v>
      </c>
    </row>
    <row r="62" spans="1:36" ht="13.5" hidden="1" thickBot="1" x14ac:dyDescent="0.25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  <c r="N62" s="6"/>
      <c r="O62" s="6"/>
      <c r="P62" s="6"/>
      <c r="Q62" s="6"/>
      <c r="R62" s="6"/>
      <c r="S62" s="6"/>
      <c r="T62" s="6"/>
      <c r="U62" s="6"/>
      <c r="V62" s="20"/>
      <c r="W62" s="20"/>
      <c r="X62" s="20"/>
      <c r="Y62" s="20"/>
      <c r="Z62" s="20"/>
      <c r="AA62" s="20"/>
      <c r="AB62" s="20"/>
      <c r="AD62" s="6">
        <f>IF((D58&lt;&gt;"")*(D62=""),IF((D58&lt;=$B$444)*((D59&gt;=$C$444)+(D59&lt;2/24)),1,0),0)</f>
        <v>0</v>
      </c>
      <c r="AE62" s="6">
        <f>IF((E58&lt;&gt;"")*(E62=""),IF((E58&lt;=$B$444)*((E59&gt;=$C$444)+(E59&lt;2/24)),1,0),0)</f>
        <v>0</v>
      </c>
      <c r="AF62" s="6">
        <f>IF((F58&lt;&gt;"")*(F62=""),IF((F58&lt;=$B$444)*((F59&gt;=$C$444)+(F59&lt;2/24)),1,0),0)</f>
        <v>0</v>
      </c>
      <c r="AG62" s="6">
        <f>IF((G58&lt;&gt;"")*(G62=""),IF((G58&lt;=$B$444)*((G59&gt;=$C$444)+(G59&lt;2/24)),1,0),0)</f>
        <v>0</v>
      </c>
      <c r="AH62" s="6">
        <f>IF((H58&lt;&gt;"")*(H62=""),IF((H58&lt;=$B$444)*((H59&gt;=$C$444)+(H59&lt;2/24)),1,0),0)</f>
        <v>0</v>
      </c>
      <c r="AI62" s="6">
        <f>IF((I58&lt;&gt;"")*(I62=""),IF((I58&lt;=$B$444)*((I59&gt;=$C$444)+(I59&lt;2/24)),1,0),0)</f>
        <v>0</v>
      </c>
      <c r="AJ62" s="6">
        <f>IF((J58&lt;&gt;"")*(J62=""),IF((J58&lt;=$B$444)*((J59&gt;=$C$444)+(J59&lt;2/24)),1,0),0)</f>
        <v>0</v>
      </c>
    </row>
    <row r="63" spans="1:36" ht="13.5" hidden="1" thickBot="1" x14ac:dyDescent="0.25">
      <c r="A63" s="41"/>
      <c r="B63" s="42"/>
      <c r="C63" s="35" t="s">
        <v>28</v>
      </c>
      <c r="D63" s="36"/>
      <c r="E63" s="36"/>
      <c r="F63" s="36"/>
      <c r="G63" s="36"/>
      <c r="H63" s="36"/>
      <c r="I63" s="36"/>
      <c r="J63" s="36"/>
      <c r="K63" s="34"/>
      <c r="L63" s="6"/>
      <c r="M63" s="25"/>
      <c r="N63" s="6"/>
      <c r="O63" s="6"/>
      <c r="P63" s="6"/>
      <c r="Q63" s="6"/>
      <c r="R63" s="6"/>
      <c r="S63" s="6"/>
      <c r="T63" s="6"/>
      <c r="U63" s="6"/>
      <c r="V63" s="20"/>
      <c r="W63" s="20"/>
      <c r="X63" s="20"/>
      <c r="Y63" s="20"/>
      <c r="Z63" s="20"/>
      <c r="AA63" s="20"/>
      <c r="AB63" s="20"/>
      <c r="AD63" s="6"/>
      <c r="AE63" s="6"/>
      <c r="AF63" s="6"/>
      <c r="AG63" s="6"/>
      <c r="AH63" s="6"/>
      <c r="AI63" s="6"/>
      <c r="AJ63" s="6"/>
    </row>
    <row r="64" spans="1:36" ht="13.5" hidden="1" thickBot="1" x14ac:dyDescent="0.25">
      <c r="A64" s="37" t="s">
        <v>29</v>
      </c>
      <c r="B64" s="38" t="s">
        <v>30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  <c r="L64" s="6"/>
      <c r="M64" s="21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D64" s="6">
        <f>IF((D64&lt;&gt;"")*(D68=""),IF((D64&lt;=$B$440)*((D65&gt;=$C$440)+(D65&lt;2/24)),1,0),0)</f>
        <v>0</v>
      </c>
      <c r="AE64" s="6">
        <f>IF((E64&lt;&gt;"")*(E68=""),IF((E64&lt;=$B$440)*((E65&gt;=$C$440)+(E65&lt;2/24)),1,0),0)</f>
        <v>0</v>
      </c>
      <c r="AF64" s="6">
        <f>IF((F64&lt;&gt;"")*(F68=""),IF((F64&lt;=$B$440)*((F65&gt;=$C$440)+(F65&lt;2/24)),1,0),0)</f>
        <v>0</v>
      </c>
      <c r="AG64" s="6">
        <f>IF((G64&lt;&gt;"")*(G68=""),IF((G64&lt;=$B$440)*((G65&gt;=$C$440)+(G65&lt;2/24)),1,0),0)</f>
        <v>0</v>
      </c>
      <c r="AH64" s="6">
        <f>IF((H64&lt;&gt;"")*(H68=""),IF((H64&lt;=$B$440)*((H65&gt;=$C$440)+(H65&lt;2/24)),1,0),0)</f>
        <v>0</v>
      </c>
      <c r="AI64" s="6">
        <f>IF((I64&lt;&gt;"")*(I68=""),IF((I64&lt;=$B$440)*((I65&gt;=$C$440)+(I65&lt;2/24)),1,0),0)</f>
        <v>0</v>
      </c>
      <c r="AJ64" s="6">
        <f>IF((J64&lt;&gt;"")*(J68=""),IF((J64&lt;=$B$440)*((J65&gt;=$C$440)+(J65&lt;2/24)),1,0),0)</f>
        <v>0</v>
      </c>
    </row>
    <row r="65" spans="1:36" ht="13.5" hidden="1" thickBot="1" x14ac:dyDescent="0.25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1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D65" s="6">
        <f>IF((D64&lt;&gt;"")*(D68=""),IF((D64&lt;=$B$441)*((D65&gt;=$C$441)+(D65&lt;2/24)),1,0),0)</f>
        <v>0</v>
      </c>
      <c r="AE65" s="6">
        <f>IF((E64&lt;&gt;"")*(E68=""),IF((E64&lt;=$B$441)*((E65&gt;=$C$441)+(E65&lt;2/24)),1,0),0)</f>
        <v>0</v>
      </c>
      <c r="AF65" s="6">
        <f>IF((F64&lt;&gt;"")*(F68=""),IF((F64&lt;=$B$441)*((F65&gt;=$C$441)+(F65&lt;2/24)),1,0),0)</f>
        <v>0</v>
      </c>
      <c r="AG65" s="6">
        <f>IF((G64&lt;&gt;"")*(G68=""),IF((G64&lt;=$B$441)*((G65&gt;=$C$441)+(G65&lt;2/24)),1,0),0)</f>
        <v>0</v>
      </c>
      <c r="AH65" s="6">
        <f>IF((H64&lt;&gt;"")*(H68=""),IF((H64&lt;=$B$441)*((H65&gt;=$C$441)+(H65&lt;2/24)),1,0),0)</f>
        <v>0</v>
      </c>
      <c r="AI65" s="6">
        <f>IF((I64&lt;&gt;"")*(I68=""),IF((I64&lt;=$B$441)*((I65&gt;=$C$441)+(I65&lt;2/24)),1,0),0)</f>
        <v>0</v>
      </c>
      <c r="AJ65" s="6">
        <f>IF((J64&lt;&gt;"")*(J68=""),IF((J64&lt;=$B$441)*((J65&gt;=$C$441)+(J65&lt;2/24)),1,0),0)</f>
        <v>0</v>
      </c>
    </row>
    <row r="66" spans="1:36" ht="13.5" hidden="1" thickBot="1" x14ac:dyDescent="0.25">
      <c r="A66" s="39"/>
      <c r="B66" s="40"/>
      <c r="C66" s="15" t="s">
        <v>2</v>
      </c>
      <c r="D66" s="4"/>
      <c r="E66" s="4"/>
      <c r="F66" s="4"/>
      <c r="G66" s="4"/>
      <c r="H66" s="4"/>
      <c r="I66" s="4"/>
      <c r="J66" s="4"/>
      <c r="K66" s="17"/>
      <c r="L66" s="6"/>
      <c r="M66" s="21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D66" s="6">
        <f>IF((D64&lt;&gt;"")*(D68=""),IF((D64&lt;=$B$442)*((D65&gt;=$C$442)+(D65&lt;2/24)),1,0),0)</f>
        <v>0</v>
      </c>
      <c r="AE66" s="6">
        <f>IF((E64&lt;&gt;"")*(E68=""),IF((E64&lt;=$B$442)*((E65&gt;=$C$442)+(E65&lt;2/24)),1,0),0)</f>
        <v>0</v>
      </c>
      <c r="AF66" s="6">
        <f>IF((F64&lt;&gt;"")*(F68=""),IF((F64&lt;=$B$442)*((F65&gt;=$C$442)+(F65&lt;2/24)),1,0),0)</f>
        <v>0</v>
      </c>
      <c r="AG66" s="6">
        <f>IF((G64&lt;&gt;"")*(G68=""),IF((G64&lt;=$B$442)*((G65&gt;=$C$442)+(G65&lt;2/24)),1,0),0)</f>
        <v>0</v>
      </c>
      <c r="AH66" s="6">
        <f>IF((H64&lt;&gt;"")*(H68=""),IF((H64&lt;=$B$442)*((H65&gt;=$C$442)+(H65&lt;2/24)),1,0),0)</f>
        <v>0</v>
      </c>
      <c r="AI66" s="6">
        <f>IF((I64&lt;&gt;"")*(I68=""),IF((I64&lt;=$B$442)*((I65&gt;=$C$442)+(I65&lt;2/24)),1,0),0)</f>
        <v>0</v>
      </c>
      <c r="AJ66" s="6">
        <f>IF((J64&lt;&gt;"")*(J68=""),IF((J64&lt;=$B$442)*((J65&gt;=$C$442)+(J65&lt;2/24)),1,0),0)</f>
        <v>0</v>
      </c>
    </row>
    <row r="67" spans="1:36" ht="13.5" hidden="1" thickBot="1" x14ac:dyDescent="0.25">
      <c r="A67" s="39"/>
      <c r="B67" s="40"/>
      <c r="C67" s="15" t="s">
        <v>3</v>
      </c>
      <c r="D67" s="43"/>
      <c r="E67" s="43"/>
      <c r="F67" s="43"/>
      <c r="G67" s="43"/>
      <c r="H67" s="43"/>
      <c r="I67" s="43"/>
      <c r="J67" s="44"/>
      <c r="K67" s="18">
        <f>SUMIF(D68:J68,"",D67:J67)</f>
        <v>0</v>
      </c>
      <c r="L67" s="12">
        <f>SUM(D67:J67)</f>
        <v>0</v>
      </c>
      <c r="M67" s="24"/>
      <c r="N67" s="10">
        <f t="shared" ref="N67:T67" si="68">IF(D68="",D67,0)</f>
        <v>0</v>
      </c>
      <c r="O67" s="10">
        <f t="shared" si="68"/>
        <v>0</v>
      </c>
      <c r="P67" s="10">
        <f t="shared" si="68"/>
        <v>0</v>
      </c>
      <c r="Q67" s="10">
        <f t="shared" si="68"/>
        <v>0</v>
      </c>
      <c r="R67" s="10">
        <f t="shared" si="68"/>
        <v>0</v>
      </c>
      <c r="S67" s="10">
        <f t="shared" si="68"/>
        <v>0</v>
      </c>
      <c r="T67" s="10">
        <f t="shared" si="68"/>
        <v>0</v>
      </c>
      <c r="U67" s="10"/>
      <c r="V67" s="10">
        <f t="shared" ref="V67:AB67" si="69">D67</f>
        <v>0</v>
      </c>
      <c r="W67" s="10">
        <f t="shared" si="69"/>
        <v>0</v>
      </c>
      <c r="X67" s="10">
        <f t="shared" si="69"/>
        <v>0</v>
      </c>
      <c r="Y67" s="10">
        <f t="shared" si="69"/>
        <v>0</v>
      </c>
      <c r="Z67" s="10">
        <f t="shared" si="69"/>
        <v>0</v>
      </c>
      <c r="AA67" s="10">
        <f t="shared" si="69"/>
        <v>0</v>
      </c>
      <c r="AB67" s="10">
        <f t="shared" si="69"/>
        <v>0</v>
      </c>
      <c r="AD67" s="6">
        <f>IF((D64&lt;&gt;"")*(D68=""),IF((D64&lt;=$B$443)*((D65&gt;=$C$443)+(D65&lt;2/24)),1,0),0)</f>
        <v>0</v>
      </c>
      <c r="AE67" s="6">
        <f>IF((E64&lt;&gt;"")*(E68=""),IF((E64&lt;=$B$443)*((E65&gt;=$C$443)+(E65&lt;2/24)),1,0),0)</f>
        <v>0</v>
      </c>
      <c r="AF67" s="6">
        <f>IF((F64&lt;&gt;"")*(F68=""),IF((F64&lt;=$B$443)*((F65&gt;=$C$443)+(F65&lt;2/24)),1,0),0)</f>
        <v>0</v>
      </c>
      <c r="AG67" s="6">
        <f>IF((G64&lt;&gt;"")*(G68=""),IF((G64&lt;=$B$443)*((G65&gt;=$C$443)+(G65&lt;2/24)),1,0),0)</f>
        <v>0</v>
      </c>
      <c r="AH67" s="6">
        <f>IF((H64&lt;&gt;"")*(H68=""),IF((H64&lt;=$B$443)*((H65&gt;=$C$443)+(H65&lt;2/24)),1,0),0)</f>
        <v>0</v>
      </c>
      <c r="AI67" s="6">
        <f>IF((I64&lt;&gt;"")*(I68=""),IF((I64&lt;=$B$443)*((I65&gt;=$C$443)+(I65&lt;2/24)),1,0),0)</f>
        <v>0</v>
      </c>
      <c r="AJ67" s="6">
        <f>IF((J64&lt;&gt;"")*(J68=""),IF((J64&lt;=$B$443)*((J65&gt;=$C$443)+(J65&lt;2/24)),1,0),0)</f>
        <v>0</v>
      </c>
    </row>
    <row r="68" spans="1:36" ht="13.5" hidden="1" thickBot="1" x14ac:dyDescent="0.25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  <c r="N68" s="6"/>
      <c r="O68" s="6"/>
      <c r="P68" s="6"/>
      <c r="Q68" s="6"/>
      <c r="R68" s="6"/>
      <c r="S68" s="6"/>
      <c r="T68" s="6"/>
      <c r="U68" s="6"/>
      <c r="V68" s="20"/>
      <c r="W68" s="20"/>
      <c r="X68" s="20"/>
      <c r="Y68" s="20"/>
      <c r="Z68" s="20"/>
      <c r="AA68" s="20"/>
      <c r="AB68" s="20"/>
      <c r="AD68" s="6">
        <f>IF((D64&lt;&gt;"")*(D68=""),IF((D64&lt;=$B$444)*((D65&gt;=$C$444)+(D65&lt;2/24)),1,0),0)</f>
        <v>0</v>
      </c>
      <c r="AE68" s="6">
        <f>IF((E64&lt;&gt;"")*(E68=""),IF((E64&lt;=$B$444)*((E65&gt;=$C$444)+(E65&lt;2/24)),1,0),0)</f>
        <v>0</v>
      </c>
      <c r="AF68" s="6">
        <f>IF((F64&lt;&gt;"")*(F68=""),IF((F64&lt;=$B$444)*((F65&gt;=$C$444)+(F65&lt;2/24)),1,0),0)</f>
        <v>0</v>
      </c>
      <c r="AG68" s="6">
        <f>IF((G64&lt;&gt;"")*(G68=""),IF((G64&lt;=$B$444)*((G65&gt;=$C$444)+(G65&lt;2/24)),1,0),0)</f>
        <v>0</v>
      </c>
      <c r="AH68" s="6">
        <f>IF((H64&lt;&gt;"")*(H68=""),IF((H64&lt;=$B$444)*((H65&gt;=$C$444)+(H65&lt;2/24)),1,0),0)</f>
        <v>0</v>
      </c>
      <c r="AI68" s="6">
        <f>IF((I64&lt;&gt;"")*(I68=""),IF((I64&lt;=$B$444)*((I65&gt;=$C$444)+(I65&lt;2/24)),1,0),0)</f>
        <v>0</v>
      </c>
      <c r="AJ68" s="6">
        <f>IF((J64&lt;&gt;"")*(J68=""),IF((J64&lt;=$B$444)*((J65&gt;=$C$444)+(J65&lt;2/24)),1,0),0)</f>
        <v>0</v>
      </c>
    </row>
    <row r="69" spans="1:36" ht="13.5" hidden="1" thickBot="1" x14ac:dyDescent="0.25">
      <c r="A69" s="41"/>
      <c r="B69" s="42"/>
      <c r="C69" s="35" t="s">
        <v>28</v>
      </c>
      <c r="D69" s="36"/>
      <c r="E69" s="36"/>
      <c r="F69" s="36"/>
      <c r="G69" s="36"/>
      <c r="H69" s="36"/>
      <c r="I69" s="36"/>
      <c r="J69" s="36"/>
      <c r="K69" s="34"/>
      <c r="L69" s="6"/>
      <c r="M69" s="25"/>
      <c r="N69" s="6"/>
      <c r="O69" s="6"/>
      <c r="P69" s="6"/>
      <c r="Q69" s="6"/>
      <c r="R69" s="6"/>
      <c r="S69" s="6"/>
      <c r="T69" s="6"/>
      <c r="U69" s="6"/>
      <c r="V69" s="20"/>
      <c r="W69" s="20"/>
      <c r="X69" s="20"/>
      <c r="Y69" s="20"/>
      <c r="Z69" s="20"/>
      <c r="AA69" s="20"/>
      <c r="AB69" s="20"/>
      <c r="AD69" s="6"/>
      <c r="AE69" s="6"/>
      <c r="AF69" s="6"/>
      <c r="AG69" s="6"/>
      <c r="AH69" s="6"/>
      <c r="AI69" s="6"/>
      <c r="AJ69" s="6"/>
    </row>
    <row r="70" spans="1:36" ht="13.5" hidden="1" thickBot="1" x14ac:dyDescent="0.25">
      <c r="A70" s="37" t="s">
        <v>29</v>
      </c>
      <c r="B70" s="38" t="s">
        <v>30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  <c r="L70" s="6"/>
      <c r="M70" s="21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D70" s="6">
        <f>IF((D70&lt;&gt;"")*(D74=""),IF((D70&lt;=$B$440)*((D71&gt;=$C$440)+(D71&lt;2/24)),1,0),0)</f>
        <v>0</v>
      </c>
      <c r="AE70" s="6">
        <f>IF((E70&lt;&gt;"")*(E74=""),IF((E70&lt;=$B$440)*((E71&gt;=$C$440)+(E71&lt;2/24)),1,0),0)</f>
        <v>0</v>
      </c>
      <c r="AF70" s="6">
        <f>IF((F70&lt;&gt;"")*(F74=""),IF((F70&lt;=$B$440)*((F71&gt;=$C$440)+(F71&lt;2/24)),1,0),0)</f>
        <v>0</v>
      </c>
      <c r="AG70" s="6">
        <f>IF((G70&lt;&gt;"")*(G74=""),IF((G70&lt;=$B$440)*((G71&gt;=$C$440)+(G71&lt;2/24)),1,0),0)</f>
        <v>0</v>
      </c>
      <c r="AH70" s="6">
        <f>IF((H70&lt;&gt;"")*(H74=""),IF((H70&lt;=$B$440)*((H71&gt;=$C$440)+(H71&lt;2/24)),1,0),0)</f>
        <v>0</v>
      </c>
      <c r="AI70" s="6">
        <f>IF((I70&lt;&gt;"")*(I74=""),IF((I70&lt;=$B$440)*((I71&gt;=$C$440)+(I71&lt;2/24)),1,0),0)</f>
        <v>0</v>
      </c>
      <c r="AJ70" s="6">
        <f>IF((J70&lt;&gt;"")*(J74=""),IF((J70&lt;=$B$440)*((J71&gt;=$C$440)+(J71&lt;2/24)),1,0),0)</f>
        <v>0</v>
      </c>
    </row>
    <row r="71" spans="1:36" ht="13.5" hidden="1" thickBot="1" x14ac:dyDescent="0.25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  <c r="L71" s="6"/>
      <c r="M71" s="21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D71" s="6">
        <f>IF((D70&lt;&gt;"")*(D74=""),IF((D70&lt;=$B$441)*((D71&gt;=$C$441)+(D71&lt;2/24)),1,0),0)</f>
        <v>0</v>
      </c>
      <c r="AE71" s="6">
        <f>IF((E70&lt;&gt;"")*(E74=""),IF((E70&lt;=$B$441)*((E71&gt;=$C$441)+(E71&lt;2/24)),1,0),0)</f>
        <v>0</v>
      </c>
      <c r="AF71" s="6">
        <f>IF((F70&lt;&gt;"")*(F74=""),IF((F70&lt;=$B$441)*((F71&gt;=$C$441)+(F71&lt;2/24)),1,0),0)</f>
        <v>0</v>
      </c>
      <c r="AG71" s="6">
        <f>IF((G70&lt;&gt;"")*(G74=""),IF((G70&lt;=$B$441)*((G71&gt;=$C$441)+(G71&lt;2/24)),1,0),0)</f>
        <v>0</v>
      </c>
      <c r="AH71" s="6">
        <f>IF((H70&lt;&gt;"")*(H74=""),IF((H70&lt;=$B$441)*((H71&gt;=$C$441)+(H71&lt;2/24)),1,0),0)</f>
        <v>0</v>
      </c>
      <c r="AI71" s="6">
        <f>IF((I70&lt;&gt;"")*(I74=""),IF((I70&lt;=$B$441)*((I71&gt;=$C$441)+(I71&lt;2/24)),1,0),0)</f>
        <v>0</v>
      </c>
      <c r="AJ71" s="6">
        <f>IF((J70&lt;&gt;"")*(J74=""),IF((J70&lt;=$B$441)*((J71&gt;=$C$441)+(J71&lt;2/24)),1,0),0)</f>
        <v>0</v>
      </c>
    </row>
    <row r="72" spans="1:36" ht="13.5" hidden="1" thickBot="1" x14ac:dyDescent="0.25">
      <c r="A72" s="39"/>
      <c r="B72" s="40"/>
      <c r="C72" s="15" t="s">
        <v>2</v>
      </c>
      <c r="D72" s="4"/>
      <c r="E72" s="4"/>
      <c r="F72" s="4"/>
      <c r="G72" s="4"/>
      <c r="H72" s="4"/>
      <c r="I72" s="4"/>
      <c r="J72" s="4"/>
      <c r="K72" s="17"/>
      <c r="L72" s="6"/>
      <c r="M72" s="21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D72" s="6">
        <f>IF((D70&lt;&gt;"")*(D74=""),IF((D70&lt;=$B$442)*((D71&gt;=$C$442)+(D71&lt;2/24)),1,0),0)</f>
        <v>0</v>
      </c>
      <c r="AE72" s="6">
        <f>IF((E70&lt;&gt;"")*(E74=""),IF((E70&lt;=$B$442)*((E71&gt;=$C$442)+(E71&lt;2/24)),1,0),0)</f>
        <v>0</v>
      </c>
      <c r="AF72" s="6">
        <f>IF((F70&lt;&gt;"")*(F74=""),IF((F70&lt;=$B$442)*((F71&gt;=$C$442)+(F71&lt;2/24)),1,0),0)</f>
        <v>0</v>
      </c>
      <c r="AG72" s="6">
        <f>IF((G70&lt;&gt;"")*(G74=""),IF((G70&lt;=$B$442)*((G71&gt;=$C$442)+(G71&lt;2/24)),1,0),0)</f>
        <v>0</v>
      </c>
      <c r="AH72" s="6">
        <f>IF((H70&lt;&gt;"")*(H74=""),IF((H70&lt;=$B$442)*((H71&gt;=$C$442)+(H71&lt;2/24)),1,0),0)</f>
        <v>0</v>
      </c>
      <c r="AI72" s="6">
        <f>IF((I70&lt;&gt;"")*(I74=""),IF((I70&lt;=$B$442)*((I71&gt;=$C$442)+(I71&lt;2/24)),1,0),0)</f>
        <v>0</v>
      </c>
      <c r="AJ72" s="6">
        <f>IF((J70&lt;&gt;"")*(J74=""),IF((J70&lt;=$B$442)*((J71&gt;=$C$442)+(J71&lt;2/24)),1,0),0)</f>
        <v>0</v>
      </c>
    </row>
    <row r="73" spans="1:36" ht="13.5" hidden="1" thickBot="1" x14ac:dyDescent="0.25">
      <c r="A73" s="39"/>
      <c r="B73" s="40"/>
      <c r="C73" s="15" t="s">
        <v>3</v>
      </c>
      <c r="D73" s="43"/>
      <c r="E73" s="43"/>
      <c r="F73" s="43"/>
      <c r="G73" s="43"/>
      <c r="H73" s="43"/>
      <c r="I73" s="43"/>
      <c r="J73" s="44"/>
      <c r="K73" s="18">
        <f>SUMIF(D74:J74,"",D73:J73)</f>
        <v>0</v>
      </c>
      <c r="L73" s="12">
        <f>SUM(D73:J73)</f>
        <v>0</v>
      </c>
      <c r="M73" s="24"/>
      <c r="N73" s="10">
        <f t="shared" ref="N73:T73" si="70">IF(D74="",D73,0)</f>
        <v>0</v>
      </c>
      <c r="O73" s="10">
        <f t="shared" si="70"/>
        <v>0</v>
      </c>
      <c r="P73" s="10">
        <f t="shared" si="70"/>
        <v>0</v>
      </c>
      <c r="Q73" s="10">
        <f t="shared" si="70"/>
        <v>0</v>
      </c>
      <c r="R73" s="10">
        <f t="shared" si="70"/>
        <v>0</v>
      </c>
      <c r="S73" s="10">
        <f t="shared" si="70"/>
        <v>0</v>
      </c>
      <c r="T73" s="10">
        <f t="shared" si="70"/>
        <v>0</v>
      </c>
      <c r="U73" s="10"/>
      <c r="V73" s="10">
        <f t="shared" ref="V73:AB73" si="71">D73</f>
        <v>0</v>
      </c>
      <c r="W73" s="10">
        <f t="shared" si="71"/>
        <v>0</v>
      </c>
      <c r="X73" s="10">
        <f t="shared" si="71"/>
        <v>0</v>
      </c>
      <c r="Y73" s="10">
        <f t="shared" si="71"/>
        <v>0</v>
      </c>
      <c r="Z73" s="10">
        <f t="shared" si="71"/>
        <v>0</v>
      </c>
      <c r="AA73" s="10">
        <f t="shared" si="71"/>
        <v>0</v>
      </c>
      <c r="AB73" s="10">
        <f t="shared" si="71"/>
        <v>0</v>
      </c>
      <c r="AD73" s="6">
        <f>IF((D70&lt;&gt;"")*(D74=""),IF((D70&lt;=$B$443)*((D71&gt;=$C$443)+(D71&lt;2/24)),1,0),0)</f>
        <v>0</v>
      </c>
      <c r="AE73" s="6">
        <f>IF((E70&lt;&gt;"")*(E74=""),IF((E70&lt;=$B$443)*((E71&gt;=$C$443)+(E71&lt;2/24)),1,0),0)</f>
        <v>0</v>
      </c>
      <c r="AF73" s="6">
        <f>IF((F70&lt;&gt;"")*(F74=""),IF((F70&lt;=$B$443)*((F71&gt;=$C$443)+(F71&lt;2/24)),1,0),0)</f>
        <v>0</v>
      </c>
      <c r="AG73" s="6">
        <f>IF((G70&lt;&gt;"")*(G74=""),IF((G70&lt;=$B$443)*((G71&gt;=$C$443)+(G71&lt;2/24)),1,0),0)</f>
        <v>0</v>
      </c>
      <c r="AH73" s="6">
        <f>IF((H70&lt;&gt;"")*(H74=""),IF((H70&lt;=$B$443)*((H71&gt;=$C$443)+(H71&lt;2/24)),1,0),0)</f>
        <v>0</v>
      </c>
      <c r="AI73" s="6">
        <f>IF((I70&lt;&gt;"")*(I74=""),IF((I70&lt;=$B$443)*((I71&gt;=$C$443)+(I71&lt;2/24)),1,0),0)</f>
        <v>0</v>
      </c>
      <c r="AJ73" s="6">
        <f>IF((J70&lt;&gt;"")*(J74=""),IF((J70&lt;=$B$443)*((J71&gt;=$C$443)+(J71&lt;2/24)),1,0),0)</f>
        <v>0</v>
      </c>
    </row>
    <row r="74" spans="1:36" ht="13.5" hidden="1" thickBot="1" x14ac:dyDescent="0.25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  <c r="N74" s="6"/>
      <c r="O74" s="6"/>
      <c r="P74" s="6"/>
      <c r="Q74" s="6"/>
      <c r="R74" s="6"/>
      <c r="S74" s="6"/>
      <c r="T74" s="6"/>
      <c r="U74" s="6"/>
      <c r="V74" s="20"/>
      <c r="W74" s="20"/>
      <c r="X74" s="20"/>
      <c r="Y74" s="20"/>
      <c r="Z74" s="20"/>
      <c r="AA74" s="20"/>
      <c r="AB74" s="20"/>
      <c r="AD74" s="6">
        <f>IF((D70&lt;&gt;"")*(D74=""),IF((D70&lt;=$B$444)*((D71&gt;=$C$444)+(D71&lt;2/24)),1,0),0)</f>
        <v>0</v>
      </c>
      <c r="AE74" s="6">
        <f>IF((E70&lt;&gt;"")*(E74=""),IF((E70&lt;=$B$444)*((E71&gt;=$C$444)+(E71&lt;2/24)),1,0),0)</f>
        <v>0</v>
      </c>
      <c r="AF74" s="6">
        <f>IF((F70&lt;&gt;"")*(F74=""),IF((F70&lt;=$B$444)*((F71&gt;=$C$444)+(F71&lt;2/24)),1,0),0)</f>
        <v>0</v>
      </c>
      <c r="AG74" s="6">
        <f>IF((G70&lt;&gt;"")*(G74=""),IF((G70&lt;=$B$444)*((G71&gt;=$C$444)+(G71&lt;2/24)),1,0),0)</f>
        <v>0</v>
      </c>
      <c r="AH74" s="6">
        <f>IF((H70&lt;&gt;"")*(H74=""),IF((H70&lt;=$B$444)*((H71&gt;=$C$444)+(H71&lt;2/24)),1,0),0)</f>
        <v>0</v>
      </c>
      <c r="AI74" s="6">
        <f>IF((I70&lt;&gt;"")*(I74=""),IF((I70&lt;=$B$444)*((I71&gt;=$C$444)+(I71&lt;2/24)),1,0),0)</f>
        <v>0</v>
      </c>
      <c r="AJ74" s="6">
        <f>IF((J70&lt;&gt;"")*(J74=""),IF((J70&lt;=$B$444)*((J71&gt;=$C$444)+(J71&lt;2/24)),1,0),0)</f>
        <v>0</v>
      </c>
    </row>
    <row r="75" spans="1:36" ht="13.5" hidden="1" thickBot="1" x14ac:dyDescent="0.25">
      <c r="A75" s="41"/>
      <c r="B75" s="42"/>
      <c r="C75" s="35" t="s">
        <v>28</v>
      </c>
      <c r="D75" s="36"/>
      <c r="E75" s="36"/>
      <c r="F75" s="36"/>
      <c r="G75" s="36"/>
      <c r="H75" s="36"/>
      <c r="I75" s="36"/>
      <c r="J75" s="36"/>
      <c r="K75" s="34"/>
      <c r="L75" s="6"/>
      <c r="M75" s="25"/>
      <c r="N75" s="6"/>
      <c r="O75" s="6"/>
      <c r="P75" s="6"/>
      <c r="Q75" s="6"/>
      <c r="R75" s="6"/>
      <c r="S75" s="6"/>
      <c r="T75" s="6"/>
      <c r="U75" s="6"/>
      <c r="V75" s="20"/>
      <c r="W75" s="20"/>
      <c r="X75" s="20"/>
      <c r="Y75" s="20"/>
      <c r="Z75" s="20"/>
      <c r="AA75" s="20"/>
      <c r="AB75" s="20"/>
      <c r="AD75" s="6"/>
      <c r="AE75" s="6"/>
      <c r="AF75" s="6"/>
      <c r="AG75" s="6"/>
      <c r="AH75" s="6"/>
      <c r="AI75" s="6"/>
      <c r="AJ75" s="6"/>
    </row>
    <row r="76" spans="1:36" ht="13.5" hidden="1" thickBot="1" x14ac:dyDescent="0.25">
      <c r="A76" s="37" t="s">
        <v>29</v>
      </c>
      <c r="B76" s="38" t="s">
        <v>30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  <c r="L76" s="6"/>
      <c r="M76" s="21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D76" s="6">
        <f>IF((D76&lt;&gt;"")*(D80=""),IF((D76&lt;=$B$440)*((D77&gt;=$C$440)+(D77&lt;2/24)),1,0),0)</f>
        <v>0</v>
      </c>
      <c r="AE76" s="6">
        <f>IF((E76&lt;&gt;"")*(E80=""),IF((E76&lt;=$B$440)*((E77&gt;=$C$440)+(E77&lt;2/24)),1,0),0)</f>
        <v>0</v>
      </c>
      <c r="AF76" s="6">
        <f>IF((F76&lt;&gt;"")*(F80=""),IF((F76&lt;=$B$440)*((F77&gt;=$C$440)+(F77&lt;2/24)),1,0),0)</f>
        <v>0</v>
      </c>
      <c r="AG76" s="6">
        <f>IF((G76&lt;&gt;"")*(G80=""),IF((G76&lt;=$B$440)*((G77&gt;=$C$440)+(G77&lt;2/24)),1,0),0)</f>
        <v>0</v>
      </c>
      <c r="AH76" s="6">
        <f>IF((H76&lt;&gt;"")*(H80=""),IF((H76&lt;=$B$440)*((H77&gt;=$C$440)+(H77&lt;2/24)),1,0),0)</f>
        <v>0</v>
      </c>
      <c r="AI76" s="6">
        <f>IF((I76&lt;&gt;"")*(I80=""),IF((I76&lt;=$B$440)*((I77&gt;=$C$440)+(I77&lt;2/24)),1,0),0)</f>
        <v>0</v>
      </c>
      <c r="AJ76" s="6">
        <f>IF((J76&lt;&gt;"")*(J80=""),IF((J76&lt;=$B$440)*((J77&gt;=$C$440)+(J77&lt;2/24)),1,0),0)</f>
        <v>0</v>
      </c>
    </row>
    <row r="77" spans="1:36" ht="13.5" hidden="1" thickBot="1" x14ac:dyDescent="0.25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  <c r="L77" s="6"/>
      <c r="M77" s="21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D77" s="6">
        <f>IF((D76&lt;&gt;"")*(D80=""),IF((D76&lt;=$B$441)*((D77&gt;=$C$441)+(D77&lt;2/24)),1,0),0)</f>
        <v>0</v>
      </c>
      <c r="AE77" s="6">
        <f>IF((E76&lt;&gt;"")*(E80=""),IF((E76&lt;=$B$441)*((E77&gt;=$C$441)+(E77&lt;2/24)),1,0),0)</f>
        <v>0</v>
      </c>
      <c r="AF77" s="6">
        <f>IF((F76&lt;&gt;"")*(F80=""),IF((F76&lt;=$B$441)*((F77&gt;=$C$441)+(F77&lt;2/24)),1,0),0)</f>
        <v>0</v>
      </c>
      <c r="AG77" s="6">
        <f>IF((G76&lt;&gt;"")*(G80=""),IF((G76&lt;=$B$441)*((G77&gt;=$C$441)+(G77&lt;2/24)),1,0),0)</f>
        <v>0</v>
      </c>
      <c r="AH77" s="6">
        <f>IF((H76&lt;&gt;"")*(H80=""),IF((H76&lt;=$B$441)*((H77&gt;=$C$441)+(H77&lt;2/24)),1,0),0)</f>
        <v>0</v>
      </c>
      <c r="AI77" s="6">
        <f>IF((I76&lt;&gt;"")*(I80=""),IF((I76&lt;=$B$441)*((I77&gt;=$C$441)+(I77&lt;2/24)),1,0),0)</f>
        <v>0</v>
      </c>
      <c r="AJ77" s="6">
        <f>IF((J76&lt;&gt;"")*(J80=""),IF((J76&lt;=$B$441)*((J77&gt;=$C$441)+(J77&lt;2/24)),1,0),0)</f>
        <v>0</v>
      </c>
    </row>
    <row r="78" spans="1:36" ht="13.5" hidden="1" thickBot="1" x14ac:dyDescent="0.25">
      <c r="A78" s="39"/>
      <c r="B78" s="40"/>
      <c r="C78" s="15" t="s">
        <v>2</v>
      </c>
      <c r="D78" s="4"/>
      <c r="E78" s="4"/>
      <c r="F78" s="4"/>
      <c r="G78" s="4"/>
      <c r="H78" s="4"/>
      <c r="I78" s="4"/>
      <c r="J78" s="4"/>
      <c r="K78" s="17"/>
      <c r="L78" s="6"/>
      <c r="M78" s="21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D78" s="6">
        <f>IF((D76&lt;&gt;"")*(D80=""),IF((D76&lt;=$B$442)*((D77&gt;=$C$442)+(D77&lt;2/24)),1,0),0)</f>
        <v>0</v>
      </c>
      <c r="AE78" s="6">
        <f>IF((E76&lt;&gt;"")*(E80=""),IF((E76&lt;=$B$442)*((E77&gt;=$C$442)+(E77&lt;2/24)),1,0),0)</f>
        <v>0</v>
      </c>
      <c r="AF78" s="6">
        <f>IF((F76&lt;&gt;"")*(F80=""),IF((F76&lt;=$B$442)*((F77&gt;=$C$442)+(F77&lt;2/24)),1,0),0)</f>
        <v>0</v>
      </c>
      <c r="AG78" s="6">
        <f>IF((G76&lt;&gt;"")*(G80=""),IF((G76&lt;=$B$442)*((G77&gt;=$C$442)+(G77&lt;2/24)),1,0),0)</f>
        <v>0</v>
      </c>
      <c r="AH78" s="6">
        <f>IF((H76&lt;&gt;"")*(H80=""),IF((H76&lt;=$B$442)*((H77&gt;=$C$442)+(H77&lt;2/24)),1,0),0)</f>
        <v>0</v>
      </c>
      <c r="AI78" s="6">
        <f>IF((I76&lt;&gt;"")*(I80=""),IF((I76&lt;=$B$442)*((I77&gt;=$C$442)+(I77&lt;2/24)),1,0),0)</f>
        <v>0</v>
      </c>
      <c r="AJ78" s="6">
        <f>IF((J76&lt;&gt;"")*(J80=""),IF((J76&lt;=$B$442)*((J77&gt;=$C$442)+(J77&lt;2/24)),1,0),0)</f>
        <v>0</v>
      </c>
    </row>
    <row r="79" spans="1:36" ht="13.5" hidden="1" thickBot="1" x14ac:dyDescent="0.25">
      <c r="A79" s="39"/>
      <c r="B79" s="40"/>
      <c r="C79" s="15" t="s">
        <v>3</v>
      </c>
      <c r="D79" s="43"/>
      <c r="E79" s="43"/>
      <c r="F79" s="43"/>
      <c r="G79" s="43"/>
      <c r="H79" s="43"/>
      <c r="I79" s="43"/>
      <c r="J79" s="44"/>
      <c r="K79" s="18">
        <f>SUMIF(D80:J80,"",D79:J79)</f>
        <v>0</v>
      </c>
      <c r="L79" s="12">
        <f>SUM(D79:J79)</f>
        <v>0</v>
      </c>
      <c r="M79" s="24"/>
      <c r="N79" s="10">
        <f t="shared" ref="N79:T79" si="72">IF(D80="",D79,0)</f>
        <v>0</v>
      </c>
      <c r="O79" s="10">
        <f t="shared" si="72"/>
        <v>0</v>
      </c>
      <c r="P79" s="10">
        <f t="shared" si="72"/>
        <v>0</v>
      </c>
      <c r="Q79" s="10">
        <f t="shared" si="72"/>
        <v>0</v>
      </c>
      <c r="R79" s="10">
        <f t="shared" si="72"/>
        <v>0</v>
      </c>
      <c r="S79" s="10">
        <f t="shared" si="72"/>
        <v>0</v>
      </c>
      <c r="T79" s="10">
        <f t="shared" si="72"/>
        <v>0</v>
      </c>
      <c r="U79" s="10"/>
      <c r="V79" s="10">
        <f t="shared" ref="V79:AB79" si="73">D79</f>
        <v>0</v>
      </c>
      <c r="W79" s="10">
        <f t="shared" si="73"/>
        <v>0</v>
      </c>
      <c r="X79" s="10">
        <f t="shared" si="73"/>
        <v>0</v>
      </c>
      <c r="Y79" s="10">
        <f t="shared" si="73"/>
        <v>0</v>
      </c>
      <c r="Z79" s="10">
        <f t="shared" si="73"/>
        <v>0</v>
      </c>
      <c r="AA79" s="10">
        <f t="shared" si="73"/>
        <v>0</v>
      </c>
      <c r="AB79" s="10">
        <f t="shared" si="73"/>
        <v>0</v>
      </c>
      <c r="AD79" s="6">
        <f>IF((D76&lt;&gt;"")*(D80=""),IF((D76&lt;=$B$443)*((D77&gt;=$C$443)+(D77&lt;2/24)),1,0),0)</f>
        <v>0</v>
      </c>
      <c r="AE79" s="6">
        <f>IF((E76&lt;&gt;"")*(E80=""),IF((E76&lt;=$B$443)*((E77&gt;=$C$443)+(E77&lt;2/24)),1,0),0)</f>
        <v>0</v>
      </c>
      <c r="AF79" s="6">
        <f>IF((F76&lt;&gt;"")*(F80=""),IF((F76&lt;=$B$443)*((F77&gt;=$C$443)+(F77&lt;2/24)),1,0),0)</f>
        <v>0</v>
      </c>
      <c r="AG79" s="6">
        <f>IF((G76&lt;&gt;"")*(G80=""),IF((G76&lt;=$B$443)*((G77&gt;=$C$443)+(G77&lt;2/24)),1,0),0)</f>
        <v>0</v>
      </c>
      <c r="AH79" s="6">
        <f>IF((H76&lt;&gt;"")*(H80=""),IF((H76&lt;=$B$443)*((H77&gt;=$C$443)+(H77&lt;2/24)),1,0),0)</f>
        <v>0</v>
      </c>
      <c r="AI79" s="6">
        <f>IF((I76&lt;&gt;"")*(I80=""),IF((I76&lt;=$B$443)*((I77&gt;=$C$443)+(I77&lt;2/24)),1,0),0)</f>
        <v>0</v>
      </c>
      <c r="AJ79" s="6">
        <f>IF((J76&lt;&gt;"")*(J80=""),IF((J76&lt;=$B$443)*((J77&gt;=$C$443)+(J77&lt;2/24)),1,0),0)</f>
        <v>0</v>
      </c>
    </row>
    <row r="80" spans="1:36" ht="13.5" hidden="1" thickBot="1" x14ac:dyDescent="0.25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  <c r="N80" s="6"/>
      <c r="O80" s="6"/>
      <c r="P80" s="6"/>
      <c r="Q80" s="6"/>
      <c r="R80" s="6"/>
      <c r="S80" s="6"/>
      <c r="T80" s="6"/>
      <c r="U80" s="6"/>
      <c r="V80" s="20"/>
      <c r="W80" s="20"/>
      <c r="X80" s="20"/>
      <c r="Y80" s="20"/>
      <c r="Z80" s="20"/>
      <c r="AA80" s="20"/>
      <c r="AB80" s="20"/>
      <c r="AD80" s="6">
        <f>IF((D76&lt;&gt;"")*(D80=""),IF((D76&lt;=$B$444)*((D77&gt;=$C$444)+(D77&lt;2/24)),1,0),0)</f>
        <v>0</v>
      </c>
      <c r="AE80" s="6">
        <f>IF((E76&lt;&gt;"")*(E80=""),IF((E76&lt;=$B$444)*((E77&gt;=$C$444)+(E77&lt;2/24)),1,0),0)</f>
        <v>0</v>
      </c>
      <c r="AF80" s="6">
        <f>IF((F76&lt;&gt;"")*(F80=""),IF((F76&lt;=$B$444)*((F77&gt;=$C$444)+(F77&lt;2/24)),1,0),0)</f>
        <v>0</v>
      </c>
      <c r="AG80" s="6">
        <f>IF((G76&lt;&gt;"")*(G80=""),IF((G76&lt;=$B$444)*((G77&gt;=$C$444)+(G77&lt;2/24)),1,0),0)</f>
        <v>0</v>
      </c>
      <c r="AH80" s="6">
        <f>IF((H76&lt;&gt;"")*(H80=""),IF((H76&lt;=$B$444)*((H77&gt;=$C$444)+(H77&lt;2/24)),1,0),0)</f>
        <v>0</v>
      </c>
      <c r="AI80" s="6">
        <f>IF((I76&lt;&gt;"")*(I80=""),IF((I76&lt;=$B$444)*((I77&gt;=$C$444)+(I77&lt;2/24)),1,0),0)</f>
        <v>0</v>
      </c>
      <c r="AJ80" s="6">
        <f>IF((J76&lt;&gt;"")*(J80=""),IF((J76&lt;=$B$444)*((J77&gt;=$C$444)+(J77&lt;2/24)),1,0),0)</f>
        <v>0</v>
      </c>
    </row>
    <row r="81" spans="1:36" ht="13.5" hidden="1" thickBot="1" x14ac:dyDescent="0.25">
      <c r="A81" s="41"/>
      <c r="B81" s="42"/>
      <c r="C81" s="35" t="s">
        <v>28</v>
      </c>
      <c r="D81" s="36"/>
      <c r="E81" s="36"/>
      <c r="F81" s="36"/>
      <c r="G81" s="36"/>
      <c r="H81" s="36"/>
      <c r="I81" s="36"/>
      <c r="J81" s="36"/>
      <c r="K81" s="34"/>
      <c r="L81" s="6"/>
      <c r="M81" s="25"/>
      <c r="N81" s="6"/>
      <c r="O81" s="6"/>
      <c r="P81" s="6"/>
      <c r="Q81" s="6"/>
      <c r="R81" s="6"/>
      <c r="S81" s="6"/>
      <c r="T81" s="6"/>
      <c r="U81" s="6"/>
      <c r="V81" s="20"/>
      <c r="W81" s="20"/>
      <c r="X81" s="20"/>
      <c r="Y81" s="20"/>
      <c r="Z81" s="20"/>
      <c r="AA81" s="20"/>
      <c r="AB81" s="20"/>
      <c r="AD81" s="6"/>
      <c r="AE81" s="6"/>
      <c r="AF81" s="6"/>
      <c r="AG81" s="6"/>
      <c r="AH81" s="6"/>
      <c r="AI81" s="6"/>
      <c r="AJ81" s="6"/>
    </row>
    <row r="82" spans="1:36" ht="13.5" hidden="1" thickBot="1" x14ac:dyDescent="0.25">
      <c r="A82" s="37" t="s">
        <v>29</v>
      </c>
      <c r="B82" s="38" t="s">
        <v>30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  <c r="L82" s="6"/>
      <c r="M82" s="21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D82" s="6">
        <f>IF((D82&lt;&gt;"")*(D86=""),IF((D82&lt;=$B$440)*((D83&gt;=$C$440)+(D83&lt;2/24)),1,0),0)</f>
        <v>0</v>
      </c>
      <c r="AE82" s="6">
        <f>IF((E82&lt;&gt;"")*(E86=""),IF((E82&lt;=$B$440)*((E83&gt;=$C$440)+(E83&lt;2/24)),1,0),0)</f>
        <v>0</v>
      </c>
      <c r="AF82" s="6">
        <f>IF((F82&lt;&gt;"")*(F86=""),IF((F82&lt;=$B$440)*((F83&gt;=$C$440)+(F83&lt;2/24)),1,0),0)</f>
        <v>0</v>
      </c>
      <c r="AG82" s="6">
        <f>IF((G82&lt;&gt;"")*(G86=""),IF((G82&lt;=$B$440)*((G83&gt;=$C$440)+(G83&lt;2/24)),1,0),0)</f>
        <v>0</v>
      </c>
      <c r="AH82" s="6">
        <f>IF((H82&lt;&gt;"")*(H86=""),IF((H82&lt;=$B$440)*((H83&gt;=$C$440)+(H83&lt;2/24)),1,0),0)</f>
        <v>0</v>
      </c>
      <c r="AI82" s="6">
        <f>IF((I82&lt;&gt;"")*(I86=""),IF((I82&lt;=$B$440)*((I83&gt;=$C$440)+(I83&lt;2/24)),1,0),0)</f>
        <v>0</v>
      </c>
      <c r="AJ82" s="6">
        <f>IF((J82&lt;&gt;"")*(J86=""),IF((J82&lt;=$B$440)*((J83&gt;=$C$440)+(J83&lt;2/24)),1,0),0)</f>
        <v>0</v>
      </c>
    </row>
    <row r="83" spans="1:36" ht="13.5" hidden="1" thickBot="1" x14ac:dyDescent="0.25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  <c r="L83" s="6"/>
      <c r="M83" s="21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D83" s="6">
        <f>IF((D82&lt;&gt;"")*(D86=""),IF((D82&lt;=$B$441)*((D83&gt;=$C$441)+(D83&lt;2/24)),1,0),0)</f>
        <v>0</v>
      </c>
      <c r="AE83" s="6">
        <f>IF((E82&lt;&gt;"")*(E86=""),IF((E82&lt;=$B$441)*((E83&gt;=$C$441)+(E83&lt;2/24)),1,0),0)</f>
        <v>0</v>
      </c>
      <c r="AF83" s="6">
        <f>IF((F82&lt;&gt;"")*(F86=""),IF((F82&lt;=$B$441)*((F83&gt;=$C$441)+(F83&lt;2/24)),1,0),0)</f>
        <v>0</v>
      </c>
      <c r="AG83" s="6">
        <f>IF((G82&lt;&gt;"")*(G86=""),IF((G82&lt;=$B$441)*((G83&gt;=$C$441)+(G83&lt;2/24)),1,0),0)</f>
        <v>0</v>
      </c>
      <c r="AH83" s="6">
        <f>IF((H82&lt;&gt;"")*(H86=""),IF((H82&lt;=$B$441)*((H83&gt;=$C$441)+(H83&lt;2/24)),1,0),0)</f>
        <v>0</v>
      </c>
      <c r="AI83" s="6">
        <f>IF((I82&lt;&gt;"")*(I86=""),IF((I82&lt;=$B$441)*((I83&gt;=$C$441)+(I83&lt;2/24)),1,0),0)</f>
        <v>0</v>
      </c>
      <c r="AJ83" s="6">
        <f>IF((J82&lt;&gt;"")*(J86=""),IF((J82&lt;=$B$441)*((J83&gt;=$C$441)+(J83&lt;2/24)),1,0),0)</f>
        <v>0</v>
      </c>
    </row>
    <row r="84" spans="1:36" ht="13.5" hidden="1" thickBot="1" x14ac:dyDescent="0.25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  <c r="L84" s="6"/>
      <c r="M84" s="21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D84" s="6">
        <f>IF((D82&lt;&gt;"")*(D86=""),IF((D82&lt;=$B$442)*((D83&gt;=$C$442)+(D83&lt;2/24)),1,0),0)</f>
        <v>0</v>
      </c>
      <c r="AE84" s="6">
        <f>IF((E82&lt;&gt;"")*(E86=""),IF((E82&lt;=$B$442)*((E83&gt;=$C$442)+(E83&lt;2/24)),1,0),0)</f>
        <v>0</v>
      </c>
      <c r="AF84" s="6">
        <f>IF((F82&lt;&gt;"")*(F86=""),IF((F82&lt;=$B$442)*((F83&gt;=$C$442)+(F83&lt;2/24)),1,0),0)</f>
        <v>0</v>
      </c>
      <c r="AG84" s="6">
        <f>IF((G82&lt;&gt;"")*(G86=""),IF((G82&lt;=$B$442)*((G83&gt;=$C$442)+(G83&lt;2/24)),1,0),0)</f>
        <v>0</v>
      </c>
      <c r="AH84" s="6">
        <f>IF((H82&lt;&gt;"")*(H86=""),IF((H82&lt;=$B$442)*((H83&gt;=$C$442)+(H83&lt;2/24)),1,0),0)</f>
        <v>0</v>
      </c>
      <c r="AI84" s="6">
        <f>IF((I82&lt;&gt;"")*(I86=""),IF((I82&lt;=$B$442)*((I83&gt;=$C$442)+(I83&lt;2/24)),1,0),0)</f>
        <v>0</v>
      </c>
      <c r="AJ84" s="6">
        <f>IF((J82&lt;&gt;"")*(J86=""),IF((J82&lt;=$B$442)*((J83&gt;=$C$442)+(J83&lt;2/24)),1,0),0)</f>
        <v>0</v>
      </c>
    </row>
    <row r="85" spans="1:36" ht="13.5" hidden="1" thickBot="1" x14ac:dyDescent="0.25">
      <c r="A85" s="39"/>
      <c r="B85" s="40"/>
      <c r="C85" s="15" t="s">
        <v>3</v>
      </c>
      <c r="D85" s="43"/>
      <c r="E85" s="43"/>
      <c r="F85" s="43"/>
      <c r="G85" s="43"/>
      <c r="H85" s="43"/>
      <c r="I85" s="43"/>
      <c r="J85" s="44"/>
      <c r="K85" s="18">
        <f>SUMIF(D86:J86,"",D85:J85)</f>
        <v>0</v>
      </c>
      <c r="L85" s="12">
        <f>SUM(D85:J85)</f>
        <v>0</v>
      </c>
      <c r="M85" s="24"/>
      <c r="N85" s="10">
        <f t="shared" ref="N85:T85" si="74">IF(D86="",D85,0)</f>
        <v>0</v>
      </c>
      <c r="O85" s="10">
        <f t="shared" si="74"/>
        <v>0</v>
      </c>
      <c r="P85" s="10">
        <f t="shared" si="74"/>
        <v>0</v>
      </c>
      <c r="Q85" s="10">
        <f t="shared" si="74"/>
        <v>0</v>
      </c>
      <c r="R85" s="10">
        <f t="shared" si="74"/>
        <v>0</v>
      </c>
      <c r="S85" s="10">
        <f t="shared" si="74"/>
        <v>0</v>
      </c>
      <c r="T85" s="10">
        <f t="shared" si="74"/>
        <v>0</v>
      </c>
      <c r="U85" s="10"/>
      <c r="V85" s="10">
        <f t="shared" ref="V85:AB85" si="75">D85</f>
        <v>0</v>
      </c>
      <c r="W85" s="10">
        <f t="shared" si="75"/>
        <v>0</v>
      </c>
      <c r="X85" s="10">
        <f t="shared" si="75"/>
        <v>0</v>
      </c>
      <c r="Y85" s="10">
        <f t="shared" si="75"/>
        <v>0</v>
      </c>
      <c r="Z85" s="10">
        <f t="shared" si="75"/>
        <v>0</v>
      </c>
      <c r="AA85" s="10">
        <f t="shared" si="75"/>
        <v>0</v>
      </c>
      <c r="AB85" s="10">
        <f t="shared" si="75"/>
        <v>0</v>
      </c>
      <c r="AD85" s="6">
        <f>IF((D82&lt;&gt;"")*(D86=""),IF((D82&lt;=$B$443)*((D83&gt;=$C$443)+(D83&lt;2/24)),1,0),0)</f>
        <v>0</v>
      </c>
      <c r="AE85" s="6">
        <f>IF((E82&lt;&gt;"")*(E86=""),IF((E82&lt;=$B$443)*((E83&gt;=$C$443)+(E83&lt;2/24)),1,0),0)</f>
        <v>0</v>
      </c>
      <c r="AF85" s="6">
        <f>IF((F82&lt;&gt;"")*(F86=""),IF((F82&lt;=$B$443)*((F83&gt;=$C$443)+(F83&lt;2/24)),1,0),0)</f>
        <v>0</v>
      </c>
      <c r="AG85" s="6">
        <f>IF((G82&lt;&gt;"")*(G86=""),IF((G82&lt;=$B$443)*((G83&gt;=$C$443)+(G83&lt;2/24)),1,0),0)</f>
        <v>0</v>
      </c>
      <c r="AH85" s="6">
        <f>IF((H82&lt;&gt;"")*(H86=""),IF((H82&lt;=$B$443)*((H83&gt;=$C$443)+(H83&lt;2/24)),1,0),0)</f>
        <v>0</v>
      </c>
      <c r="AI85" s="6">
        <f>IF((I82&lt;&gt;"")*(I86=""),IF((I82&lt;=$B$443)*((I83&gt;=$C$443)+(I83&lt;2/24)),1,0),0)</f>
        <v>0</v>
      </c>
      <c r="AJ85" s="6">
        <f>IF((J82&lt;&gt;"")*(J86=""),IF((J82&lt;=$B$443)*((J83&gt;=$C$443)+(J83&lt;2/24)),1,0),0)</f>
        <v>0</v>
      </c>
    </row>
    <row r="86" spans="1:36" ht="13.5" hidden="1" thickBot="1" x14ac:dyDescent="0.25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  <c r="N86" s="6"/>
      <c r="O86" s="6"/>
      <c r="P86" s="6"/>
      <c r="Q86" s="6"/>
      <c r="R86" s="6"/>
      <c r="S86" s="6"/>
      <c r="T86" s="6"/>
      <c r="U86" s="6"/>
      <c r="V86" s="20"/>
      <c r="W86" s="20"/>
      <c r="X86" s="20"/>
      <c r="Y86" s="20"/>
      <c r="Z86" s="20"/>
      <c r="AA86" s="20"/>
      <c r="AB86" s="20"/>
      <c r="AD86" s="6">
        <f>IF((D82&lt;&gt;"")*(D86=""),IF((D82&lt;=$B$444)*((D83&gt;=$C$444)+(D83&lt;2/24)),1,0),0)</f>
        <v>0</v>
      </c>
      <c r="AE86" s="6">
        <f>IF((E82&lt;&gt;"")*(E86=""),IF((E82&lt;=$B$444)*((E83&gt;=$C$444)+(E83&lt;2/24)),1,0),0)</f>
        <v>0</v>
      </c>
      <c r="AF86" s="6">
        <f>IF((F82&lt;&gt;"")*(F86=""),IF((F82&lt;=$B$444)*((F83&gt;=$C$444)+(F83&lt;2/24)),1,0),0)</f>
        <v>0</v>
      </c>
      <c r="AG86" s="6">
        <f>IF((G82&lt;&gt;"")*(G86=""),IF((G82&lt;=$B$444)*((G83&gt;=$C$444)+(G83&lt;2/24)),1,0),0)</f>
        <v>0</v>
      </c>
      <c r="AH86" s="6">
        <f>IF((H82&lt;&gt;"")*(H86=""),IF((H82&lt;=$B$444)*((H83&gt;=$C$444)+(H83&lt;2/24)),1,0),0)</f>
        <v>0</v>
      </c>
      <c r="AI86" s="6">
        <f>IF((I82&lt;&gt;"")*(I86=""),IF((I82&lt;=$B$444)*((I83&gt;=$C$444)+(I83&lt;2/24)),1,0),0)</f>
        <v>0</v>
      </c>
      <c r="AJ86" s="6">
        <f>IF((J82&lt;&gt;"")*(J86=""),IF((J82&lt;=$B$444)*((J83&gt;=$C$444)+(J83&lt;2/24)),1,0),0)</f>
        <v>0</v>
      </c>
    </row>
    <row r="87" spans="1:36" ht="13.5" hidden="1" thickBot="1" x14ac:dyDescent="0.25">
      <c r="A87" s="41"/>
      <c r="B87" s="42"/>
      <c r="C87" s="35" t="s">
        <v>28</v>
      </c>
      <c r="D87" s="36"/>
      <c r="E87" s="36"/>
      <c r="F87" s="36"/>
      <c r="G87" s="36"/>
      <c r="H87" s="36"/>
      <c r="I87" s="36"/>
      <c r="J87" s="36"/>
      <c r="K87" s="34"/>
      <c r="L87" s="6"/>
      <c r="M87" s="25"/>
      <c r="N87" s="6"/>
      <c r="O87" s="6"/>
      <c r="P87" s="6"/>
      <c r="Q87" s="6"/>
      <c r="R87" s="6"/>
      <c r="S87" s="6"/>
      <c r="T87" s="6"/>
      <c r="U87" s="6"/>
      <c r="V87" s="20"/>
      <c r="W87" s="20"/>
      <c r="X87" s="20"/>
      <c r="Y87" s="20"/>
      <c r="Z87" s="20"/>
      <c r="AA87" s="20"/>
      <c r="AB87" s="20"/>
      <c r="AD87" s="6"/>
      <c r="AE87" s="6"/>
      <c r="AF87" s="6"/>
      <c r="AG87" s="6"/>
      <c r="AH87" s="6"/>
      <c r="AI87" s="6"/>
      <c r="AJ87" s="6"/>
    </row>
    <row r="88" spans="1:36" ht="13.5" hidden="1" thickBot="1" x14ac:dyDescent="0.25">
      <c r="A88" s="37" t="s">
        <v>29</v>
      </c>
      <c r="B88" s="38" t="s">
        <v>30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  <c r="L88" s="6"/>
      <c r="M88" s="21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D88" s="6">
        <f>IF((D88&lt;&gt;"")*(D92=""),IF((D88&lt;=$B$440)*((D89&gt;=$C$440)+(D89&lt;2/24)),1,0),0)</f>
        <v>0</v>
      </c>
      <c r="AE88" s="6">
        <f>IF((E88&lt;&gt;"")*(E92=""),IF((E88&lt;=$B$440)*((E89&gt;=$C$440)+(E89&lt;2/24)),1,0),0)</f>
        <v>0</v>
      </c>
      <c r="AF88" s="6">
        <f>IF((F88&lt;&gt;"")*(F92=""),IF((F88&lt;=$B$440)*((F89&gt;=$C$440)+(F89&lt;2/24)),1,0),0)</f>
        <v>0</v>
      </c>
      <c r="AG88" s="6">
        <f>IF((G88&lt;&gt;"")*(G92=""),IF((G88&lt;=$B$440)*((G89&gt;=$C$440)+(G89&lt;2/24)),1,0),0)</f>
        <v>0</v>
      </c>
      <c r="AH88" s="6">
        <f>IF((H88&lt;&gt;"")*(H92=""),IF((H88&lt;=$B$440)*((H89&gt;=$C$440)+(H89&lt;2/24)),1,0),0)</f>
        <v>0</v>
      </c>
      <c r="AI88" s="6">
        <f>IF((I88&lt;&gt;"")*(I92=""),IF((I88&lt;=$B$440)*((I89&gt;=$C$440)+(I89&lt;2/24)),1,0),0)</f>
        <v>0</v>
      </c>
      <c r="AJ88" s="6">
        <f>IF((J88&lt;&gt;"")*(J92=""),IF((J88&lt;=$B$440)*((J89&gt;=$C$440)+(J89&lt;2/24)),1,0),0)</f>
        <v>0</v>
      </c>
    </row>
    <row r="89" spans="1:36" ht="13.5" hidden="1" thickBot="1" x14ac:dyDescent="0.25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  <c r="L89" s="6"/>
      <c r="M89" s="21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D89" s="6">
        <f>IF((D88&lt;&gt;"")*(D92=""),IF((D88&lt;=$B$441)*((D89&gt;=$C$441)+(D89&lt;2/24)),1,0),0)</f>
        <v>0</v>
      </c>
      <c r="AE89" s="6">
        <f>IF((E88&lt;&gt;"")*(E92=""),IF((E88&lt;=$B$441)*((E89&gt;=$C$441)+(E89&lt;2/24)),1,0),0)</f>
        <v>0</v>
      </c>
      <c r="AF89" s="6">
        <f>IF((F88&lt;&gt;"")*(F92=""),IF((F88&lt;=$B$441)*((F89&gt;=$C$441)+(F89&lt;2/24)),1,0),0)</f>
        <v>0</v>
      </c>
      <c r="AG89" s="6">
        <f>IF((G88&lt;&gt;"")*(G92=""),IF((G88&lt;=$B$441)*((G89&gt;=$C$441)+(G89&lt;2/24)),1,0),0)</f>
        <v>0</v>
      </c>
      <c r="AH89" s="6">
        <f>IF((H88&lt;&gt;"")*(H92=""),IF((H88&lt;=$B$441)*((H89&gt;=$C$441)+(H89&lt;2/24)),1,0),0)</f>
        <v>0</v>
      </c>
      <c r="AI89" s="6">
        <f>IF((I88&lt;&gt;"")*(I92=""),IF((I88&lt;=$B$441)*((I89&gt;=$C$441)+(I89&lt;2/24)),1,0),0)</f>
        <v>0</v>
      </c>
      <c r="AJ89" s="6">
        <f>IF((J88&lt;&gt;"")*(J92=""),IF((J88&lt;=$B$441)*((J89&gt;=$C$441)+(J89&lt;2/24)),1,0),0)</f>
        <v>0</v>
      </c>
    </row>
    <row r="90" spans="1:36" ht="13.5" hidden="1" thickBot="1" x14ac:dyDescent="0.25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  <c r="L90" s="6"/>
      <c r="M90" s="21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D90" s="6">
        <f>IF((D88&lt;&gt;"")*(D92=""),IF((D88&lt;=$B$442)*((D89&gt;=$C$442)+(D89&lt;2/24)),1,0),0)</f>
        <v>0</v>
      </c>
      <c r="AE90" s="6">
        <f>IF((E88&lt;&gt;"")*(E92=""),IF((E88&lt;=$B$442)*((E89&gt;=$C$442)+(E89&lt;2/24)),1,0),0)</f>
        <v>0</v>
      </c>
      <c r="AF90" s="6">
        <f>IF((F88&lt;&gt;"")*(F92=""),IF((F88&lt;=$B$442)*((F89&gt;=$C$442)+(F89&lt;2/24)),1,0),0)</f>
        <v>0</v>
      </c>
      <c r="AG90" s="6">
        <f>IF((G88&lt;&gt;"")*(G92=""),IF((G88&lt;=$B$442)*((G89&gt;=$C$442)+(G89&lt;2/24)),1,0),0)</f>
        <v>0</v>
      </c>
      <c r="AH90" s="6">
        <f>IF((H88&lt;&gt;"")*(H92=""),IF((H88&lt;=$B$442)*((H89&gt;=$C$442)+(H89&lt;2/24)),1,0),0)</f>
        <v>0</v>
      </c>
      <c r="AI90" s="6">
        <f>IF((I88&lt;&gt;"")*(I92=""),IF((I88&lt;=$B$442)*((I89&gt;=$C$442)+(I89&lt;2/24)),1,0),0)</f>
        <v>0</v>
      </c>
      <c r="AJ90" s="6">
        <f>IF((J88&lt;&gt;"")*(J92=""),IF((J88&lt;=$B$442)*((J89&gt;=$C$442)+(J89&lt;2/24)),1,0),0)</f>
        <v>0</v>
      </c>
    </row>
    <row r="91" spans="1:36" ht="13.5" hidden="1" thickBot="1" x14ac:dyDescent="0.25">
      <c r="A91" s="39"/>
      <c r="B91" s="40"/>
      <c r="C91" s="15" t="s">
        <v>3</v>
      </c>
      <c r="D91" s="43"/>
      <c r="E91" s="43"/>
      <c r="F91" s="43"/>
      <c r="G91" s="43"/>
      <c r="H91" s="43"/>
      <c r="I91" s="43"/>
      <c r="J91" s="44"/>
      <c r="K91" s="18">
        <f>SUMIF(D92:J92,"",D91:J91)</f>
        <v>0</v>
      </c>
      <c r="L91" s="12">
        <f>SUM(D91:J91)</f>
        <v>0</v>
      </c>
      <c r="M91" s="24"/>
      <c r="N91" s="10">
        <f t="shared" ref="N91:T91" si="76">IF(D92="",D91,0)</f>
        <v>0</v>
      </c>
      <c r="O91" s="10">
        <f t="shared" si="76"/>
        <v>0</v>
      </c>
      <c r="P91" s="10">
        <f t="shared" si="76"/>
        <v>0</v>
      </c>
      <c r="Q91" s="10">
        <f t="shared" si="76"/>
        <v>0</v>
      </c>
      <c r="R91" s="10">
        <f t="shared" si="76"/>
        <v>0</v>
      </c>
      <c r="S91" s="10">
        <f t="shared" si="76"/>
        <v>0</v>
      </c>
      <c r="T91" s="10">
        <f t="shared" si="76"/>
        <v>0</v>
      </c>
      <c r="U91" s="10"/>
      <c r="V91" s="10">
        <f t="shared" ref="V91:AB91" si="77">D91</f>
        <v>0</v>
      </c>
      <c r="W91" s="10">
        <f t="shared" si="77"/>
        <v>0</v>
      </c>
      <c r="X91" s="10">
        <f t="shared" si="77"/>
        <v>0</v>
      </c>
      <c r="Y91" s="10">
        <f t="shared" si="77"/>
        <v>0</v>
      </c>
      <c r="Z91" s="10">
        <f t="shared" si="77"/>
        <v>0</v>
      </c>
      <c r="AA91" s="10">
        <f t="shared" si="77"/>
        <v>0</v>
      </c>
      <c r="AB91" s="10">
        <f t="shared" si="77"/>
        <v>0</v>
      </c>
      <c r="AD91" s="6">
        <f>IF((D88&lt;&gt;"")*(D92=""),IF((D88&lt;=$B$443)*((D89&gt;=$C$443)+(D89&lt;2/24)),1,0),0)</f>
        <v>0</v>
      </c>
      <c r="AE91" s="6">
        <f>IF((E88&lt;&gt;"")*(E92=""),IF((E88&lt;=$B$443)*((E89&gt;=$C$443)+(E89&lt;2/24)),1,0),0)</f>
        <v>0</v>
      </c>
      <c r="AF91" s="6">
        <f>IF((F88&lt;&gt;"")*(F92=""),IF((F88&lt;=$B$443)*((F89&gt;=$C$443)+(F89&lt;2/24)),1,0),0)</f>
        <v>0</v>
      </c>
      <c r="AG91" s="6">
        <f>IF((G88&lt;&gt;"")*(G92=""),IF((G88&lt;=$B$443)*((G89&gt;=$C$443)+(G89&lt;2/24)),1,0),0)</f>
        <v>0</v>
      </c>
      <c r="AH91" s="6">
        <f>IF((H88&lt;&gt;"")*(H92=""),IF((H88&lt;=$B$443)*((H89&gt;=$C$443)+(H89&lt;2/24)),1,0),0)</f>
        <v>0</v>
      </c>
      <c r="AI91" s="6">
        <f>IF((I88&lt;&gt;"")*(I92=""),IF((I88&lt;=$B$443)*((I89&gt;=$C$443)+(I89&lt;2/24)),1,0),0)</f>
        <v>0</v>
      </c>
      <c r="AJ91" s="6">
        <f>IF((J88&lt;&gt;"")*(J92=""),IF((J88&lt;=$B$443)*((J89&gt;=$C$443)+(J89&lt;2/24)),1,0),0)</f>
        <v>0</v>
      </c>
    </row>
    <row r="92" spans="1:36" ht="13.5" hidden="1" thickBot="1" x14ac:dyDescent="0.25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  <c r="N92" s="6"/>
      <c r="O92" s="6"/>
      <c r="P92" s="6"/>
      <c r="Q92" s="6"/>
      <c r="R92" s="6"/>
      <c r="S92" s="6"/>
      <c r="T92" s="6"/>
      <c r="U92" s="6"/>
      <c r="V92" s="20"/>
      <c r="W92" s="20"/>
      <c r="X92" s="20"/>
      <c r="Y92" s="20"/>
      <c r="Z92" s="20"/>
      <c r="AA92" s="20"/>
      <c r="AB92" s="20"/>
      <c r="AD92" s="6">
        <f>IF((D88&lt;&gt;"")*(D92=""),IF((D88&lt;=$B$444)*((D89&gt;=$C$444)+(D89&lt;2/24)),1,0),0)</f>
        <v>0</v>
      </c>
      <c r="AE92" s="6">
        <f>IF((E88&lt;&gt;"")*(E92=""),IF((E88&lt;=$B$444)*((E89&gt;=$C$444)+(E89&lt;2/24)),1,0),0)</f>
        <v>0</v>
      </c>
      <c r="AF92" s="6">
        <f>IF((F88&lt;&gt;"")*(F92=""),IF((F88&lt;=$B$444)*((F89&gt;=$C$444)+(F89&lt;2/24)),1,0),0)</f>
        <v>0</v>
      </c>
      <c r="AG92" s="6">
        <f>IF((G88&lt;&gt;"")*(G92=""),IF((G88&lt;=$B$444)*((G89&gt;=$C$444)+(G89&lt;2/24)),1,0),0)</f>
        <v>0</v>
      </c>
      <c r="AH92" s="6">
        <f>IF((H88&lt;&gt;"")*(H92=""),IF((H88&lt;=$B$444)*((H89&gt;=$C$444)+(H89&lt;2/24)),1,0),0)</f>
        <v>0</v>
      </c>
      <c r="AI92" s="6">
        <f>IF((I88&lt;&gt;"")*(I92=""),IF((I88&lt;=$B$444)*((I89&gt;=$C$444)+(I89&lt;2/24)),1,0),0)</f>
        <v>0</v>
      </c>
      <c r="AJ92" s="6">
        <f>IF((J88&lt;&gt;"")*(J92=""),IF((J88&lt;=$B$444)*((J89&gt;=$C$444)+(J89&lt;2/24)),1,0),0)</f>
        <v>0</v>
      </c>
    </row>
    <row r="93" spans="1:36" ht="13.5" hidden="1" thickBot="1" x14ac:dyDescent="0.25">
      <c r="A93" s="41"/>
      <c r="B93" s="42"/>
      <c r="C93" s="35" t="s">
        <v>28</v>
      </c>
      <c r="D93" s="36"/>
      <c r="E93" s="36"/>
      <c r="F93" s="36"/>
      <c r="G93" s="36"/>
      <c r="H93" s="36"/>
      <c r="I93" s="36"/>
      <c r="J93" s="36"/>
      <c r="K93" s="34"/>
      <c r="L93" s="6"/>
      <c r="M93" s="25"/>
      <c r="N93" s="6"/>
      <c r="O93" s="6"/>
      <c r="P93" s="6"/>
      <c r="Q93" s="6"/>
      <c r="R93" s="6"/>
      <c r="S93" s="6"/>
      <c r="T93" s="6"/>
      <c r="U93" s="6"/>
      <c r="V93" s="20"/>
      <c r="W93" s="20"/>
      <c r="X93" s="20"/>
      <c r="Y93" s="20"/>
      <c r="Z93" s="20"/>
      <c r="AA93" s="20"/>
      <c r="AB93" s="20"/>
      <c r="AD93" s="6"/>
      <c r="AE93" s="6"/>
      <c r="AF93" s="6"/>
      <c r="AG93" s="6"/>
      <c r="AH93" s="6"/>
      <c r="AI93" s="6"/>
      <c r="AJ93" s="6"/>
    </row>
    <row r="94" spans="1:36" ht="13.5" hidden="1" thickBot="1" x14ac:dyDescent="0.25">
      <c r="A94" s="37" t="s">
        <v>29</v>
      </c>
      <c r="B94" s="38" t="s">
        <v>30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  <c r="L94" s="6"/>
      <c r="M94" s="21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D94" s="6">
        <f>IF((D94&lt;&gt;"")*(D98=""),IF((D94&lt;=$B$440)*((D95&gt;=$C$440)+(D95&lt;2/24)),1,0),0)</f>
        <v>0</v>
      </c>
      <c r="AE94" s="6">
        <f>IF((E94&lt;&gt;"")*(E98=""),IF((E94&lt;=$B$440)*((E95&gt;=$C$440)+(E95&lt;2/24)),1,0),0)</f>
        <v>0</v>
      </c>
      <c r="AF94" s="6">
        <f>IF((F94&lt;&gt;"")*(F98=""),IF((F94&lt;=$B$440)*((F95&gt;=$C$440)+(F95&lt;2/24)),1,0),0)</f>
        <v>0</v>
      </c>
      <c r="AG94" s="6">
        <f>IF((G94&lt;&gt;"")*(G98=""),IF((G94&lt;=$B$440)*((G95&gt;=$C$440)+(G95&lt;2/24)),1,0),0)</f>
        <v>0</v>
      </c>
      <c r="AH94" s="6">
        <f>IF((H94&lt;&gt;"")*(H98=""),IF((H94&lt;=$B$440)*((H95&gt;=$C$440)+(H95&lt;2/24)),1,0),0)</f>
        <v>0</v>
      </c>
      <c r="AI94" s="6">
        <f>IF((I94&lt;&gt;"")*(I98=""),IF((I94&lt;=$B$440)*((I95&gt;=$C$440)+(I95&lt;2/24)),1,0),0)</f>
        <v>0</v>
      </c>
      <c r="AJ94" s="6">
        <f>IF((J94&lt;&gt;"")*(J98=""),IF((J94&lt;=$B$440)*((J95&gt;=$C$440)+(J95&lt;2/24)),1,0),0)</f>
        <v>0</v>
      </c>
    </row>
    <row r="95" spans="1:36" ht="13.5" hidden="1" thickBot="1" x14ac:dyDescent="0.25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  <c r="L95" s="6"/>
      <c r="M95" s="21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D95" s="6">
        <f>IF((D94&lt;&gt;"")*(D98=""),IF((D94&lt;=$B$441)*((D95&gt;=$C$441)+(D95&lt;2/24)),1,0),0)</f>
        <v>0</v>
      </c>
      <c r="AE95" s="6">
        <f>IF((E94&lt;&gt;"")*(E98=""),IF((E94&lt;=$B$441)*((E95&gt;=$C$441)+(E95&lt;2/24)),1,0),0)</f>
        <v>0</v>
      </c>
      <c r="AF95" s="6">
        <f>IF((F94&lt;&gt;"")*(F98=""),IF((F94&lt;=$B$441)*((F95&gt;=$C$441)+(F95&lt;2/24)),1,0),0)</f>
        <v>0</v>
      </c>
      <c r="AG95" s="6">
        <f>IF((G94&lt;&gt;"")*(G98=""),IF((G94&lt;=$B$441)*((G95&gt;=$C$441)+(G95&lt;2/24)),1,0),0)</f>
        <v>0</v>
      </c>
      <c r="AH95" s="6">
        <f>IF((H94&lt;&gt;"")*(H98=""),IF((H94&lt;=$B$441)*((H95&gt;=$C$441)+(H95&lt;2/24)),1,0),0)</f>
        <v>0</v>
      </c>
      <c r="AI95" s="6">
        <f>IF((I94&lt;&gt;"")*(I98=""),IF((I94&lt;=$B$441)*((I95&gt;=$C$441)+(I95&lt;2/24)),1,0),0)</f>
        <v>0</v>
      </c>
      <c r="AJ95" s="6">
        <f>IF((J94&lt;&gt;"")*(J98=""),IF((J94&lt;=$B$441)*((J95&gt;=$C$441)+(J95&lt;2/24)),1,0),0)</f>
        <v>0</v>
      </c>
    </row>
    <row r="96" spans="1:36" ht="13.5" hidden="1" thickBot="1" x14ac:dyDescent="0.25">
      <c r="A96" s="39"/>
      <c r="B96" s="40"/>
      <c r="C96" s="15" t="s">
        <v>2</v>
      </c>
      <c r="D96" s="4"/>
      <c r="E96" s="4"/>
      <c r="F96" s="4"/>
      <c r="G96" s="4"/>
      <c r="H96" s="4"/>
      <c r="I96" s="4"/>
      <c r="J96" s="4"/>
      <c r="K96" s="17"/>
      <c r="L96" s="6"/>
      <c r="M96" s="21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D96" s="6">
        <f>IF((D94&lt;&gt;"")*(D98=""),IF((D94&lt;=$B$442)*((D95&gt;=$C$442)+(D95&lt;2/24)),1,0),0)</f>
        <v>0</v>
      </c>
      <c r="AE96" s="6">
        <f>IF((E94&lt;&gt;"")*(E98=""),IF((E94&lt;=$B$442)*((E95&gt;=$C$442)+(E95&lt;2/24)),1,0),0)</f>
        <v>0</v>
      </c>
      <c r="AF96" s="6">
        <f>IF((F94&lt;&gt;"")*(F98=""),IF((F94&lt;=$B$442)*((F95&gt;=$C$442)+(F95&lt;2/24)),1,0),0)</f>
        <v>0</v>
      </c>
      <c r="AG96" s="6">
        <f>IF((G94&lt;&gt;"")*(G98=""),IF((G94&lt;=$B$442)*((G95&gt;=$C$442)+(G95&lt;2/24)),1,0),0)</f>
        <v>0</v>
      </c>
      <c r="AH96" s="6">
        <f>IF((H94&lt;&gt;"")*(H98=""),IF((H94&lt;=$B$442)*((H95&gt;=$C$442)+(H95&lt;2/24)),1,0),0)</f>
        <v>0</v>
      </c>
      <c r="AI96" s="6">
        <f>IF((I94&lt;&gt;"")*(I98=""),IF((I94&lt;=$B$442)*((I95&gt;=$C$442)+(I95&lt;2/24)),1,0),0)</f>
        <v>0</v>
      </c>
      <c r="AJ96" s="6">
        <f>IF((J94&lt;&gt;"")*(J98=""),IF((J94&lt;=$B$442)*((J95&gt;=$C$442)+(J95&lt;2/24)),1,0),0)</f>
        <v>0</v>
      </c>
    </row>
    <row r="97" spans="1:36" ht="13.5" hidden="1" thickBot="1" x14ac:dyDescent="0.25">
      <c r="A97" s="39"/>
      <c r="B97" s="40"/>
      <c r="C97" s="15" t="s">
        <v>3</v>
      </c>
      <c r="D97" s="43"/>
      <c r="E97" s="43"/>
      <c r="F97" s="43"/>
      <c r="G97" s="43"/>
      <c r="H97" s="43"/>
      <c r="I97" s="43"/>
      <c r="J97" s="44"/>
      <c r="K97" s="18">
        <f>SUMIF(D98:J98,"",D97:J97)</f>
        <v>0</v>
      </c>
      <c r="L97" s="12">
        <f>SUM(D97:J97)</f>
        <v>0</v>
      </c>
      <c r="M97" s="24"/>
      <c r="N97" s="10">
        <f t="shared" ref="N97:T97" si="78">IF(D98="",D97,0)</f>
        <v>0</v>
      </c>
      <c r="O97" s="10">
        <f t="shared" si="78"/>
        <v>0</v>
      </c>
      <c r="P97" s="10">
        <f t="shared" si="78"/>
        <v>0</v>
      </c>
      <c r="Q97" s="10">
        <f t="shared" si="78"/>
        <v>0</v>
      </c>
      <c r="R97" s="10">
        <f t="shared" si="78"/>
        <v>0</v>
      </c>
      <c r="S97" s="10">
        <f t="shared" si="78"/>
        <v>0</v>
      </c>
      <c r="T97" s="10">
        <f t="shared" si="78"/>
        <v>0</v>
      </c>
      <c r="U97" s="10"/>
      <c r="V97" s="10">
        <f t="shared" ref="V97:AB97" si="79">D97</f>
        <v>0</v>
      </c>
      <c r="W97" s="10">
        <f t="shared" si="79"/>
        <v>0</v>
      </c>
      <c r="X97" s="10">
        <f t="shared" si="79"/>
        <v>0</v>
      </c>
      <c r="Y97" s="10">
        <f t="shared" si="79"/>
        <v>0</v>
      </c>
      <c r="Z97" s="10">
        <f t="shared" si="79"/>
        <v>0</v>
      </c>
      <c r="AA97" s="10">
        <f t="shared" si="79"/>
        <v>0</v>
      </c>
      <c r="AB97" s="10">
        <f t="shared" si="79"/>
        <v>0</v>
      </c>
      <c r="AD97" s="6">
        <f>IF((D94&lt;&gt;"")*(D98=""),IF((D94&lt;=$B$443)*((D95&gt;=$C$443)+(D95&lt;2/24)),1,0),0)</f>
        <v>0</v>
      </c>
      <c r="AE97" s="6">
        <f>IF((E94&lt;&gt;"")*(E98=""),IF((E94&lt;=$B$443)*((E95&gt;=$C$443)+(E95&lt;2/24)),1,0),0)</f>
        <v>0</v>
      </c>
      <c r="AF97" s="6">
        <f>IF((F94&lt;&gt;"")*(F98=""),IF((F94&lt;=$B$443)*((F95&gt;=$C$443)+(F95&lt;2/24)),1,0),0)</f>
        <v>0</v>
      </c>
      <c r="AG97" s="6">
        <f>IF((G94&lt;&gt;"")*(G98=""),IF((G94&lt;=$B$443)*((G95&gt;=$C$443)+(G95&lt;2/24)),1,0),0)</f>
        <v>0</v>
      </c>
      <c r="AH97" s="6">
        <f>IF((H94&lt;&gt;"")*(H98=""),IF((H94&lt;=$B$443)*((H95&gt;=$C$443)+(H95&lt;2/24)),1,0),0)</f>
        <v>0</v>
      </c>
      <c r="AI97" s="6">
        <f>IF((I94&lt;&gt;"")*(I98=""),IF((I94&lt;=$B$443)*((I95&gt;=$C$443)+(I95&lt;2/24)),1,0),0)</f>
        <v>0</v>
      </c>
      <c r="AJ97" s="6">
        <f>IF((J94&lt;&gt;"")*(J98=""),IF((J94&lt;=$B$443)*((J95&gt;=$C$443)+(J95&lt;2/24)),1,0),0)</f>
        <v>0</v>
      </c>
    </row>
    <row r="98" spans="1:36" ht="13.5" hidden="1" thickBot="1" x14ac:dyDescent="0.25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  <c r="N98" s="6"/>
      <c r="O98" s="6"/>
      <c r="P98" s="6"/>
      <c r="Q98" s="6"/>
      <c r="R98" s="6"/>
      <c r="S98" s="6"/>
      <c r="T98" s="6"/>
      <c r="U98" s="6"/>
      <c r="V98" s="20"/>
      <c r="W98" s="20"/>
      <c r="X98" s="20"/>
      <c r="Y98" s="20"/>
      <c r="Z98" s="20"/>
      <c r="AA98" s="20"/>
      <c r="AB98" s="20"/>
      <c r="AD98" s="6">
        <f>IF((D94&lt;&gt;"")*(D98=""),IF((D94&lt;=$B$444)*((D95&gt;=$C$444)+(D95&lt;2/24)),1,0),0)</f>
        <v>0</v>
      </c>
      <c r="AE98" s="6">
        <f>IF((E94&lt;&gt;"")*(E98=""),IF((E94&lt;=$B$444)*((E95&gt;=$C$444)+(E95&lt;2/24)),1,0),0)</f>
        <v>0</v>
      </c>
      <c r="AF98" s="6">
        <f>IF((F94&lt;&gt;"")*(F98=""),IF((F94&lt;=$B$444)*((F95&gt;=$C$444)+(F95&lt;2/24)),1,0),0)</f>
        <v>0</v>
      </c>
      <c r="AG98" s="6">
        <f>IF((G94&lt;&gt;"")*(G98=""),IF((G94&lt;=$B$444)*((G95&gt;=$C$444)+(G95&lt;2/24)),1,0),0)</f>
        <v>0</v>
      </c>
      <c r="AH98" s="6">
        <f>IF((H94&lt;&gt;"")*(H98=""),IF((H94&lt;=$B$444)*((H95&gt;=$C$444)+(H95&lt;2/24)),1,0),0)</f>
        <v>0</v>
      </c>
      <c r="AI98" s="6">
        <f>IF((I94&lt;&gt;"")*(I98=""),IF((I94&lt;=$B$444)*((I95&gt;=$C$444)+(I95&lt;2/24)),1,0),0)</f>
        <v>0</v>
      </c>
      <c r="AJ98" s="6">
        <f>IF((J94&lt;&gt;"")*(J98=""),IF((J94&lt;=$B$444)*((J95&gt;=$C$444)+(J95&lt;2/24)),1,0),0)</f>
        <v>0</v>
      </c>
    </row>
    <row r="99" spans="1:36" ht="13.5" hidden="1" thickBot="1" x14ac:dyDescent="0.25">
      <c r="A99" s="41"/>
      <c r="B99" s="42"/>
      <c r="C99" s="35" t="s">
        <v>28</v>
      </c>
      <c r="D99" s="36"/>
      <c r="E99" s="36"/>
      <c r="F99" s="36"/>
      <c r="G99" s="36"/>
      <c r="H99" s="36"/>
      <c r="I99" s="36"/>
      <c r="J99" s="36"/>
      <c r="K99" s="34"/>
      <c r="L99" s="6"/>
      <c r="M99" s="25"/>
      <c r="N99" s="6"/>
      <c r="O99" s="6"/>
      <c r="P99" s="6"/>
      <c r="Q99" s="6"/>
      <c r="R99" s="6"/>
      <c r="S99" s="6"/>
      <c r="T99" s="6"/>
      <c r="U99" s="6"/>
      <c r="V99" s="20"/>
      <c r="W99" s="20"/>
      <c r="X99" s="20"/>
      <c r="Y99" s="20"/>
      <c r="Z99" s="20"/>
      <c r="AA99" s="20"/>
      <c r="AB99" s="20"/>
      <c r="AD99" s="6"/>
      <c r="AE99" s="6"/>
      <c r="AF99" s="6"/>
      <c r="AG99" s="6"/>
      <c r="AH99" s="6"/>
      <c r="AI99" s="6"/>
      <c r="AJ99" s="6"/>
    </row>
    <row r="100" spans="1:36" ht="13.5" hidden="1" thickBot="1" x14ac:dyDescent="0.25">
      <c r="A100" s="37" t="s">
        <v>29</v>
      </c>
      <c r="B100" s="38" t="s">
        <v>30</v>
      </c>
      <c r="C100" s="14" t="s">
        <v>0</v>
      </c>
      <c r="D100" s="26"/>
      <c r="E100" s="26"/>
      <c r="F100" s="26"/>
      <c r="G100" s="26"/>
      <c r="H100" s="26"/>
      <c r="I100" s="26"/>
      <c r="J100" s="26"/>
      <c r="K100" s="16"/>
      <c r="L100" s="6"/>
      <c r="M100" s="21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D100" s="6">
        <f>IF((D100&lt;&gt;"")*(D104=""),IF((D100&lt;=$B$440)*((D101&gt;=$C$440)+(D101&lt;2/24)),1,0),0)</f>
        <v>0</v>
      </c>
      <c r="AE100" s="6">
        <f>IF((E100&lt;&gt;"")*(E104=""),IF((E100&lt;=$B$440)*((E101&gt;=$C$440)+(E101&lt;2/24)),1,0),0)</f>
        <v>0</v>
      </c>
      <c r="AF100" s="6">
        <f>IF((F100&lt;&gt;"")*(F104=""),IF((F100&lt;=$B$440)*((F101&gt;=$C$440)+(F101&lt;2/24)),1,0),0)</f>
        <v>0</v>
      </c>
      <c r="AG100" s="6">
        <f>IF((G100&lt;&gt;"")*(G104=""),IF((G100&lt;=$B$440)*((G101&gt;=$C$440)+(G101&lt;2/24)),1,0),0)</f>
        <v>0</v>
      </c>
      <c r="AH100" s="6">
        <f>IF((H100&lt;&gt;"")*(H104=""),IF((H100&lt;=$B$440)*((H101&gt;=$C$440)+(H101&lt;2/24)),1,0),0)</f>
        <v>0</v>
      </c>
      <c r="AI100" s="6">
        <f>IF((I100&lt;&gt;"")*(I104=""),IF((I100&lt;=$B$440)*((I101&gt;=$C$440)+(I101&lt;2/24)),1,0),0)</f>
        <v>0</v>
      </c>
      <c r="AJ100" s="6">
        <f>IF((J100&lt;&gt;"")*(J104=""),IF((J100&lt;=$B$440)*((J101&gt;=$C$440)+(J101&lt;2/24)),1,0),0)</f>
        <v>0</v>
      </c>
    </row>
    <row r="101" spans="1:36" ht="13.5" hidden="1" thickBot="1" x14ac:dyDescent="0.25">
      <c r="A101" s="39"/>
      <c r="B101" s="40"/>
      <c r="C101" s="15" t="s">
        <v>1</v>
      </c>
      <c r="D101" s="27"/>
      <c r="E101" s="27"/>
      <c r="F101" s="27"/>
      <c r="G101" s="27"/>
      <c r="H101" s="27"/>
      <c r="I101" s="27"/>
      <c r="J101" s="27"/>
      <c r="K101" s="17"/>
      <c r="L101" s="6"/>
      <c r="M101" s="21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D101" s="6">
        <f>IF((D100&lt;&gt;"")*(D104=""),IF((D100&lt;=$B$441)*((D101&gt;=$C$441)+(D101&lt;2/24)),1,0),0)</f>
        <v>0</v>
      </c>
      <c r="AE101" s="6">
        <f>IF((E100&lt;&gt;"")*(E104=""),IF((E100&lt;=$B$441)*((E101&gt;=$C$441)+(E101&lt;2/24)),1,0),0)</f>
        <v>0</v>
      </c>
      <c r="AF101" s="6">
        <f>IF((F100&lt;&gt;"")*(F104=""),IF((F100&lt;=$B$441)*((F101&gt;=$C$441)+(F101&lt;2/24)),1,0),0)</f>
        <v>0</v>
      </c>
      <c r="AG101" s="6">
        <f>IF((G100&lt;&gt;"")*(G104=""),IF((G100&lt;=$B$441)*((G101&gt;=$C$441)+(G101&lt;2/24)),1,0),0)</f>
        <v>0</v>
      </c>
      <c r="AH101" s="6">
        <f>IF((H100&lt;&gt;"")*(H104=""),IF((H100&lt;=$B$441)*((H101&gt;=$C$441)+(H101&lt;2/24)),1,0),0)</f>
        <v>0</v>
      </c>
      <c r="AI101" s="6">
        <f>IF((I100&lt;&gt;"")*(I104=""),IF((I100&lt;=$B$441)*((I101&gt;=$C$441)+(I101&lt;2/24)),1,0),0)</f>
        <v>0</v>
      </c>
      <c r="AJ101" s="6">
        <f>IF((J100&lt;&gt;"")*(J104=""),IF((J100&lt;=$B$441)*((J101&gt;=$C$441)+(J101&lt;2/24)),1,0),0)</f>
        <v>0</v>
      </c>
    </row>
    <row r="102" spans="1:36" ht="13.5" hidden="1" thickBot="1" x14ac:dyDescent="0.25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  <c r="L102" s="6"/>
      <c r="M102" s="21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D102" s="6">
        <f>IF((D100&lt;&gt;"")*(D104=""),IF((D100&lt;=$B$442)*((D101&gt;=$C$442)+(D101&lt;2/24)),1,0),0)</f>
        <v>0</v>
      </c>
      <c r="AE102" s="6">
        <f>IF((E100&lt;&gt;"")*(E104=""),IF((E100&lt;=$B$442)*((E101&gt;=$C$442)+(E101&lt;2/24)),1,0),0)</f>
        <v>0</v>
      </c>
      <c r="AF102" s="6">
        <f>IF((F100&lt;&gt;"")*(F104=""),IF((F100&lt;=$B$442)*((F101&gt;=$C$442)+(F101&lt;2/24)),1,0),0)</f>
        <v>0</v>
      </c>
      <c r="AG102" s="6">
        <f>IF((G100&lt;&gt;"")*(G104=""),IF((G100&lt;=$B$442)*((G101&gt;=$C$442)+(G101&lt;2/24)),1,0),0)</f>
        <v>0</v>
      </c>
      <c r="AH102" s="6">
        <f>IF((H100&lt;&gt;"")*(H104=""),IF((H100&lt;=$B$442)*((H101&gt;=$C$442)+(H101&lt;2/24)),1,0),0)</f>
        <v>0</v>
      </c>
      <c r="AI102" s="6">
        <f>IF((I100&lt;&gt;"")*(I104=""),IF((I100&lt;=$B$442)*((I101&gt;=$C$442)+(I101&lt;2/24)),1,0),0)</f>
        <v>0</v>
      </c>
      <c r="AJ102" s="6">
        <f>IF((J100&lt;&gt;"")*(J104=""),IF((J100&lt;=$B$442)*((J101&gt;=$C$442)+(J101&lt;2/24)),1,0),0)</f>
        <v>0</v>
      </c>
    </row>
    <row r="103" spans="1:36" ht="13.5" hidden="1" thickBot="1" x14ac:dyDescent="0.25">
      <c r="A103" s="39"/>
      <c r="B103" s="40"/>
      <c r="C103" s="15" t="s">
        <v>3</v>
      </c>
      <c r="D103" s="43"/>
      <c r="E103" s="43"/>
      <c r="F103" s="43"/>
      <c r="G103" s="43"/>
      <c r="H103" s="43"/>
      <c r="I103" s="43"/>
      <c r="J103" s="44"/>
      <c r="K103" s="18">
        <f>SUMIF(D104:J104,"",D103:J103)</f>
        <v>0</v>
      </c>
      <c r="L103" s="12">
        <f>SUM(D103:J103)</f>
        <v>0</v>
      </c>
      <c r="M103" s="24"/>
      <c r="N103" s="10">
        <f t="shared" ref="N103:T103" si="80">IF(D104="",D103,0)</f>
        <v>0</v>
      </c>
      <c r="O103" s="10">
        <f t="shared" si="80"/>
        <v>0</v>
      </c>
      <c r="P103" s="10">
        <f t="shared" si="80"/>
        <v>0</v>
      </c>
      <c r="Q103" s="10">
        <f t="shared" si="80"/>
        <v>0</v>
      </c>
      <c r="R103" s="10">
        <f t="shared" si="80"/>
        <v>0</v>
      </c>
      <c r="S103" s="10">
        <f t="shared" si="80"/>
        <v>0</v>
      </c>
      <c r="T103" s="10">
        <f t="shared" si="80"/>
        <v>0</v>
      </c>
      <c r="U103" s="10"/>
      <c r="V103" s="10">
        <f t="shared" ref="V103:AB103" si="81">D103</f>
        <v>0</v>
      </c>
      <c r="W103" s="10">
        <f t="shared" si="81"/>
        <v>0</v>
      </c>
      <c r="X103" s="10">
        <f t="shared" si="81"/>
        <v>0</v>
      </c>
      <c r="Y103" s="10">
        <f t="shared" si="81"/>
        <v>0</v>
      </c>
      <c r="Z103" s="10">
        <f t="shared" si="81"/>
        <v>0</v>
      </c>
      <c r="AA103" s="10">
        <f t="shared" si="81"/>
        <v>0</v>
      </c>
      <c r="AB103" s="10">
        <f t="shared" si="81"/>
        <v>0</v>
      </c>
      <c r="AD103" s="6">
        <f>IF((D100&lt;&gt;"")*(D104=""),IF((D100&lt;=$B$443)*((D101&gt;=$C$443)+(D101&lt;2/24)),1,0),0)</f>
        <v>0</v>
      </c>
      <c r="AE103" s="6">
        <f>IF((E100&lt;&gt;"")*(E104=""),IF((E100&lt;=$B$443)*((E101&gt;=$C$443)+(E101&lt;2/24)),1,0),0)</f>
        <v>0</v>
      </c>
      <c r="AF103" s="6">
        <f>IF((F100&lt;&gt;"")*(F104=""),IF((F100&lt;=$B$443)*((F101&gt;=$C$443)+(F101&lt;2/24)),1,0),0)</f>
        <v>0</v>
      </c>
      <c r="AG103" s="6">
        <f>IF((G100&lt;&gt;"")*(G104=""),IF((G100&lt;=$B$443)*((G101&gt;=$C$443)+(G101&lt;2/24)),1,0),0)</f>
        <v>0</v>
      </c>
      <c r="AH103" s="6">
        <f>IF((H100&lt;&gt;"")*(H104=""),IF((H100&lt;=$B$443)*((H101&gt;=$C$443)+(H101&lt;2/24)),1,0),0)</f>
        <v>0</v>
      </c>
      <c r="AI103" s="6">
        <f>IF((I100&lt;&gt;"")*(I104=""),IF((I100&lt;=$B$443)*((I101&gt;=$C$443)+(I101&lt;2/24)),1,0),0)</f>
        <v>0</v>
      </c>
      <c r="AJ103" s="6">
        <f>IF((J100&lt;&gt;"")*(J104=""),IF((J100&lt;=$B$443)*((J101&gt;=$C$443)+(J101&lt;2/24)),1,0),0)</f>
        <v>0</v>
      </c>
    </row>
    <row r="104" spans="1:36" ht="13.5" hidden="1" thickBot="1" x14ac:dyDescent="0.25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  <c r="N104" s="6"/>
      <c r="O104" s="6"/>
      <c r="P104" s="6"/>
      <c r="Q104" s="6"/>
      <c r="R104" s="6"/>
      <c r="S104" s="6"/>
      <c r="T104" s="6"/>
      <c r="U104" s="6"/>
      <c r="V104" s="20"/>
      <c r="W104" s="20"/>
      <c r="X104" s="20"/>
      <c r="Y104" s="20"/>
      <c r="Z104" s="20"/>
      <c r="AA104" s="20"/>
      <c r="AB104" s="20"/>
      <c r="AD104" s="6">
        <f>IF((D100&lt;&gt;"")*(D104=""),IF((D100&lt;=$B$444)*((D101&gt;=$C$444)+(D101&lt;2/24)),1,0),0)</f>
        <v>0</v>
      </c>
      <c r="AE104" s="6">
        <f>IF((E100&lt;&gt;"")*(E104=""),IF((E100&lt;=$B$444)*((E101&gt;=$C$444)+(E101&lt;2/24)),1,0),0)</f>
        <v>0</v>
      </c>
      <c r="AF104" s="6">
        <f>IF((F100&lt;&gt;"")*(F104=""),IF((F100&lt;=$B$444)*((F101&gt;=$C$444)+(F101&lt;2/24)),1,0),0)</f>
        <v>0</v>
      </c>
      <c r="AG104" s="6">
        <f>IF((G100&lt;&gt;"")*(G104=""),IF((G100&lt;=$B$444)*((G101&gt;=$C$444)+(G101&lt;2/24)),1,0),0)</f>
        <v>0</v>
      </c>
      <c r="AH104" s="6">
        <f>IF((H100&lt;&gt;"")*(H104=""),IF((H100&lt;=$B$444)*((H101&gt;=$C$444)+(H101&lt;2/24)),1,0),0)</f>
        <v>0</v>
      </c>
      <c r="AI104" s="6">
        <f>IF((I100&lt;&gt;"")*(I104=""),IF((I100&lt;=$B$444)*((I101&gt;=$C$444)+(I101&lt;2/24)),1,0),0)</f>
        <v>0</v>
      </c>
      <c r="AJ104" s="6">
        <f>IF((J100&lt;&gt;"")*(J104=""),IF((J100&lt;=$B$444)*((J101&gt;=$C$444)+(J101&lt;2/24)),1,0),0)</f>
        <v>0</v>
      </c>
    </row>
    <row r="105" spans="1:36" ht="13.5" hidden="1" thickBot="1" x14ac:dyDescent="0.25">
      <c r="A105" s="41"/>
      <c r="B105" s="42"/>
      <c r="C105" s="35" t="s">
        <v>28</v>
      </c>
      <c r="D105" s="36"/>
      <c r="E105" s="36"/>
      <c r="F105" s="36"/>
      <c r="G105" s="36"/>
      <c r="H105" s="36"/>
      <c r="I105" s="36"/>
      <c r="J105" s="36"/>
      <c r="K105" s="34"/>
      <c r="L105" s="6"/>
      <c r="M105" s="25"/>
      <c r="N105" s="6"/>
      <c r="O105" s="6"/>
      <c r="P105" s="6"/>
      <c r="Q105" s="6"/>
      <c r="R105" s="6"/>
      <c r="S105" s="6"/>
      <c r="T105" s="6"/>
      <c r="U105" s="6"/>
      <c r="V105" s="20"/>
      <c r="W105" s="20"/>
      <c r="X105" s="20"/>
      <c r="Y105" s="20"/>
      <c r="Z105" s="20"/>
      <c r="AA105" s="20"/>
      <c r="AB105" s="20"/>
      <c r="AD105" s="6"/>
      <c r="AE105" s="6"/>
      <c r="AF105" s="6"/>
      <c r="AG105" s="6"/>
      <c r="AH105" s="6"/>
      <c r="AI105" s="6"/>
      <c r="AJ105" s="6"/>
    </row>
    <row r="106" spans="1:36" ht="13.5" hidden="1" thickBot="1" x14ac:dyDescent="0.25">
      <c r="A106" s="37" t="s">
        <v>29</v>
      </c>
      <c r="B106" s="38" t="s">
        <v>30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  <c r="L106" s="6"/>
      <c r="M106" s="21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D106" s="6">
        <f>IF((D106&lt;&gt;"")*(D110=""),IF((D106&lt;=$B$440)*((D107&gt;=$C$440)+(D107&lt;2/24)),1,0),0)</f>
        <v>0</v>
      </c>
      <c r="AE106" s="6">
        <f>IF((E106&lt;&gt;"")*(E110=""),IF((E106&lt;=$B$440)*((E107&gt;=$C$440)+(E107&lt;2/24)),1,0),0)</f>
        <v>0</v>
      </c>
      <c r="AF106" s="6">
        <f>IF((F106&lt;&gt;"")*(F110=""),IF((F106&lt;=$B$440)*((F107&gt;=$C$440)+(F107&lt;2/24)),1,0),0)</f>
        <v>0</v>
      </c>
      <c r="AG106" s="6">
        <f>IF((G106&lt;&gt;"")*(G110=""),IF((G106&lt;=$B$440)*((G107&gt;=$C$440)+(G107&lt;2/24)),1,0),0)</f>
        <v>0</v>
      </c>
      <c r="AH106" s="6">
        <f>IF((H106&lt;&gt;"")*(H110=""),IF((H106&lt;=$B$440)*((H107&gt;=$C$440)+(H107&lt;2/24)),1,0),0)</f>
        <v>0</v>
      </c>
      <c r="AI106" s="6">
        <f>IF((I106&lt;&gt;"")*(I110=""),IF((I106&lt;=$B$440)*((I107&gt;=$C$440)+(I107&lt;2/24)),1,0),0)</f>
        <v>0</v>
      </c>
      <c r="AJ106" s="6">
        <f>IF((J106&lt;&gt;"")*(J110=""),IF((J106&lt;=$B$440)*((J107&gt;=$C$440)+(J107&lt;2/24)),1,0),0)</f>
        <v>0</v>
      </c>
    </row>
    <row r="107" spans="1:36" ht="13.5" hidden="1" thickBot="1" x14ac:dyDescent="0.25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  <c r="L107" s="6"/>
      <c r="M107" s="21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D107" s="6">
        <f>IF((D106&lt;&gt;"")*(D110=""),IF((D106&lt;=$B$441)*((D107&gt;=$C$441)+(D107&lt;2/24)),1,0),0)</f>
        <v>0</v>
      </c>
      <c r="AE107" s="6">
        <f>IF((E106&lt;&gt;"")*(E110=""),IF((E106&lt;=$B$441)*((E107&gt;=$C$441)+(E107&lt;2/24)),1,0),0)</f>
        <v>0</v>
      </c>
      <c r="AF107" s="6">
        <f>IF((F106&lt;&gt;"")*(F110=""),IF((F106&lt;=$B$441)*((F107&gt;=$C$441)+(F107&lt;2/24)),1,0),0)</f>
        <v>0</v>
      </c>
      <c r="AG107" s="6">
        <f>IF((G106&lt;&gt;"")*(G110=""),IF((G106&lt;=$B$441)*((G107&gt;=$C$441)+(G107&lt;2/24)),1,0),0)</f>
        <v>0</v>
      </c>
      <c r="AH107" s="6">
        <f>IF((H106&lt;&gt;"")*(H110=""),IF((H106&lt;=$B$441)*((H107&gt;=$C$441)+(H107&lt;2/24)),1,0),0)</f>
        <v>0</v>
      </c>
      <c r="AI107" s="6">
        <f>IF((I106&lt;&gt;"")*(I110=""),IF((I106&lt;=$B$441)*((I107&gt;=$C$441)+(I107&lt;2/24)),1,0),0)</f>
        <v>0</v>
      </c>
      <c r="AJ107" s="6">
        <f>IF((J106&lt;&gt;"")*(J110=""),IF((J106&lt;=$B$441)*((J107&gt;=$C$441)+(J107&lt;2/24)),1,0),0)</f>
        <v>0</v>
      </c>
    </row>
    <row r="108" spans="1:36" ht="13.5" hidden="1" thickBot="1" x14ac:dyDescent="0.25">
      <c r="A108" s="39"/>
      <c r="B108" s="40"/>
      <c r="C108" s="15" t="s">
        <v>2</v>
      </c>
      <c r="D108" s="4"/>
      <c r="E108" s="4"/>
      <c r="F108" s="4"/>
      <c r="G108" s="4"/>
      <c r="H108" s="4"/>
      <c r="I108" s="4"/>
      <c r="J108" s="4"/>
      <c r="K108" s="17"/>
      <c r="L108" s="6"/>
      <c r="M108" s="21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D108" s="6">
        <f>IF((D106&lt;&gt;"")*(D110=""),IF((D106&lt;=$B$442)*((D107&gt;=$C$442)+(D107&lt;2/24)),1,0),0)</f>
        <v>0</v>
      </c>
      <c r="AE108" s="6">
        <f>IF((E106&lt;&gt;"")*(E110=""),IF((E106&lt;=$B$442)*((E107&gt;=$C$442)+(E107&lt;2/24)),1,0),0)</f>
        <v>0</v>
      </c>
      <c r="AF108" s="6">
        <f>IF((F106&lt;&gt;"")*(F110=""),IF((F106&lt;=$B$442)*((F107&gt;=$C$442)+(F107&lt;2/24)),1,0),0)</f>
        <v>0</v>
      </c>
      <c r="AG108" s="6">
        <f>IF((G106&lt;&gt;"")*(G110=""),IF((G106&lt;=$B$442)*((G107&gt;=$C$442)+(G107&lt;2/24)),1,0),0)</f>
        <v>0</v>
      </c>
      <c r="AH108" s="6">
        <f>IF((H106&lt;&gt;"")*(H110=""),IF((H106&lt;=$B$442)*((H107&gt;=$C$442)+(H107&lt;2/24)),1,0),0)</f>
        <v>0</v>
      </c>
      <c r="AI108" s="6">
        <f>IF((I106&lt;&gt;"")*(I110=""),IF((I106&lt;=$B$442)*((I107&gt;=$C$442)+(I107&lt;2/24)),1,0),0)</f>
        <v>0</v>
      </c>
      <c r="AJ108" s="6">
        <f>IF((J106&lt;&gt;"")*(J110=""),IF((J106&lt;=$B$442)*((J107&gt;=$C$442)+(J107&lt;2/24)),1,0),0)</f>
        <v>0</v>
      </c>
    </row>
    <row r="109" spans="1:36" ht="13.5" hidden="1" thickBot="1" x14ac:dyDescent="0.25">
      <c r="A109" s="39"/>
      <c r="B109" s="40"/>
      <c r="C109" s="15" t="s">
        <v>3</v>
      </c>
      <c r="D109" s="43"/>
      <c r="E109" s="43"/>
      <c r="F109" s="43"/>
      <c r="G109" s="43"/>
      <c r="H109" s="43"/>
      <c r="I109" s="43"/>
      <c r="J109" s="44"/>
      <c r="K109" s="18">
        <f>SUMIF(D110:J110,"",D109:J109)</f>
        <v>0</v>
      </c>
      <c r="L109" s="12">
        <f>SUM(D109:J109)</f>
        <v>0</v>
      </c>
      <c r="M109" s="24"/>
      <c r="N109" s="10">
        <f t="shared" ref="N109:T109" si="82">IF(D110="",D109,0)</f>
        <v>0</v>
      </c>
      <c r="O109" s="10">
        <f t="shared" si="82"/>
        <v>0</v>
      </c>
      <c r="P109" s="10">
        <f t="shared" si="82"/>
        <v>0</v>
      </c>
      <c r="Q109" s="10">
        <f t="shared" si="82"/>
        <v>0</v>
      </c>
      <c r="R109" s="10">
        <f t="shared" si="82"/>
        <v>0</v>
      </c>
      <c r="S109" s="10">
        <f t="shared" si="82"/>
        <v>0</v>
      </c>
      <c r="T109" s="10">
        <f t="shared" si="82"/>
        <v>0</v>
      </c>
      <c r="U109" s="10"/>
      <c r="V109" s="10">
        <f t="shared" ref="V109:AB109" si="83">D109</f>
        <v>0</v>
      </c>
      <c r="W109" s="10">
        <f t="shared" si="83"/>
        <v>0</v>
      </c>
      <c r="X109" s="10">
        <f t="shared" si="83"/>
        <v>0</v>
      </c>
      <c r="Y109" s="10">
        <f t="shared" si="83"/>
        <v>0</v>
      </c>
      <c r="Z109" s="10">
        <f t="shared" si="83"/>
        <v>0</v>
      </c>
      <c r="AA109" s="10">
        <f t="shared" si="83"/>
        <v>0</v>
      </c>
      <c r="AB109" s="10">
        <f t="shared" si="83"/>
        <v>0</v>
      </c>
      <c r="AD109" s="6">
        <f>IF((D106&lt;&gt;"")*(D110=""),IF((D106&lt;=$B$443)*((D107&gt;=$C$443)+(D107&lt;2/24)),1,0),0)</f>
        <v>0</v>
      </c>
      <c r="AE109" s="6">
        <f>IF((E106&lt;&gt;"")*(E110=""),IF((E106&lt;=$B$443)*((E107&gt;=$C$443)+(E107&lt;2/24)),1,0),0)</f>
        <v>0</v>
      </c>
      <c r="AF109" s="6">
        <f>IF((F106&lt;&gt;"")*(F110=""),IF((F106&lt;=$B$443)*((F107&gt;=$C$443)+(F107&lt;2/24)),1,0),0)</f>
        <v>0</v>
      </c>
      <c r="AG109" s="6">
        <f>IF((G106&lt;&gt;"")*(G110=""),IF((G106&lt;=$B$443)*((G107&gt;=$C$443)+(G107&lt;2/24)),1,0),0)</f>
        <v>0</v>
      </c>
      <c r="AH109" s="6">
        <f>IF((H106&lt;&gt;"")*(H110=""),IF((H106&lt;=$B$443)*((H107&gt;=$C$443)+(H107&lt;2/24)),1,0),0)</f>
        <v>0</v>
      </c>
      <c r="AI109" s="6">
        <f>IF((I106&lt;&gt;"")*(I110=""),IF((I106&lt;=$B$443)*((I107&gt;=$C$443)+(I107&lt;2/24)),1,0),0)</f>
        <v>0</v>
      </c>
      <c r="AJ109" s="6">
        <f>IF((J106&lt;&gt;"")*(J110=""),IF((J106&lt;=$B$443)*((J107&gt;=$C$443)+(J107&lt;2/24)),1,0),0)</f>
        <v>0</v>
      </c>
    </row>
    <row r="110" spans="1:36" ht="13.5" hidden="1" thickBot="1" x14ac:dyDescent="0.25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  <c r="N110" s="6"/>
      <c r="O110" s="6"/>
      <c r="P110" s="6"/>
      <c r="Q110" s="6"/>
      <c r="R110" s="6"/>
      <c r="S110" s="6"/>
      <c r="T110" s="6"/>
      <c r="U110" s="6"/>
      <c r="V110" s="20"/>
      <c r="W110" s="20"/>
      <c r="X110" s="20"/>
      <c r="Y110" s="20"/>
      <c r="Z110" s="20"/>
      <c r="AA110" s="20"/>
      <c r="AB110" s="20"/>
      <c r="AD110" s="6">
        <f>IF((D106&lt;&gt;"")*(D110=""),IF((D106&lt;=$B$444)*((D107&gt;=$C$444)+(D107&lt;2/24)),1,0),0)</f>
        <v>0</v>
      </c>
      <c r="AE110" s="6">
        <f>IF((E106&lt;&gt;"")*(E110=""),IF((E106&lt;=$B$444)*((E107&gt;=$C$444)+(E107&lt;2/24)),1,0),0)</f>
        <v>0</v>
      </c>
      <c r="AF110" s="6">
        <f>IF((F106&lt;&gt;"")*(F110=""),IF((F106&lt;=$B$444)*((F107&gt;=$C$444)+(F107&lt;2/24)),1,0),0)</f>
        <v>0</v>
      </c>
      <c r="AG110" s="6">
        <f>IF((G106&lt;&gt;"")*(G110=""),IF((G106&lt;=$B$444)*((G107&gt;=$C$444)+(G107&lt;2/24)),1,0),0)</f>
        <v>0</v>
      </c>
      <c r="AH110" s="6">
        <f>IF((H106&lt;&gt;"")*(H110=""),IF((H106&lt;=$B$444)*((H107&gt;=$C$444)+(H107&lt;2/24)),1,0),0)</f>
        <v>0</v>
      </c>
      <c r="AI110" s="6">
        <f>IF((I106&lt;&gt;"")*(I110=""),IF((I106&lt;=$B$444)*((I107&gt;=$C$444)+(I107&lt;2/24)),1,0),0)</f>
        <v>0</v>
      </c>
      <c r="AJ110" s="6">
        <f>IF((J106&lt;&gt;"")*(J110=""),IF((J106&lt;=$B$444)*((J107&gt;=$C$444)+(J107&lt;2/24)),1,0),0)</f>
        <v>0</v>
      </c>
    </row>
    <row r="111" spans="1:36" ht="13.5" hidden="1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  <c r="L111" s="6"/>
      <c r="M111" s="25"/>
      <c r="N111" s="6"/>
      <c r="O111" s="6"/>
      <c r="P111" s="6"/>
      <c r="Q111" s="6"/>
      <c r="R111" s="6"/>
      <c r="S111" s="6"/>
      <c r="T111" s="6"/>
      <c r="U111" s="6"/>
      <c r="V111" s="20"/>
      <c r="W111" s="20"/>
      <c r="X111" s="20"/>
      <c r="Y111" s="20"/>
      <c r="Z111" s="20"/>
      <c r="AA111" s="20"/>
      <c r="AB111" s="20"/>
      <c r="AD111" s="6"/>
      <c r="AE111" s="6"/>
      <c r="AF111" s="6"/>
      <c r="AG111" s="6"/>
      <c r="AH111" s="6"/>
      <c r="AI111" s="6"/>
      <c r="AJ111" s="6"/>
    </row>
    <row r="112" spans="1:36" ht="13.5" hidden="1" thickBot="1" x14ac:dyDescent="0.25">
      <c r="A112" s="37" t="s">
        <v>29</v>
      </c>
      <c r="B112" s="38" t="s">
        <v>30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D112" s="6">
        <f>IF((D112&lt;&gt;"")*(D116=""),IF((D112&lt;=$B$440)*((D113&gt;=$C$440)+(D113&lt;2/24)),1,0),0)</f>
        <v>0</v>
      </c>
      <c r="AE112" s="6">
        <f>IF((E112&lt;&gt;"")*(E116=""),IF((E112&lt;=$B$440)*((E113&gt;=$C$440)+(E113&lt;2/24)),1,0),0)</f>
        <v>0</v>
      </c>
      <c r="AF112" s="6">
        <f>IF((F112&lt;&gt;"")*(F116=""),IF((F112&lt;=$B$440)*((F113&gt;=$C$440)+(F113&lt;2/24)),1,0),0)</f>
        <v>0</v>
      </c>
      <c r="AG112" s="6">
        <f>IF((G112&lt;&gt;"")*(G116=""),IF((G112&lt;=$B$440)*((G113&gt;=$C$440)+(G113&lt;2/24)),1,0),0)</f>
        <v>0</v>
      </c>
      <c r="AH112" s="6">
        <f>IF((H112&lt;&gt;"")*(H116=""),IF((H112&lt;=$B$440)*((H113&gt;=$C$440)+(H113&lt;2/24)),1,0),0)</f>
        <v>0</v>
      </c>
      <c r="AI112" s="6">
        <f>IF((I112&lt;&gt;"")*(I116=""),IF((I112&lt;=$B$440)*((I113&gt;=$C$440)+(I113&lt;2/24)),1,0),0)</f>
        <v>0</v>
      </c>
      <c r="AJ112" s="6">
        <f>IF((J112&lt;&gt;"")*(J116=""),IF((J112&lt;=$B$440)*((J113&gt;=$C$440)+(J113&lt;2/24)),1,0),0)</f>
        <v>0</v>
      </c>
    </row>
    <row r="113" spans="1:36" ht="13.5" hidden="1" thickBot="1" x14ac:dyDescent="0.25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D113" s="6">
        <f>IF((D112&lt;&gt;"")*(D116=""),IF((D112&lt;=$B$441)*((D113&gt;=$C$441)+(D113&lt;2/24)),1,0),0)</f>
        <v>0</v>
      </c>
      <c r="AE113" s="6">
        <f>IF((E112&lt;&gt;"")*(E116=""),IF((E112&lt;=$B$441)*((E113&gt;=$C$441)+(E113&lt;2/24)),1,0),0)</f>
        <v>0</v>
      </c>
      <c r="AF113" s="6">
        <f>IF((F112&lt;&gt;"")*(F116=""),IF((F112&lt;=$B$441)*((F113&gt;=$C$441)+(F113&lt;2/24)),1,0),0)</f>
        <v>0</v>
      </c>
      <c r="AG113" s="6">
        <f>IF((G112&lt;&gt;"")*(G116=""),IF((G112&lt;=$B$441)*((G113&gt;=$C$441)+(G113&lt;2/24)),1,0),0)</f>
        <v>0</v>
      </c>
      <c r="AH113" s="6">
        <f>IF((H112&lt;&gt;"")*(H116=""),IF((H112&lt;=$B$441)*((H113&gt;=$C$441)+(H113&lt;2/24)),1,0),0)</f>
        <v>0</v>
      </c>
      <c r="AI113" s="6">
        <f>IF((I112&lt;&gt;"")*(I116=""),IF((I112&lt;=$B$441)*((I113&gt;=$C$441)+(I113&lt;2/24)),1,0),0)</f>
        <v>0</v>
      </c>
      <c r="AJ113" s="6">
        <f>IF((J112&lt;&gt;"")*(J116=""),IF((J112&lt;=$B$441)*((J113&gt;=$C$441)+(J113&lt;2/24)),1,0),0)</f>
        <v>0</v>
      </c>
    </row>
    <row r="114" spans="1:36" ht="13.5" hidden="1" thickBot="1" x14ac:dyDescent="0.25">
      <c r="A114" s="39"/>
      <c r="B114" s="40"/>
      <c r="C114" s="15" t="s">
        <v>2</v>
      </c>
      <c r="D114" s="4"/>
      <c r="E114" s="4"/>
      <c r="F114" s="4"/>
      <c r="G114" s="4"/>
      <c r="H114" s="4"/>
      <c r="I114" s="4"/>
      <c r="J114" s="4"/>
      <c r="K114" s="17"/>
      <c r="L114" s="6"/>
      <c r="M114" s="21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D114" s="6">
        <f>IF((D112&lt;&gt;"")*(D116=""),IF((D112&lt;=$B$442)*((D113&gt;=$C$442)+(D113&lt;2/24)),1,0),0)</f>
        <v>0</v>
      </c>
      <c r="AE114" s="6">
        <f>IF((E112&lt;&gt;"")*(E116=""),IF((E112&lt;=$B$442)*((E113&gt;=$C$442)+(E113&lt;2/24)),1,0),0)</f>
        <v>0</v>
      </c>
      <c r="AF114" s="6">
        <f>IF((F112&lt;&gt;"")*(F116=""),IF((F112&lt;=$B$442)*((F113&gt;=$C$442)+(F113&lt;2/24)),1,0),0)</f>
        <v>0</v>
      </c>
      <c r="AG114" s="6">
        <f>IF((G112&lt;&gt;"")*(G116=""),IF((G112&lt;=$B$442)*((G113&gt;=$C$442)+(G113&lt;2/24)),1,0),0)</f>
        <v>0</v>
      </c>
      <c r="AH114" s="6">
        <f>IF((H112&lt;&gt;"")*(H116=""),IF((H112&lt;=$B$442)*((H113&gt;=$C$442)+(H113&lt;2/24)),1,0),0)</f>
        <v>0</v>
      </c>
      <c r="AI114" s="6">
        <f>IF((I112&lt;&gt;"")*(I116=""),IF((I112&lt;=$B$442)*((I113&gt;=$C$442)+(I113&lt;2/24)),1,0),0)</f>
        <v>0</v>
      </c>
      <c r="AJ114" s="6">
        <f>IF((J112&lt;&gt;"")*(J116=""),IF((J112&lt;=$B$442)*((J113&gt;=$C$442)+(J113&lt;2/24)),1,0),0)</f>
        <v>0</v>
      </c>
    </row>
    <row r="115" spans="1:36" ht="13.5" hidden="1" thickBot="1" x14ac:dyDescent="0.25">
      <c r="A115" s="39"/>
      <c r="B115" s="40"/>
      <c r="C115" s="15" t="s">
        <v>3</v>
      </c>
      <c r="D115" s="43"/>
      <c r="E115" s="43"/>
      <c r="F115" s="43"/>
      <c r="G115" s="43"/>
      <c r="H115" s="43"/>
      <c r="I115" s="43"/>
      <c r="J115" s="44"/>
      <c r="K115" s="18">
        <f>SUMIF(D116:J116,"",D115:J115)</f>
        <v>0</v>
      </c>
      <c r="L115" s="12">
        <f>SUM(D115:J115)</f>
        <v>0</v>
      </c>
      <c r="M115" s="24"/>
      <c r="N115" s="10">
        <f t="shared" ref="N115:T115" si="84">IF(D116="",D115,0)</f>
        <v>0</v>
      </c>
      <c r="O115" s="10">
        <f t="shared" si="84"/>
        <v>0</v>
      </c>
      <c r="P115" s="10">
        <f t="shared" si="84"/>
        <v>0</v>
      </c>
      <c r="Q115" s="10">
        <f t="shared" si="84"/>
        <v>0</v>
      </c>
      <c r="R115" s="10">
        <f t="shared" si="84"/>
        <v>0</v>
      </c>
      <c r="S115" s="10">
        <f t="shared" si="84"/>
        <v>0</v>
      </c>
      <c r="T115" s="10">
        <f t="shared" si="84"/>
        <v>0</v>
      </c>
      <c r="U115" s="10"/>
      <c r="V115" s="10">
        <f t="shared" ref="V115:AB115" si="85">D115</f>
        <v>0</v>
      </c>
      <c r="W115" s="10">
        <f t="shared" si="85"/>
        <v>0</v>
      </c>
      <c r="X115" s="10">
        <f t="shared" si="85"/>
        <v>0</v>
      </c>
      <c r="Y115" s="10">
        <f t="shared" si="85"/>
        <v>0</v>
      </c>
      <c r="Z115" s="10">
        <f t="shared" si="85"/>
        <v>0</v>
      </c>
      <c r="AA115" s="10">
        <f t="shared" si="85"/>
        <v>0</v>
      </c>
      <c r="AB115" s="10">
        <f t="shared" si="85"/>
        <v>0</v>
      </c>
      <c r="AD115" s="6">
        <f>IF((D112&lt;&gt;"")*(D116=""),IF((D112&lt;=$B$443)*((D113&gt;=$C$443)+(D113&lt;2/24)),1,0),0)</f>
        <v>0</v>
      </c>
      <c r="AE115" s="6">
        <f>IF((E112&lt;&gt;"")*(E116=""),IF((E112&lt;=$B$443)*((E113&gt;=$C$443)+(E113&lt;2/24)),1,0),0)</f>
        <v>0</v>
      </c>
      <c r="AF115" s="6">
        <f>IF((F112&lt;&gt;"")*(F116=""),IF((F112&lt;=$B$443)*((F113&gt;=$C$443)+(F113&lt;2/24)),1,0),0)</f>
        <v>0</v>
      </c>
      <c r="AG115" s="6">
        <f>IF((G112&lt;&gt;"")*(G116=""),IF((G112&lt;=$B$443)*((G113&gt;=$C$443)+(G113&lt;2/24)),1,0),0)</f>
        <v>0</v>
      </c>
      <c r="AH115" s="6">
        <f>IF((H112&lt;&gt;"")*(H116=""),IF((H112&lt;=$B$443)*((H113&gt;=$C$443)+(H113&lt;2/24)),1,0),0)</f>
        <v>0</v>
      </c>
      <c r="AI115" s="6">
        <f>IF((I112&lt;&gt;"")*(I116=""),IF((I112&lt;=$B$443)*((I113&gt;=$C$443)+(I113&lt;2/24)),1,0),0)</f>
        <v>0</v>
      </c>
      <c r="AJ115" s="6">
        <f>IF((J112&lt;&gt;"")*(J116=""),IF((J112&lt;=$B$443)*((J113&gt;=$C$443)+(J113&lt;2/24)),1,0),0)</f>
        <v>0</v>
      </c>
    </row>
    <row r="116" spans="1:36" ht="13.5" hidden="1" thickBot="1" x14ac:dyDescent="0.25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  <c r="N116" s="6"/>
      <c r="O116" s="6"/>
      <c r="P116" s="6"/>
      <c r="Q116" s="6"/>
      <c r="R116" s="6"/>
      <c r="S116" s="6"/>
      <c r="T116" s="6"/>
      <c r="U116" s="6"/>
      <c r="V116" s="20"/>
      <c r="W116" s="20"/>
      <c r="X116" s="20"/>
      <c r="Y116" s="20"/>
      <c r="Z116" s="20"/>
      <c r="AA116" s="20"/>
      <c r="AB116" s="20"/>
      <c r="AD116" s="6">
        <f>IF((D112&lt;&gt;"")*(D116=""),IF((D112&lt;=$B$444)*((D113&gt;=$C$444)+(D113&lt;2/24)),1,0),0)</f>
        <v>0</v>
      </c>
      <c r="AE116" s="6">
        <f>IF((E112&lt;&gt;"")*(E116=""),IF((E112&lt;=$B$444)*((E113&gt;=$C$444)+(E113&lt;2/24)),1,0),0)</f>
        <v>0</v>
      </c>
      <c r="AF116" s="6">
        <f>IF((F112&lt;&gt;"")*(F116=""),IF((F112&lt;=$B$444)*((F113&gt;=$C$444)+(F113&lt;2/24)),1,0),0)</f>
        <v>0</v>
      </c>
      <c r="AG116" s="6">
        <f>IF((G112&lt;&gt;"")*(G116=""),IF((G112&lt;=$B$444)*((G113&gt;=$C$444)+(G113&lt;2/24)),1,0),0)</f>
        <v>0</v>
      </c>
      <c r="AH116" s="6">
        <f>IF((H112&lt;&gt;"")*(H116=""),IF((H112&lt;=$B$444)*((H113&gt;=$C$444)+(H113&lt;2/24)),1,0),0)</f>
        <v>0</v>
      </c>
      <c r="AI116" s="6">
        <f>IF((I112&lt;&gt;"")*(I116=""),IF((I112&lt;=$B$444)*((I113&gt;=$C$444)+(I113&lt;2/24)),1,0),0)</f>
        <v>0</v>
      </c>
      <c r="AJ116" s="6">
        <f>IF((J112&lt;&gt;"")*(J116=""),IF((J112&lt;=$B$444)*((J113&gt;=$C$444)+(J113&lt;2/24)),1,0),0)</f>
        <v>0</v>
      </c>
    </row>
    <row r="117" spans="1:36" ht="13.5" hidden="1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  <c r="N117" s="6"/>
      <c r="O117" s="6"/>
      <c r="P117" s="6"/>
      <c r="Q117" s="6"/>
      <c r="R117" s="6"/>
      <c r="S117" s="6"/>
      <c r="T117" s="6"/>
      <c r="U117" s="6"/>
      <c r="V117" s="20"/>
      <c r="W117" s="20"/>
      <c r="X117" s="20"/>
      <c r="Y117" s="20"/>
      <c r="Z117" s="20"/>
      <c r="AA117" s="20"/>
      <c r="AB117" s="20"/>
      <c r="AD117" s="6"/>
      <c r="AE117" s="6"/>
      <c r="AF117" s="6"/>
      <c r="AG117" s="6"/>
      <c r="AH117" s="6"/>
      <c r="AI117" s="6"/>
      <c r="AJ117" s="6"/>
    </row>
    <row r="118" spans="1:36" ht="13.5" hidden="1" thickBot="1" x14ac:dyDescent="0.25">
      <c r="A118" s="37" t="s">
        <v>29</v>
      </c>
      <c r="B118" s="38" t="s">
        <v>30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  <c r="L118" s="6"/>
      <c r="M118" s="21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D118" s="6">
        <f>IF((D118&lt;&gt;"")*(D122=""),IF((D118&lt;=$B$440)*((D119&gt;=$C$440)+(D119&lt;2/24)),1,0),0)</f>
        <v>0</v>
      </c>
      <c r="AE118" s="6">
        <f>IF((E118&lt;&gt;"")*(E122=""),IF((E118&lt;=$B$440)*((E119&gt;=$C$440)+(E119&lt;2/24)),1,0),0)</f>
        <v>0</v>
      </c>
      <c r="AF118" s="6">
        <f>IF((F118&lt;&gt;"")*(F122=""),IF((F118&lt;=$B$440)*((F119&gt;=$C$440)+(F119&lt;2/24)),1,0),0)</f>
        <v>0</v>
      </c>
      <c r="AG118" s="6">
        <f>IF((G118&lt;&gt;"")*(G122=""),IF((G118&lt;=$B$440)*((G119&gt;=$C$440)+(G119&lt;2/24)),1,0),0)</f>
        <v>0</v>
      </c>
      <c r="AH118" s="6">
        <f>IF((H118&lt;&gt;"")*(H122=""),IF((H118&lt;=$B$440)*((H119&gt;=$C$440)+(H119&lt;2/24)),1,0),0)</f>
        <v>0</v>
      </c>
      <c r="AI118" s="6">
        <f>IF((I118&lt;&gt;"")*(I122=""),IF((I118&lt;=$B$440)*((I119&gt;=$C$440)+(I119&lt;2/24)),1,0),0)</f>
        <v>0</v>
      </c>
      <c r="AJ118" s="6">
        <f>IF((J118&lt;&gt;"")*(J122=""),IF((J118&lt;=$B$440)*((J119&gt;=$C$440)+(J119&lt;2/24)),1,0),0)</f>
        <v>0</v>
      </c>
    </row>
    <row r="119" spans="1:36" ht="13.5" hidden="1" thickBot="1" x14ac:dyDescent="0.25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  <c r="L119" s="6"/>
      <c r="M119" s="21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D119" s="6">
        <f>IF((D118&lt;&gt;"")*(D122=""),IF((D118&lt;=$B$441)*((D119&gt;=$C$441)+(D119&lt;2/24)),1,0),0)</f>
        <v>0</v>
      </c>
      <c r="AE119" s="6">
        <f>IF((E118&lt;&gt;"")*(E122=""),IF((E118&lt;=$B$441)*((E119&gt;=$C$441)+(E119&lt;2/24)),1,0),0)</f>
        <v>0</v>
      </c>
      <c r="AF119" s="6">
        <f>IF((F118&lt;&gt;"")*(F122=""),IF((F118&lt;=$B$441)*((F119&gt;=$C$441)+(F119&lt;2/24)),1,0),0)</f>
        <v>0</v>
      </c>
      <c r="AG119" s="6">
        <f>IF((G118&lt;&gt;"")*(G122=""),IF((G118&lt;=$B$441)*((G119&gt;=$C$441)+(G119&lt;2/24)),1,0),0)</f>
        <v>0</v>
      </c>
      <c r="AH119" s="6">
        <f>IF((H118&lt;&gt;"")*(H122=""),IF((H118&lt;=$B$441)*((H119&gt;=$C$441)+(H119&lt;2/24)),1,0),0)</f>
        <v>0</v>
      </c>
      <c r="AI119" s="6">
        <f>IF((I118&lt;&gt;"")*(I122=""),IF((I118&lt;=$B$441)*((I119&gt;=$C$441)+(I119&lt;2/24)),1,0),0)</f>
        <v>0</v>
      </c>
      <c r="AJ119" s="6">
        <f>IF((J118&lt;&gt;"")*(J122=""),IF((J118&lt;=$B$441)*((J119&gt;=$C$441)+(J119&lt;2/24)),1,0),0)</f>
        <v>0</v>
      </c>
    </row>
    <row r="120" spans="1:36" ht="13.5" hidden="1" thickBot="1" x14ac:dyDescent="0.25">
      <c r="A120" s="39"/>
      <c r="B120" s="40"/>
      <c r="C120" s="15" t="s">
        <v>2</v>
      </c>
      <c r="D120" s="4"/>
      <c r="E120" s="4"/>
      <c r="F120" s="4"/>
      <c r="G120" s="4"/>
      <c r="H120" s="4"/>
      <c r="I120" s="4"/>
      <c r="J120" s="4"/>
      <c r="K120" s="17"/>
      <c r="L120" s="6"/>
      <c r="M120" s="21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D120" s="6">
        <f>IF((D118&lt;&gt;"")*(D122=""),IF((D118&lt;=$B$442)*((D119&gt;=$C$442)+(D119&lt;2/24)),1,0),0)</f>
        <v>0</v>
      </c>
      <c r="AE120" s="6">
        <f>IF((E118&lt;&gt;"")*(E122=""),IF((E118&lt;=$B$442)*((E119&gt;=$C$442)+(E119&lt;2/24)),1,0),0)</f>
        <v>0</v>
      </c>
      <c r="AF120" s="6">
        <f>IF((F118&lt;&gt;"")*(F122=""),IF((F118&lt;=$B$442)*((F119&gt;=$C$442)+(F119&lt;2/24)),1,0),0)</f>
        <v>0</v>
      </c>
      <c r="AG120" s="6">
        <f>IF((G118&lt;&gt;"")*(G122=""),IF((G118&lt;=$B$442)*((G119&gt;=$C$442)+(G119&lt;2/24)),1,0),0)</f>
        <v>0</v>
      </c>
      <c r="AH120" s="6">
        <f>IF((H118&lt;&gt;"")*(H122=""),IF((H118&lt;=$B$442)*((H119&gt;=$C$442)+(H119&lt;2/24)),1,0),0)</f>
        <v>0</v>
      </c>
      <c r="AI120" s="6">
        <f>IF((I118&lt;&gt;"")*(I122=""),IF((I118&lt;=$B$442)*((I119&gt;=$C$442)+(I119&lt;2/24)),1,0),0)</f>
        <v>0</v>
      </c>
      <c r="AJ120" s="6">
        <f>IF((J118&lt;&gt;"")*(J122=""),IF((J118&lt;=$B$442)*((J119&gt;=$C$442)+(J119&lt;2/24)),1,0),0)</f>
        <v>0</v>
      </c>
    </row>
    <row r="121" spans="1:36" ht="13.5" hidden="1" thickBot="1" x14ac:dyDescent="0.25">
      <c r="A121" s="39"/>
      <c r="B121" s="40"/>
      <c r="C121" s="15" t="s">
        <v>3</v>
      </c>
      <c r="D121" s="43"/>
      <c r="E121" s="43"/>
      <c r="F121" s="43"/>
      <c r="G121" s="43"/>
      <c r="H121" s="43"/>
      <c r="I121" s="43"/>
      <c r="J121" s="44"/>
      <c r="K121" s="18">
        <f>SUMIF(D122:J122,"",D121:J121)</f>
        <v>0</v>
      </c>
      <c r="L121" s="12">
        <f>SUM(D121:J121)</f>
        <v>0</v>
      </c>
      <c r="M121" s="24"/>
      <c r="N121" s="10">
        <f t="shared" ref="N121:T121" si="86">IF(D122="",D121,0)</f>
        <v>0</v>
      </c>
      <c r="O121" s="10">
        <f t="shared" si="86"/>
        <v>0</v>
      </c>
      <c r="P121" s="10">
        <f t="shared" si="86"/>
        <v>0</v>
      </c>
      <c r="Q121" s="10">
        <f t="shared" si="86"/>
        <v>0</v>
      </c>
      <c r="R121" s="10">
        <f t="shared" si="86"/>
        <v>0</v>
      </c>
      <c r="S121" s="10">
        <f t="shared" si="86"/>
        <v>0</v>
      </c>
      <c r="T121" s="10">
        <f t="shared" si="86"/>
        <v>0</v>
      </c>
      <c r="U121" s="10"/>
      <c r="V121" s="10">
        <f t="shared" ref="V121:AB121" si="87">D121</f>
        <v>0</v>
      </c>
      <c r="W121" s="10">
        <f t="shared" si="87"/>
        <v>0</v>
      </c>
      <c r="X121" s="10">
        <f t="shared" si="87"/>
        <v>0</v>
      </c>
      <c r="Y121" s="10">
        <f t="shared" si="87"/>
        <v>0</v>
      </c>
      <c r="Z121" s="10">
        <f t="shared" si="87"/>
        <v>0</v>
      </c>
      <c r="AA121" s="10">
        <f t="shared" si="87"/>
        <v>0</v>
      </c>
      <c r="AB121" s="10">
        <f t="shared" si="87"/>
        <v>0</v>
      </c>
      <c r="AD121" s="6">
        <f>IF((D118&lt;&gt;"")*(D122=""),IF((D118&lt;=$B$443)*((D119&gt;=$C$443)+(D119&lt;2/24)),1,0),0)</f>
        <v>0</v>
      </c>
      <c r="AE121" s="6">
        <f>IF((E118&lt;&gt;"")*(E122=""),IF((E118&lt;=$B$443)*((E119&gt;=$C$443)+(E119&lt;2/24)),1,0),0)</f>
        <v>0</v>
      </c>
      <c r="AF121" s="6">
        <f>IF((F118&lt;&gt;"")*(F122=""),IF((F118&lt;=$B$443)*((F119&gt;=$C$443)+(F119&lt;2/24)),1,0),0)</f>
        <v>0</v>
      </c>
      <c r="AG121" s="6">
        <f>IF((G118&lt;&gt;"")*(G122=""),IF((G118&lt;=$B$443)*((G119&gt;=$C$443)+(G119&lt;2/24)),1,0),0)</f>
        <v>0</v>
      </c>
      <c r="AH121" s="6">
        <f>IF((H118&lt;&gt;"")*(H122=""),IF((H118&lt;=$B$443)*((H119&gt;=$C$443)+(H119&lt;2/24)),1,0),0)</f>
        <v>0</v>
      </c>
      <c r="AI121" s="6">
        <f>IF((I118&lt;&gt;"")*(I122=""),IF((I118&lt;=$B$443)*((I119&gt;=$C$443)+(I119&lt;2/24)),1,0),0)</f>
        <v>0</v>
      </c>
      <c r="AJ121" s="6">
        <f>IF((J118&lt;&gt;"")*(J122=""),IF((J118&lt;=$B$443)*((J119&gt;=$C$443)+(J119&lt;2/24)),1,0),0)</f>
        <v>0</v>
      </c>
    </row>
    <row r="122" spans="1:36" ht="13.5" hidden="1" thickBot="1" x14ac:dyDescent="0.25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  <c r="N122" s="6"/>
      <c r="O122" s="6"/>
      <c r="P122" s="6"/>
      <c r="Q122" s="6"/>
      <c r="R122" s="6"/>
      <c r="S122" s="6"/>
      <c r="T122" s="6"/>
      <c r="U122" s="6"/>
      <c r="V122" s="20"/>
      <c r="W122" s="20"/>
      <c r="X122" s="20"/>
      <c r="Y122" s="20"/>
      <c r="Z122" s="20"/>
      <c r="AA122" s="20"/>
      <c r="AB122" s="20"/>
      <c r="AD122" s="6">
        <f>IF((D118&lt;&gt;"")*(D122=""),IF((D118&lt;=$B$444)*((D119&gt;=$C$444)+(D119&lt;2/24)),1,0),0)</f>
        <v>0</v>
      </c>
      <c r="AE122" s="6">
        <f>IF((E118&lt;&gt;"")*(E122=""),IF((E118&lt;=$B$444)*((E119&gt;=$C$444)+(E119&lt;2/24)),1,0),0)</f>
        <v>0</v>
      </c>
      <c r="AF122" s="6">
        <f>IF((F118&lt;&gt;"")*(F122=""),IF((F118&lt;=$B$444)*((F119&gt;=$C$444)+(F119&lt;2/24)),1,0),0)</f>
        <v>0</v>
      </c>
      <c r="AG122" s="6">
        <f>IF((G118&lt;&gt;"")*(G122=""),IF((G118&lt;=$B$444)*((G119&gt;=$C$444)+(G119&lt;2/24)),1,0),0)</f>
        <v>0</v>
      </c>
      <c r="AH122" s="6">
        <f>IF((H118&lt;&gt;"")*(H122=""),IF((H118&lt;=$B$444)*((H119&gt;=$C$444)+(H119&lt;2/24)),1,0),0)</f>
        <v>0</v>
      </c>
      <c r="AI122" s="6">
        <f>IF((I118&lt;&gt;"")*(I122=""),IF((I118&lt;=$B$444)*((I119&gt;=$C$444)+(I119&lt;2/24)),1,0),0)</f>
        <v>0</v>
      </c>
      <c r="AJ122" s="6">
        <f>IF((J118&lt;&gt;"")*(J122=""),IF((J118&lt;=$B$444)*((J119&gt;=$C$444)+(J119&lt;2/24)),1,0),0)</f>
        <v>0</v>
      </c>
    </row>
    <row r="123" spans="1:36" ht="13.5" hidden="1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  <c r="L123" s="6"/>
      <c r="M123" s="25"/>
      <c r="N123" s="6"/>
      <c r="O123" s="6"/>
      <c r="P123" s="6"/>
      <c r="Q123" s="6"/>
      <c r="R123" s="6"/>
      <c r="S123" s="6"/>
      <c r="T123" s="6"/>
      <c r="U123" s="6"/>
      <c r="V123" s="20"/>
      <c r="W123" s="20"/>
      <c r="X123" s="20"/>
      <c r="Y123" s="20"/>
      <c r="Z123" s="20"/>
      <c r="AA123" s="20"/>
      <c r="AB123" s="20"/>
      <c r="AD123" s="6"/>
      <c r="AE123" s="6"/>
      <c r="AF123" s="6"/>
      <c r="AG123" s="6"/>
      <c r="AH123" s="6"/>
      <c r="AI123" s="6"/>
      <c r="AJ123" s="6"/>
    </row>
    <row r="124" spans="1:36" ht="13.5" hidden="1" thickBot="1" x14ac:dyDescent="0.25">
      <c r="A124" s="37" t="s">
        <v>29</v>
      </c>
      <c r="B124" s="38" t="s">
        <v>30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  <c r="L124" s="6"/>
      <c r="M124" s="21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D124" s="6">
        <f>IF((D124&lt;&gt;"")*(D128=""),IF((D124&lt;=$B$440)*((D125&gt;=$C$440)+(D125&lt;2/24)),1,0),0)</f>
        <v>0</v>
      </c>
      <c r="AE124" s="6">
        <f>IF((E124&lt;&gt;"")*(E128=""),IF((E124&lt;=$B$440)*((E125&gt;=$C$440)+(E125&lt;2/24)),1,0),0)</f>
        <v>0</v>
      </c>
      <c r="AF124" s="6">
        <f>IF((F124&lt;&gt;"")*(F128=""),IF((F124&lt;=$B$440)*((F125&gt;=$C$440)+(F125&lt;2/24)),1,0),0)</f>
        <v>0</v>
      </c>
      <c r="AG124" s="6">
        <f>IF((G124&lt;&gt;"")*(G128=""),IF((G124&lt;=$B$440)*((G125&gt;=$C$440)+(G125&lt;2/24)),1,0),0)</f>
        <v>0</v>
      </c>
      <c r="AH124" s="6">
        <f>IF((H124&lt;&gt;"")*(H128=""),IF((H124&lt;=$B$440)*((H125&gt;=$C$440)+(H125&lt;2/24)),1,0),0)</f>
        <v>0</v>
      </c>
      <c r="AI124" s="6">
        <f>IF((I124&lt;&gt;"")*(I128=""),IF((I124&lt;=$B$440)*((I125&gt;=$C$440)+(I125&lt;2/24)),1,0),0)</f>
        <v>0</v>
      </c>
      <c r="AJ124" s="6">
        <f>IF((J124&lt;&gt;"")*(J128=""),IF((J124&lt;=$B$440)*((J125&gt;=$C$440)+(J125&lt;2/24)),1,0),0)</f>
        <v>0</v>
      </c>
    </row>
    <row r="125" spans="1:36" ht="13.5" hidden="1" thickBot="1" x14ac:dyDescent="0.25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  <c r="L125" s="6"/>
      <c r="M125" s="21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D125" s="6">
        <f>IF((D124&lt;&gt;"")*(D128=""),IF((D124&lt;=$B$441)*((D125&gt;=$C$441)+(D125&lt;2/24)),1,0),0)</f>
        <v>0</v>
      </c>
      <c r="AE125" s="6">
        <f>IF((E124&lt;&gt;"")*(E128=""),IF((E124&lt;=$B$441)*((E125&gt;=$C$441)+(E125&lt;2/24)),1,0),0)</f>
        <v>0</v>
      </c>
      <c r="AF125" s="6">
        <f>IF((F124&lt;&gt;"")*(F128=""),IF((F124&lt;=$B$441)*((F125&gt;=$C$441)+(F125&lt;2/24)),1,0),0)</f>
        <v>0</v>
      </c>
      <c r="AG125" s="6">
        <f>IF((G124&lt;&gt;"")*(G128=""),IF((G124&lt;=$B$441)*((G125&gt;=$C$441)+(G125&lt;2/24)),1,0),0)</f>
        <v>0</v>
      </c>
      <c r="AH125" s="6">
        <f>IF((H124&lt;&gt;"")*(H128=""),IF((H124&lt;=$B$441)*((H125&gt;=$C$441)+(H125&lt;2/24)),1,0),0)</f>
        <v>0</v>
      </c>
      <c r="AI125" s="6">
        <f>IF((I124&lt;&gt;"")*(I128=""),IF((I124&lt;=$B$441)*((I125&gt;=$C$441)+(I125&lt;2/24)),1,0),0)</f>
        <v>0</v>
      </c>
      <c r="AJ125" s="6">
        <f>IF((J124&lt;&gt;"")*(J128=""),IF((J124&lt;=$B$441)*((J125&gt;=$C$441)+(J125&lt;2/24)),1,0),0)</f>
        <v>0</v>
      </c>
    </row>
    <row r="126" spans="1:36" ht="13.5" hidden="1" thickBot="1" x14ac:dyDescent="0.25">
      <c r="A126" s="39"/>
      <c r="B126" s="40"/>
      <c r="C126" s="15" t="s">
        <v>2</v>
      </c>
      <c r="D126" s="4"/>
      <c r="E126" s="4"/>
      <c r="F126" s="4"/>
      <c r="G126" s="4"/>
      <c r="H126" s="4"/>
      <c r="I126" s="4"/>
      <c r="J126" s="4"/>
      <c r="K126" s="17"/>
      <c r="L126" s="6"/>
      <c r="M126" s="21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D126" s="6">
        <f>IF((D124&lt;&gt;"")*(D128=""),IF((D124&lt;=$B$442)*((D125&gt;=$C$442)+(D125&lt;2/24)),1,0),0)</f>
        <v>0</v>
      </c>
      <c r="AE126" s="6">
        <f>IF((E124&lt;&gt;"")*(E128=""),IF((E124&lt;=$B$442)*((E125&gt;=$C$442)+(E125&lt;2/24)),1,0),0)</f>
        <v>0</v>
      </c>
      <c r="AF126" s="6">
        <f>IF((F124&lt;&gt;"")*(F128=""),IF((F124&lt;=$B$442)*((F125&gt;=$C$442)+(F125&lt;2/24)),1,0),0)</f>
        <v>0</v>
      </c>
      <c r="AG126" s="6">
        <f>IF((G124&lt;&gt;"")*(G128=""),IF((G124&lt;=$B$442)*((G125&gt;=$C$442)+(G125&lt;2/24)),1,0),0)</f>
        <v>0</v>
      </c>
      <c r="AH126" s="6">
        <f>IF((H124&lt;&gt;"")*(H128=""),IF((H124&lt;=$B$442)*((H125&gt;=$C$442)+(H125&lt;2/24)),1,0),0)</f>
        <v>0</v>
      </c>
      <c r="AI126" s="6">
        <f>IF((I124&lt;&gt;"")*(I128=""),IF((I124&lt;=$B$442)*((I125&gt;=$C$442)+(I125&lt;2/24)),1,0),0)</f>
        <v>0</v>
      </c>
      <c r="AJ126" s="6">
        <f>IF((J124&lt;&gt;"")*(J128=""),IF((J124&lt;=$B$442)*((J125&gt;=$C$442)+(J125&lt;2/24)),1,0),0)</f>
        <v>0</v>
      </c>
    </row>
    <row r="127" spans="1:36" ht="13.5" hidden="1" thickBot="1" x14ac:dyDescent="0.25">
      <c r="A127" s="39"/>
      <c r="B127" s="40"/>
      <c r="C127" s="15" t="s">
        <v>3</v>
      </c>
      <c r="D127" s="43"/>
      <c r="E127" s="43"/>
      <c r="F127" s="43"/>
      <c r="G127" s="43"/>
      <c r="H127" s="43"/>
      <c r="I127" s="43"/>
      <c r="J127" s="44"/>
      <c r="K127" s="18">
        <f>SUMIF(D128:J128,"",D127:J127)</f>
        <v>0</v>
      </c>
      <c r="L127" s="12">
        <f>SUM(D127:J127)</f>
        <v>0</v>
      </c>
      <c r="M127" s="24"/>
      <c r="N127" s="10">
        <f t="shared" ref="N127:T127" si="88">IF(D128="",D127,0)</f>
        <v>0</v>
      </c>
      <c r="O127" s="10">
        <f t="shared" si="88"/>
        <v>0</v>
      </c>
      <c r="P127" s="10">
        <f t="shared" si="88"/>
        <v>0</v>
      </c>
      <c r="Q127" s="10">
        <f t="shared" si="88"/>
        <v>0</v>
      </c>
      <c r="R127" s="10">
        <f t="shared" si="88"/>
        <v>0</v>
      </c>
      <c r="S127" s="10">
        <f t="shared" si="88"/>
        <v>0</v>
      </c>
      <c r="T127" s="10">
        <f t="shared" si="88"/>
        <v>0</v>
      </c>
      <c r="U127" s="10"/>
      <c r="V127" s="10">
        <f t="shared" ref="V127:AB127" si="89">D127</f>
        <v>0</v>
      </c>
      <c r="W127" s="10">
        <f t="shared" si="89"/>
        <v>0</v>
      </c>
      <c r="X127" s="10">
        <f t="shared" si="89"/>
        <v>0</v>
      </c>
      <c r="Y127" s="10">
        <f t="shared" si="89"/>
        <v>0</v>
      </c>
      <c r="Z127" s="10">
        <f t="shared" si="89"/>
        <v>0</v>
      </c>
      <c r="AA127" s="10">
        <f t="shared" si="89"/>
        <v>0</v>
      </c>
      <c r="AB127" s="10">
        <f t="shared" si="89"/>
        <v>0</v>
      </c>
      <c r="AD127" s="6">
        <f>IF((D124&lt;&gt;"")*(D128=""),IF((D124&lt;=$B$443)*((D125&gt;=$C$443)+(D125&lt;2/24)),1,0),0)</f>
        <v>0</v>
      </c>
      <c r="AE127" s="6">
        <f>IF((E124&lt;&gt;"")*(E128=""),IF((E124&lt;=$B$443)*((E125&gt;=$C$443)+(E125&lt;2/24)),1,0),0)</f>
        <v>0</v>
      </c>
      <c r="AF127" s="6">
        <f>IF((F124&lt;&gt;"")*(F128=""),IF((F124&lt;=$B$443)*((F125&gt;=$C$443)+(F125&lt;2/24)),1,0),0)</f>
        <v>0</v>
      </c>
      <c r="AG127" s="6">
        <f>IF((G124&lt;&gt;"")*(G128=""),IF((G124&lt;=$B$443)*((G125&gt;=$C$443)+(G125&lt;2/24)),1,0),0)</f>
        <v>0</v>
      </c>
      <c r="AH127" s="6">
        <f>IF((H124&lt;&gt;"")*(H128=""),IF((H124&lt;=$B$443)*((H125&gt;=$C$443)+(H125&lt;2/24)),1,0),0)</f>
        <v>0</v>
      </c>
      <c r="AI127" s="6">
        <f>IF((I124&lt;&gt;"")*(I128=""),IF((I124&lt;=$B$443)*((I125&gt;=$C$443)+(I125&lt;2/24)),1,0),0)</f>
        <v>0</v>
      </c>
      <c r="AJ127" s="6">
        <f>IF((J124&lt;&gt;"")*(J128=""),IF((J124&lt;=$B$443)*((J125&gt;=$C$443)+(J125&lt;2/24)),1,0),0)</f>
        <v>0</v>
      </c>
    </row>
    <row r="128" spans="1:36" ht="13.5" hidden="1" thickBot="1" x14ac:dyDescent="0.25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  <c r="N128" s="6"/>
      <c r="O128" s="6"/>
      <c r="P128" s="6"/>
      <c r="Q128" s="6"/>
      <c r="R128" s="6"/>
      <c r="S128" s="6"/>
      <c r="T128" s="6"/>
      <c r="U128" s="6"/>
      <c r="V128" s="20"/>
      <c r="W128" s="20"/>
      <c r="X128" s="20"/>
      <c r="Y128" s="20"/>
      <c r="Z128" s="20"/>
      <c r="AA128" s="20"/>
      <c r="AB128" s="20"/>
      <c r="AD128" s="6">
        <f>IF((D124&lt;&gt;"")*(D128=""),IF((D124&lt;=$B$444)*((D125&gt;=$C$444)+(D125&lt;2/24)),1,0),0)</f>
        <v>0</v>
      </c>
      <c r="AE128" s="6">
        <f>IF((E124&lt;&gt;"")*(E128=""),IF((E124&lt;=$B$444)*((E125&gt;=$C$444)+(E125&lt;2/24)),1,0),0)</f>
        <v>0</v>
      </c>
      <c r="AF128" s="6">
        <f>IF((F124&lt;&gt;"")*(F128=""),IF((F124&lt;=$B$444)*((F125&gt;=$C$444)+(F125&lt;2/24)),1,0),0)</f>
        <v>0</v>
      </c>
      <c r="AG128" s="6">
        <f>IF((G124&lt;&gt;"")*(G128=""),IF((G124&lt;=$B$444)*((G125&gt;=$C$444)+(G125&lt;2/24)),1,0),0)</f>
        <v>0</v>
      </c>
      <c r="AH128" s="6">
        <f>IF((H124&lt;&gt;"")*(H128=""),IF((H124&lt;=$B$444)*((H125&gt;=$C$444)+(H125&lt;2/24)),1,0),0)</f>
        <v>0</v>
      </c>
      <c r="AI128" s="6">
        <f>IF((I124&lt;&gt;"")*(I128=""),IF((I124&lt;=$B$444)*((I125&gt;=$C$444)+(I125&lt;2/24)),1,0),0)</f>
        <v>0</v>
      </c>
      <c r="AJ128" s="6">
        <f>IF((J124&lt;&gt;"")*(J128=""),IF((J124&lt;=$B$444)*((J125&gt;=$C$444)+(J125&lt;2/24)),1,0),0)</f>
        <v>0</v>
      </c>
    </row>
    <row r="129" spans="1:36" ht="13.5" hidden="1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  <c r="L129" s="6"/>
      <c r="M129" s="25"/>
      <c r="N129" s="6"/>
      <c r="O129" s="6"/>
      <c r="P129" s="6"/>
      <c r="Q129" s="6"/>
      <c r="R129" s="6"/>
      <c r="S129" s="6"/>
      <c r="T129" s="6"/>
      <c r="U129" s="6"/>
      <c r="V129" s="20"/>
      <c r="W129" s="20"/>
      <c r="X129" s="20"/>
      <c r="Y129" s="20"/>
      <c r="Z129" s="20"/>
      <c r="AA129" s="20"/>
      <c r="AB129" s="20"/>
      <c r="AD129" s="6"/>
      <c r="AE129" s="6"/>
      <c r="AF129" s="6"/>
      <c r="AG129" s="6"/>
      <c r="AH129" s="6"/>
      <c r="AI129" s="6"/>
      <c r="AJ129" s="6"/>
    </row>
    <row r="130" spans="1:36" ht="13.5" hidden="1" thickBot="1" x14ac:dyDescent="0.25">
      <c r="A130" s="37" t="s">
        <v>29</v>
      </c>
      <c r="B130" s="38" t="s">
        <v>30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D130" s="6">
        <f>IF((D130&lt;&gt;"")*(D134=""),IF((D130&lt;=$B$440)*((D131&gt;=$C$440)+(D131&lt;2/24)),1,0),0)</f>
        <v>0</v>
      </c>
      <c r="AE130" s="6">
        <f>IF((E130&lt;&gt;"")*(E134=""),IF((E130&lt;=$B$440)*((E131&gt;=$C$440)+(E131&lt;2/24)),1,0),0)</f>
        <v>0</v>
      </c>
      <c r="AF130" s="6">
        <f>IF((F130&lt;&gt;"")*(F134=""),IF((F130&lt;=$B$440)*((F131&gt;=$C$440)+(F131&lt;2/24)),1,0),0)</f>
        <v>0</v>
      </c>
      <c r="AG130" s="6">
        <f>IF((G130&lt;&gt;"")*(G134=""),IF((G130&lt;=$B$440)*((G131&gt;=$C$440)+(G131&lt;2/24)),1,0),0)</f>
        <v>0</v>
      </c>
      <c r="AH130" s="6">
        <f>IF((H130&lt;&gt;"")*(H134=""),IF((H130&lt;=$B$440)*((H131&gt;=$C$440)+(H131&lt;2/24)),1,0),0)</f>
        <v>0</v>
      </c>
      <c r="AI130" s="6">
        <f>IF((I130&lt;&gt;"")*(I134=""),IF((I130&lt;=$B$440)*((I131&gt;=$C$440)+(I131&lt;2/24)),1,0),0)</f>
        <v>0</v>
      </c>
      <c r="AJ130" s="6">
        <f>IF((J130&lt;&gt;"")*(J134=""),IF((J130&lt;=$B$440)*((J131&gt;=$C$440)+(J131&lt;2/24)),1,0),0)</f>
        <v>0</v>
      </c>
    </row>
    <row r="131" spans="1:36" ht="13.5" hidden="1" thickBot="1" x14ac:dyDescent="0.25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D131" s="6">
        <f>IF((D130&lt;&gt;"")*(D134=""),IF((D130&lt;=$B$441)*((D131&gt;=$C$441)+(D131&lt;2/24)),1,0),0)</f>
        <v>0</v>
      </c>
      <c r="AE131" s="6">
        <f>IF((E130&lt;&gt;"")*(E134=""),IF((E130&lt;=$B$441)*((E131&gt;=$C$441)+(E131&lt;2/24)),1,0),0)</f>
        <v>0</v>
      </c>
      <c r="AF131" s="6">
        <f>IF((F130&lt;&gt;"")*(F134=""),IF((F130&lt;=$B$441)*((F131&gt;=$C$441)+(F131&lt;2/24)),1,0),0)</f>
        <v>0</v>
      </c>
      <c r="AG131" s="6">
        <f>IF((G130&lt;&gt;"")*(G134=""),IF((G130&lt;=$B$441)*((G131&gt;=$C$441)+(G131&lt;2/24)),1,0),0)</f>
        <v>0</v>
      </c>
      <c r="AH131" s="6">
        <f>IF((H130&lt;&gt;"")*(H134=""),IF((H130&lt;=$B$441)*((H131&gt;=$C$441)+(H131&lt;2/24)),1,0),0)</f>
        <v>0</v>
      </c>
      <c r="AI131" s="6">
        <f>IF((I130&lt;&gt;"")*(I134=""),IF((I130&lt;=$B$441)*((I131&gt;=$C$441)+(I131&lt;2/24)),1,0),0)</f>
        <v>0</v>
      </c>
      <c r="AJ131" s="6">
        <f>IF((J130&lt;&gt;"")*(J134=""),IF((J130&lt;=$B$441)*((J131&gt;=$C$441)+(J131&lt;2/24)),1,0),0)</f>
        <v>0</v>
      </c>
    </row>
    <row r="132" spans="1:36" ht="13.5" hidden="1" thickBot="1" x14ac:dyDescent="0.25">
      <c r="A132" s="39"/>
      <c r="B132" s="40"/>
      <c r="C132" s="15" t="s">
        <v>2</v>
      </c>
      <c r="D132" s="4"/>
      <c r="E132" s="4"/>
      <c r="F132" s="4"/>
      <c r="G132" s="4"/>
      <c r="H132" s="4"/>
      <c r="I132" s="4"/>
      <c r="J132" s="4"/>
      <c r="K132" s="17"/>
      <c r="L132" s="6"/>
      <c r="M132" s="21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D132" s="6">
        <f>IF((D130&lt;&gt;"")*(D134=""),IF((D130&lt;=$B$442)*((D131&gt;=$C$442)+(D131&lt;2/24)),1,0),0)</f>
        <v>0</v>
      </c>
      <c r="AE132" s="6">
        <f>IF((E130&lt;&gt;"")*(E134=""),IF((E130&lt;=$B$442)*((E131&gt;=$C$442)+(E131&lt;2/24)),1,0),0)</f>
        <v>0</v>
      </c>
      <c r="AF132" s="6">
        <f>IF((F130&lt;&gt;"")*(F134=""),IF((F130&lt;=$B$442)*((F131&gt;=$C$442)+(F131&lt;2/24)),1,0),0)</f>
        <v>0</v>
      </c>
      <c r="AG132" s="6">
        <f>IF((G130&lt;&gt;"")*(G134=""),IF((G130&lt;=$B$442)*((G131&gt;=$C$442)+(G131&lt;2/24)),1,0),0)</f>
        <v>0</v>
      </c>
      <c r="AH132" s="6">
        <f>IF((H130&lt;&gt;"")*(H134=""),IF((H130&lt;=$B$442)*((H131&gt;=$C$442)+(H131&lt;2/24)),1,0),0)</f>
        <v>0</v>
      </c>
      <c r="AI132" s="6">
        <f>IF((I130&lt;&gt;"")*(I134=""),IF((I130&lt;=$B$442)*((I131&gt;=$C$442)+(I131&lt;2/24)),1,0),0)</f>
        <v>0</v>
      </c>
      <c r="AJ132" s="6">
        <f>IF((J130&lt;&gt;"")*(J134=""),IF((J130&lt;=$B$442)*((J131&gt;=$C$442)+(J131&lt;2/24)),1,0),0)</f>
        <v>0</v>
      </c>
    </row>
    <row r="133" spans="1:36" ht="13.5" hidden="1" thickBot="1" x14ac:dyDescent="0.25">
      <c r="A133" s="39"/>
      <c r="B133" s="40"/>
      <c r="C133" s="15" t="s">
        <v>3</v>
      </c>
      <c r="D133" s="43"/>
      <c r="E133" s="43"/>
      <c r="F133" s="43"/>
      <c r="G133" s="43"/>
      <c r="H133" s="43"/>
      <c r="I133" s="43"/>
      <c r="J133" s="44"/>
      <c r="K133" s="18">
        <f>SUMIF(D134:J134,"",D133:J133)</f>
        <v>0</v>
      </c>
      <c r="L133" s="12">
        <f>SUM(D133:J133)</f>
        <v>0</v>
      </c>
      <c r="M133" s="24"/>
      <c r="N133" s="10">
        <f t="shared" ref="N133:T133" si="90">IF(D134="",D133,0)</f>
        <v>0</v>
      </c>
      <c r="O133" s="10">
        <f t="shared" si="90"/>
        <v>0</v>
      </c>
      <c r="P133" s="10">
        <f t="shared" si="90"/>
        <v>0</v>
      </c>
      <c r="Q133" s="10">
        <f t="shared" si="90"/>
        <v>0</v>
      </c>
      <c r="R133" s="10">
        <f t="shared" si="90"/>
        <v>0</v>
      </c>
      <c r="S133" s="10">
        <f t="shared" si="90"/>
        <v>0</v>
      </c>
      <c r="T133" s="10">
        <f t="shared" si="90"/>
        <v>0</v>
      </c>
      <c r="U133" s="10"/>
      <c r="V133" s="10">
        <f t="shared" ref="V133:AB133" si="91">D133</f>
        <v>0</v>
      </c>
      <c r="W133" s="10">
        <f t="shared" si="91"/>
        <v>0</v>
      </c>
      <c r="X133" s="10">
        <f t="shared" si="91"/>
        <v>0</v>
      </c>
      <c r="Y133" s="10">
        <f t="shared" si="91"/>
        <v>0</v>
      </c>
      <c r="Z133" s="10">
        <f t="shared" si="91"/>
        <v>0</v>
      </c>
      <c r="AA133" s="10">
        <f t="shared" si="91"/>
        <v>0</v>
      </c>
      <c r="AB133" s="10">
        <f t="shared" si="91"/>
        <v>0</v>
      </c>
      <c r="AD133" s="6">
        <f>IF((D130&lt;&gt;"")*(D134=""),IF((D130&lt;=$B$443)*((D131&gt;=$C$443)+(D131&lt;2/24)),1,0),0)</f>
        <v>0</v>
      </c>
      <c r="AE133" s="6">
        <f>IF((E130&lt;&gt;"")*(E134=""),IF((E130&lt;=$B$443)*((E131&gt;=$C$443)+(E131&lt;2/24)),1,0),0)</f>
        <v>0</v>
      </c>
      <c r="AF133" s="6">
        <f>IF((F130&lt;&gt;"")*(F134=""),IF((F130&lt;=$B$443)*((F131&gt;=$C$443)+(F131&lt;2/24)),1,0),0)</f>
        <v>0</v>
      </c>
      <c r="AG133" s="6">
        <f>IF((G130&lt;&gt;"")*(G134=""),IF((G130&lt;=$B$443)*((G131&gt;=$C$443)+(G131&lt;2/24)),1,0),0)</f>
        <v>0</v>
      </c>
      <c r="AH133" s="6">
        <f>IF((H130&lt;&gt;"")*(H134=""),IF((H130&lt;=$B$443)*((H131&gt;=$C$443)+(H131&lt;2/24)),1,0),0)</f>
        <v>0</v>
      </c>
      <c r="AI133" s="6">
        <f>IF((I130&lt;&gt;"")*(I134=""),IF((I130&lt;=$B$443)*((I131&gt;=$C$443)+(I131&lt;2/24)),1,0),0)</f>
        <v>0</v>
      </c>
      <c r="AJ133" s="6">
        <f>IF((J130&lt;&gt;"")*(J134=""),IF((J130&lt;=$B$443)*((J131&gt;=$C$443)+(J131&lt;2/24)),1,0),0)</f>
        <v>0</v>
      </c>
    </row>
    <row r="134" spans="1:36" ht="13.5" hidden="1" thickBot="1" x14ac:dyDescent="0.25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  <c r="N134" s="6"/>
      <c r="O134" s="6"/>
      <c r="P134" s="6"/>
      <c r="Q134" s="6"/>
      <c r="R134" s="6"/>
      <c r="S134" s="6"/>
      <c r="T134" s="6"/>
      <c r="U134" s="6"/>
      <c r="V134" s="20"/>
      <c r="W134" s="20"/>
      <c r="X134" s="20"/>
      <c r="Y134" s="20"/>
      <c r="Z134" s="20"/>
      <c r="AA134" s="20"/>
      <c r="AB134" s="20"/>
      <c r="AD134" s="6">
        <f>IF((D130&lt;&gt;"")*(D134=""),IF((D130&lt;=$B$444)*((D131&gt;=$C$444)+(D131&lt;2/24)),1,0),0)</f>
        <v>0</v>
      </c>
      <c r="AE134" s="6">
        <f>IF((E130&lt;&gt;"")*(E134=""),IF((E130&lt;=$B$444)*((E131&gt;=$C$444)+(E131&lt;2/24)),1,0),0)</f>
        <v>0</v>
      </c>
      <c r="AF134" s="6">
        <f>IF((F130&lt;&gt;"")*(F134=""),IF((F130&lt;=$B$444)*((F131&gt;=$C$444)+(F131&lt;2/24)),1,0),0)</f>
        <v>0</v>
      </c>
      <c r="AG134" s="6">
        <f>IF((G130&lt;&gt;"")*(G134=""),IF((G130&lt;=$B$444)*((G131&gt;=$C$444)+(G131&lt;2/24)),1,0),0)</f>
        <v>0</v>
      </c>
      <c r="AH134" s="6">
        <f>IF((H130&lt;&gt;"")*(H134=""),IF((H130&lt;=$B$444)*((H131&gt;=$C$444)+(H131&lt;2/24)),1,0),0)</f>
        <v>0</v>
      </c>
      <c r="AI134" s="6">
        <f>IF((I130&lt;&gt;"")*(I134=""),IF((I130&lt;=$B$444)*((I131&gt;=$C$444)+(I131&lt;2/24)),1,0),0)</f>
        <v>0</v>
      </c>
      <c r="AJ134" s="6">
        <f>IF((J130&lt;&gt;"")*(J134=""),IF((J130&lt;=$B$444)*((J131&gt;=$C$444)+(J131&lt;2/24)),1,0),0)</f>
        <v>0</v>
      </c>
    </row>
    <row r="135" spans="1:36" ht="13.5" hidden="1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  <c r="N135" s="6"/>
      <c r="O135" s="6"/>
      <c r="P135" s="6"/>
      <c r="Q135" s="6"/>
      <c r="R135" s="6"/>
      <c r="S135" s="6"/>
      <c r="T135" s="6"/>
      <c r="U135" s="6"/>
      <c r="V135" s="20"/>
      <c r="W135" s="20"/>
      <c r="X135" s="20"/>
      <c r="Y135" s="20"/>
      <c r="Z135" s="20"/>
      <c r="AA135" s="20"/>
      <c r="AB135" s="20"/>
      <c r="AD135" s="6"/>
      <c r="AE135" s="6"/>
      <c r="AF135" s="6"/>
      <c r="AG135" s="6"/>
      <c r="AH135" s="6"/>
      <c r="AI135" s="6"/>
      <c r="AJ135" s="6"/>
    </row>
    <row r="136" spans="1:36" ht="13.5" hidden="1" thickBot="1" x14ac:dyDescent="0.25">
      <c r="A136" s="37" t="s">
        <v>29</v>
      </c>
      <c r="B136" s="38" t="s">
        <v>30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  <c r="L136" s="6"/>
      <c r="M136" s="21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D136" s="6">
        <f>IF((D136&lt;&gt;"")*(D140=""),IF((D136&lt;=$B$440)*((D137&gt;=$C$440)+(D137&lt;2/24)),1,0),0)</f>
        <v>0</v>
      </c>
      <c r="AE136" s="6">
        <f>IF((E136&lt;&gt;"")*(E140=""),IF((E136&lt;=$B$440)*((E137&gt;=$C$440)+(E137&lt;2/24)),1,0),0)</f>
        <v>0</v>
      </c>
      <c r="AF136" s="6">
        <f>IF((F136&lt;&gt;"")*(F140=""),IF((F136&lt;=$B$440)*((F137&gt;=$C$440)+(F137&lt;2/24)),1,0),0)</f>
        <v>0</v>
      </c>
      <c r="AG136" s="6">
        <f>IF((G136&lt;&gt;"")*(G140=""),IF((G136&lt;=$B$440)*((G137&gt;=$C$440)+(G137&lt;2/24)),1,0),0)</f>
        <v>0</v>
      </c>
      <c r="AH136" s="6">
        <f>IF((H136&lt;&gt;"")*(H140=""),IF((H136&lt;=$B$440)*((H137&gt;=$C$440)+(H137&lt;2/24)),1,0),0)</f>
        <v>0</v>
      </c>
      <c r="AI136" s="6">
        <f>IF((I136&lt;&gt;"")*(I140=""),IF((I136&lt;=$B$440)*((I137&gt;=$C$440)+(I137&lt;2/24)),1,0),0)</f>
        <v>0</v>
      </c>
      <c r="AJ136" s="6">
        <f>IF((J136&lt;&gt;"")*(J140=""),IF((J136&lt;=$B$440)*((J137&gt;=$C$440)+(J137&lt;2/24)),1,0),0)</f>
        <v>0</v>
      </c>
    </row>
    <row r="137" spans="1:36" ht="13.5" hidden="1" thickBot="1" x14ac:dyDescent="0.25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  <c r="L137" s="6"/>
      <c r="M137" s="21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D137" s="6">
        <f>IF((D136&lt;&gt;"")*(D140=""),IF((D136&lt;=$B$441)*((D137&gt;=$C$441)+(D137&lt;2/24)),1,0),0)</f>
        <v>0</v>
      </c>
      <c r="AE137" s="6">
        <f>IF((E136&lt;&gt;"")*(E140=""),IF((E136&lt;=$B$441)*((E137&gt;=$C$441)+(E137&lt;2/24)),1,0),0)</f>
        <v>0</v>
      </c>
      <c r="AF137" s="6">
        <f>IF((F136&lt;&gt;"")*(F140=""),IF((F136&lt;=$B$441)*((F137&gt;=$C$441)+(F137&lt;2/24)),1,0),0)</f>
        <v>0</v>
      </c>
      <c r="AG137" s="6">
        <f>IF((G136&lt;&gt;"")*(G140=""),IF((G136&lt;=$B$441)*((G137&gt;=$C$441)+(G137&lt;2/24)),1,0),0)</f>
        <v>0</v>
      </c>
      <c r="AH137" s="6">
        <f>IF((H136&lt;&gt;"")*(H140=""),IF((H136&lt;=$B$441)*((H137&gt;=$C$441)+(H137&lt;2/24)),1,0),0)</f>
        <v>0</v>
      </c>
      <c r="AI137" s="6">
        <f>IF((I136&lt;&gt;"")*(I140=""),IF((I136&lt;=$B$441)*((I137&gt;=$C$441)+(I137&lt;2/24)),1,0),0)</f>
        <v>0</v>
      </c>
      <c r="AJ137" s="6">
        <f>IF((J136&lt;&gt;"")*(J140=""),IF((J136&lt;=$B$441)*((J137&gt;=$C$441)+(J137&lt;2/24)),1,0),0)</f>
        <v>0</v>
      </c>
    </row>
    <row r="138" spans="1:36" ht="13.5" hidden="1" thickBot="1" x14ac:dyDescent="0.25">
      <c r="A138" s="39"/>
      <c r="B138" s="40"/>
      <c r="C138" s="15" t="s">
        <v>2</v>
      </c>
      <c r="D138" s="4"/>
      <c r="E138" s="4"/>
      <c r="F138" s="4"/>
      <c r="G138" s="4"/>
      <c r="H138" s="4"/>
      <c r="I138" s="4"/>
      <c r="J138" s="4"/>
      <c r="K138" s="17"/>
      <c r="L138" s="6"/>
      <c r="M138" s="21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D138" s="6">
        <f>IF((D136&lt;&gt;"")*(D140=""),IF((D136&lt;=$B$442)*((D137&gt;=$C$442)+(D137&lt;2/24)),1,0),0)</f>
        <v>0</v>
      </c>
      <c r="AE138" s="6">
        <f>IF((E136&lt;&gt;"")*(E140=""),IF((E136&lt;=$B$442)*((E137&gt;=$C$442)+(E137&lt;2/24)),1,0),0)</f>
        <v>0</v>
      </c>
      <c r="AF138" s="6">
        <f>IF((F136&lt;&gt;"")*(F140=""),IF((F136&lt;=$B$442)*((F137&gt;=$C$442)+(F137&lt;2/24)),1,0),0)</f>
        <v>0</v>
      </c>
      <c r="AG138" s="6">
        <f>IF((G136&lt;&gt;"")*(G140=""),IF((G136&lt;=$B$442)*((G137&gt;=$C$442)+(G137&lt;2/24)),1,0),0)</f>
        <v>0</v>
      </c>
      <c r="AH138" s="6">
        <f>IF((H136&lt;&gt;"")*(H140=""),IF((H136&lt;=$B$442)*((H137&gt;=$C$442)+(H137&lt;2/24)),1,0),0)</f>
        <v>0</v>
      </c>
      <c r="AI138" s="6">
        <f>IF((I136&lt;&gt;"")*(I140=""),IF((I136&lt;=$B$442)*((I137&gt;=$C$442)+(I137&lt;2/24)),1,0),0)</f>
        <v>0</v>
      </c>
      <c r="AJ138" s="6">
        <f>IF((J136&lt;&gt;"")*(J140=""),IF((J136&lt;=$B$442)*((J137&gt;=$C$442)+(J137&lt;2/24)),1,0),0)</f>
        <v>0</v>
      </c>
    </row>
    <row r="139" spans="1:36" ht="13.5" hidden="1" thickBot="1" x14ac:dyDescent="0.25">
      <c r="A139" s="39"/>
      <c r="B139" s="40"/>
      <c r="C139" s="15" t="s">
        <v>3</v>
      </c>
      <c r="D139" s="43"/>
      <c r="E139" s="43"/>
      <c r="F139" s="43"/>
      <c r="G139" s="43"/>
      <c r="H139" s="43"/>
      <c r="I139" s="43"/>
      <c r="J139" s="44"/>
      <c r="K139" s="18">
        <f>SUMIF(D140:J140,"",D139:J139)</f>
        <v>0</v>
      </c>
      <c r="L139" s="12">
        <f>SUM(D139:J139)</f>
        <v>0</v>
      </c>
      <c r="M139" s="24"/>
      <c r="N139" s="10">
        <f t="shared" ref="N139:T139" si="92">IF(D140="",D139,0)</f>
        <v>0</v>
      </c>
      <c r="O139" s="10">
        <f t="shared" si="92"/>
        <v>0</v>
      </c>
      <c r="P139" s="10">
        <f t="shared" si="92"/>
        <v>0</v>
      </c>
      <c r="Q139" s="10">
        <f t="shared" si="92"/>
        <v>0</v>
      </c>
      <c r="R139" s="10">
        <f t="shared" si="92"/>
        <v>0</v>
      </c>
      <c r="S139" s="10">
        <f t="shared" si="92"/>
        <v>0</v>
      </c>
      <c r="T139" s="10">
        <f t="shared" si="92"/>
        <v>0</v>
      </c>
      <c r="U139" s="10"/>
      <c r="V139" s="10">
        <f t="shared" ref="V139:AB139" si="93">D139</f>
        <v>0</v>
      </c>
      <c r="W139" s="10">
        <f t="shared" si="93"/>
        <v>0</v>
      </c>
      <c r="X139" s="10">
        <f t="shared" si="93"/>
        <v>0</v>
      </c>
      <c r="Y139" s="10">
        <f t="shared" si="93"/>
        <v>0</v>
      </c>
      <c r="Z139" s="10">
        <f t="shared" si="93"/>
        <v>0</v>
      </c>
      <c r="AA139" s="10">
        <f t="shared" si="93"/>
        <v>0</v>
      </c>
      <c r="AB139" s="10">
        <f t="shared" si="93"/>
        <v>0</v>
      </c>
      <c r="AD139" s="6">
        <f>IF((D136&lt;&gt;"")*(D140=""),IF((D136&lt;=$B$443)*((D137&gt;=$C$443)+(D137&lt;2/24)),1,0),0)</f>
        <v>0</v>
      </c>
      <c r="AE139" s="6">
        <f>IF((E136&lt;&gt;"")*(E140=""),IF((E136&lt;=$B$443)*((E137&gt;=$C$443)+(E137&lt;2/24)),1,0),0)</f>
        <v>0</v>
      </c>
      <c r="AF139" s="6">
        <f>IF((F136&lt;&gt;"")*(F140=""),IF((F136&lt;=$B$443)*((F137&gt;=$C$443)+(F137&lt;2/24)),1,0),0)</f>
        <v>0</v>
      </c>
      <c r="AG139" s="6">
        <f>IF((G136&lt;&gt;"")*(G140=""),IF((G136&lt;=$B$443)*((G137&gt;=$C$443)+(G137&lt;2/24)),1,0),0)</f>
        <v>0</v>
      </c>
      <c r="AH139" s="6">
        <f>IF((H136&lt;&gt;"")*(H140=""),IF((H136&lt;=$B$443)*((H137&gt;=$C$443)+(H137&lt;2/24)),1,0),0)</f>
        <v>0</v>
      </c>
      <c r="AI139" s="6">
        <f>IF((I136&lt;&gt;"")*(I140=""),IF((I136&lt;=$B$443)*((I137&gt;=$C$443)+(I137&lt;2/24)),1,0),0)</f>
        <v>0</v>
      </c>
      <c r="AJ139" s="6">
        <f>IF((J136&lt;&gt;"")*(J140=""),IF((J136&lt;=$B$443)*((J137&gt;=$C$443)+(J137&lt;2/24)),1,0),0)</f>
        <v>0</v>
      </c>
    </row>
    <row r="140" spans="1:36" ht="13.5" hidden="1" thickBot="1" x14ac:dyDescent="0.25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  <c r="N140" s="6"/>
      <c r="O140" s="6"/>
      <c r="P140" s="6"/>
      <c r="Q140" s="6"/>
      <c r="R140" s="6"/>
      <c r="S140" s="6"/>
      <c r="T140" s="6"/>
      <c r="U140" s="6"/>
      <c r="V140" s="20"/>
      <c r="W140" s="20"/>
      <c r="X140" s="20"/>
      <c r="Y140" s="20"/>
      <c r="Z140" s="20"/>
      <c r="AA140" s="20"/>
      <c r="AB140" s="20"/>
      <c r="AD140" s="6">
        <f>IF((D136&lt;&gt;"")*(D140=""),IF((D136&lt;=$B$444)*((D137&gt;=$C$444)+(D137&lt;2/24)),1,0),0)</f>
        <v>0</v>
      </c>
      <c r="AE140" s="6">
        <f>IF((E136&lt;&gt;"")*(E140=""),IF((E136&lt;=$B$444)*((E137&gt;=$C$444)+(E137&lt;2/24)),1,0),0)</f>
        <v>0</v>
      </c>
      <c r="AF140" s="6">
        <f>IF((F136&lt;&gt;"")*(F140=""),IF((F136&lt;=$B$444)*((F137&gt;=$C$444)+(F137&lt;2/24)),1,0),0)</f>
        <v>0</v>
      </c>
      <c r="AG140" s="6">
        <f>IF((G136&lt;&gt;"")*(G140=""),IF((G136&lt;=$B$444)*((G137&gt;=$C$444)+(G137&lt;2/24)),1,0),0)</f>
        <v>0</v>
      </c>
      <c r="AH140" s="6">
        <f>IF((H136&lt;&gt;"")*(H140=""),IF((H136&lt;=$B$444)*((H137&gt;=$C$444)+(H137&lt;2/24)),1,0),0)</f>
        <v>0</v>
      </c>
      <c r="AI140" s="6">
        <f>IF((I136&lt;&gt;"")*(I140=""),IF((I136&lt;=$B$444)*((I137&gt;=$C$444)+(I137&lt;2/24)),1,0),0)</f>
        <v>0</v>
      </c>
      <c r="AJ140" s="6">
        <f>IF((J136&lt;&gt;"")*(J140=""),IF((J136&lt;=$B$444)*((J137&gt;=$C$444)+(J137&lt;2/24)),1,0),0)</f>
        <v>0</v>
      </c>
    </row>
    <row r="141" spans="1:36" ht="13.5" hidden="1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  <c r="N141" s="6"/>
      <c r="O141" s="6"/>
      <c r="P141" s="6"/>
      <c r="Q141" s="6"/>
      <c r="R141" s="6"/>
      <c r="S141" s="6"/>
      <c r="T141" s="6"/>
      <c r="U141" s="6"/>
      <c r="V141" s="20"/>
      <c r="W141" s="20"/>
      <c r="X141" s="20"/>
      <c r="Y141" s="20"/>
      <c r="Z141" s="20"/>
      <c r="AA141" s="20"/>
      <c r="AB141" s="20"/>
      <c r="AD141" s="6"/>
      <c r="AE141" s="6"/>
      <c r="AF141" s="6"/>
      <c r="AG141" s="6"/>
      <c r="AH141" s="6"/>
      <c r="AI141" s="6"/>
      <c r="AJ141" s="6"/>
    </row>
    <row r="142" spans="1:36" ht="13.5" hidden="1" thickBot="1" x14ac:dyDescent="0.25">
      <c r="A142" s="37" t="s">
        <v>29</v>
      </c>
      <c r="B142" s="38" t="s">
        <v>30</v>
      </c>
      <c r="C142" s="14" t="s">
        <v>0</v>
      </c>
      <c r="D142" s="26"/>
      <c r="E142" s="26"/>
      <c r="F142" s="26"/>
      <c r="G142" s="26"/>
      <c r="H142" s="26"/>
      <c r="I142" s="26"/>
      <c r="J142" s="26"/>
      <c r="K142" s="16"/>
      <c r="L142" s="6"/>
      <c r="M142" s="21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D142" s="6">
        <f>IF((D142&lt;&gt;"")*(D146=""),IF((D142&lt;=$B$440)*((D143&gt;=$C$440)+(D143&lt;2/24)),1,0),0)</f>
        <v>0</v>
      </c>
      <c r="AE142" s="6">
        <f>IF((E142&lt;&gt;"")*(E146=""),IF((E142&lt;=$B$440)*((E143&gt;=$C$440)+(E143&lt;2/24)),1,0),0)</f>
        <v>0</v>
      </c>
      <c r="AF142" s="6">
        <f>IF((F142&lt;&gt;"")*(F146=""),IF((F142&lt;=$B$440)*((F143&gt;=$C$440)+(F143&lt;2/24)),1,0),0)</f>
        <v>0</v>
      </c>
      <c r="AG142" s="6">
        <f>IF((G142&lt;&gt;"")*(G146=""),IF((G142&lt;=$B$440)*((G143&gt;=$C$440)+(G143&lt;2/24)),1,0),0)</f>
        <v>0</v>
      </c>
      <c r="AH142" s="6">
        <f>IF((H142&lt;&gt;"")*(H146=""),IF((H142&lt;=$B$440)*((H143&gt;=$C$440)+(H143&lt;2/24)),1,0),0)</f>
        <v>0</v>
      </c>
      <c r="AI142" s="6">
        <f>IF((I142&lt;&gt;"")*(I146=""),IF((I142&lt;=$B$440)*((I143&gt;=$C$440)+(I143&lt;2/24)),1,0),0)</f>
        <v>0</v>
      </c>
      <c r="AJ142" s="6">
        <f>IF((J142&lt;&gt;"")*(J146=""),IF((J142&lt;=$B$440)*((J143&gt;=$C$440)+(J143&lt;2/24)),1,0),0)</f>
        <v>0</v>
      </c>
    </row>
    <row r="143" spans="1:36" ht="13.5" hidden="1" thickBot="1" x14ac:dyDescent="0.25">
      <c r="A143" s="39"/>
      <c r="B143" s="40"/>
      <c r="C143" s="15" t="s">
        <v>1</v>
      </c>
      <c r="D143" s="27"/>
      <c r="E143" s="27"/>
      <c r="F143" s="27"/>
      <c r="G143" s="27"/>
      <c r="H143" s="27"/>
      <c r="I143" s="27"/>
      <c r="J143" s="27"/>
      <c r="K143" s="17"/>
      <c r="L143" s="6"/>
      <c r="M143" s="21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D143" s="6">
        <f>IF((D142&lt;&gt;"")*(D146=""),IF((D142&lt;=$B$441)*((D143&gt;=$C$441)+(D143&lt;2/24)),1,0),0)</f>
        <v>0</v>
      </c>
      <c r="AE143" s="6">
        <f>IF((E142&lt;&gt;"")*(E146=""),IF((E142&lt;=$B$441)*((E143&gt;=$C$441)+(E143&lt;2/24)),1,0),0)</f>
        <v>0</v>
      </c>
      <c r="AF143" s="6">
        <f>IF((F142&lt;&gt;"")*(F146=""),IF((F142&lt;=$B$441)*((F143&gt;=$C$441)+(F143&lt;2/24)),1,0),0)</f>
        <v>0</v>
      </c>
      <c r="AG143" s="6">
        <f>IF((G142&lt;&gt;"")*(G146=""),IF((G142&lt;=$B$441)*((G143&gt;=$C$441)+(G143&lt;2/24)),1,0),0)</f>
        <v>0</v>
      </c>
      <c r="AH143" s="6">
        <f>IF((H142&lt;&gt;"")*(H146=""),IF((H142&lt;=$B$441)*((H143&gt;=$C$441)+(H143&lt;2/24)),1,0),0)</f>
        <v>0</v>
      </c>
      <c r="AI143" s="6">
        <f>IF((I142&lt;&gt;"")*(I146=""),IF((I142&lt;=$B$441)*((I143&gt;=$C$441)+(I143&lt;2/24)),1,0),0)</f>
        <v>0</v>
      </c>
      <c r="AJ143" s="6">
        <f>IF((J142&lt;&gt;"")*(J146=""),IF((J142&lt;=$B$441)*((J143&gt;=$C$441)+(J143&lt;2/24)),1,0),0)</f>
        <v>0</v>
      </c>
    </row>
    <row r="144" spans="1:36" ht="13.5" hidden="1" thickBot="1" x14ac:dyDescent="0.25">
      <c r="A144" s="39"/>
      <c r="B144" s="40"/>
      <c r="C144" s="15" t="s">
        <v>2</v>
      </c>
      <c r="D144" s="4"/>
      <c r="E144" s="4"/>
      <c r="F144" s="4"/>
      <c r="G144" s="4"/>
      <c r="H144" s="4"/>
      <c r="I144" s="4"/>
      <c r="J144" s="4"/>
      <c r="K144" s="17"/>
      <c r="L144" s="6"/>
      <c r="M144" s="21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D144" s="6">
        <f>IF((D142&lt;&gt;"")*(D146=""),IF((D142&lt;=$B$442)*((D143&gt;=$C$442)+(D143&lt;2/24)),1,0),0)</f>
        <v>0</v>
      </c>
      <c r="AE144" s="6">
        <f>IF((E142&lt;&gt;"")*(E146=""),IF((E142&lt;=$B$442)*((E143&gt;=$C$442)+(E143&lt;2/24)),1,0),0)</f>
        <v>0</v>
      </c>
      <c r="AF144" s="6">
        <f>IF((F142&lt;&gt;"")*(F146=""),IF((F142&lt;=$B$442)*((F143&gt;=$C$442)+(F143&lt;2/24)),1,0),0)</f>
        <v>0</v>
      </c>
      <c r="AG144" s="6">
        <f>IF((G142&lt;&gt;"")*(G146=""),IF((G142&lt;=$B$442)*((G143&gt;=$C$442)+(G143&lt;2/24)),1,0),0)</f>
        <v>0</v>
      </c>
      <c r="AH144" s="6">
        <f>IF((H142&lt;&gt;"")*(H146=""),IF((H142&lt;=$B$442)*((H143&gt;=$C$442)+(H143&lt;2/24)),1,0),0)</f>
        <v>0</v>
      </c>
      <c r="AI144" s="6">
        <f>IF((I142&lt;&gt;"")*(I146=""),IF((I142&lt;=$B$442)*((I143&gt;=$C$442)+(I143&lt;2/24)),1,0),0)</f>
        <v>0</v>
      </c>
      <c r="AJ144" s="6">
        <f>IF((J142&lt;&gt;"")*(J146=""),IF((J142&lt;=$B$442)*((J143&gt;=$C$442)+(J143&lt;2/24)),1,0),0)</f>
        <v>0</v>
      </c>
    </row>
    <row r="145" spans="1:36" ht="13.5" hidden="1" thickBot="1" x14ac:dyDescent="0.25">
      <c r="A145" s="39"/>
      <c r="B145" s="40"/>
      <c r="C145" s="15" t="s">
        <v>3</v>
      </c>
      <c r="D145" s="43"/>
      <c r="E145" s="43"/>
      <c r="F145" s="43"/>
      <c r="G145" s="43"/>
      <c r="H145" s="43"/>
      <c r="I145" s="43"/>
      <c r="J145" s="44"/>
      <c r="K145" s="18">
        <f>SUMIF(D146:J146,"",D145:J145)</f>
        <v>0</v>
      </c>
      <c r="L145" s="12">
        <f>SUM(D145:J145)</f>
        <v>0</v>
      </c>
      <c r="M145" s="24"/>
      <c r="N145" s="10">
        <f t="shared" ref="N145:T145" si="94">IF(D146="",D145,0)</f>
        <v>0</v>
      </c>
      <c r="O145" s="10">
        <f t="shared" si="94"/>
        <v>0</v>
      </c>
      <c r="P145" s="10">
        <f t="shared" si="94"/>
        <v>0</v>
      </c>
      <c r="Q145" s="10">
        <f t="shared" si="94"/>
        <v>0</v>
      </c>
      <c r="R145" s="10">
        <f t="shared" si="94"/>
        <v>0</v>
      </c>
      <c r="S145" s="10">
        <f t="shared" si="94"/>
        <v>0</v>
      </c>
      <c r="T145" s="10">
        <f t="shared" si="94"/>
        <v>0</v>
      </c>
      <c r="U145" s="10"/>
      <c r="V145" s="10">
        <f t="shared" ref="V145:AB145" si="95">D145</f>
        <v>0</v>
      </c>
      <c r="W145" s="10">
        <f t="shared" si="95"/>
        <v>0</v>
      </c>
      <c r="X145" s="10">
        <f t="shared" si="95"/>
        <v>0</v>
      </c>
      <c r="Y145" s="10">
        <f t="shared" si="95"/>
        <v>0</v>
      </c>
      <c r="Z145" s="10">
        <f t="shared" si="95"/>
        <v>0</v>
      </c>
      <c r="AA145" s="10">
        <f t="shared" si="95"/>
        <v>0</v>
      </c>
      <c r="AB145" s="10">
        <f t="shared" si="95"/>
        <v>0</v>
      </c>
      <c r="AD145" s="6">
        <f>IF((D142&lt;&gt;"")*(D146=""),IF((D142&lt;=$B$443)*((D143&gt;=$C$443)+(D143&lt;2/24)),1,0),0)</f>
        <v>0</v>
      </c>
      <c r="AE145" s="6">
        <f>IF((E142&lt;&gt;"")*(E146=""),IF((E142&lt;=$B$443)*((E143&gt;=$C$443)+(E143&lt;2/24)),1,0),0)</f>
        <v>0</v>
      </c>
      <c r="AF145" s="6">
        <f>IF((F142&lt;&gt;"")*(F146=""),IF((F142&lt;=$B$443)*((F143&gt;=$C$443)+(F143&lt;2/24)),1,0),0)</f>
        <v>0</v>
      </c>
      <c r="AG145" s="6">
        <f>IF((G142&lt;&gt;"")*(G146=""),IF((G142&lt;=$B$443)*((G143&gt;=$C$443)+(G143&lt;2/24)),1,0),0)</f>
        <v>0</v>
      </c>
      <c r="AH145" s="6">
        <f>IF((H142&lt;&gt;"")*(H146=""),IF((H142&lt;=$B$443)*((H143&gt;=$C$443)+(H143&lt;2/24)),1,0),0)</f>
        <v>0</v>
      </c>
      <c r="AI145" s="6">
        <f>IF((I142&lt;&gt;"")*(I146=""),IF((I142&lt;=$B$443)*((I143&gt;=$C$443)+(I143&lt;2/24)),1,0),0)</f>
        <v>0</v>
      </c>
      <c r="AJ145" s="6">
        <f>IF((J142&lt;&gt;"")*(J146=""),IF((J142&lt;=$B$443)*((J143&gt;=$C$443)+(J143&lt;2/24)),1,0),0)</f>
        <v>0</v>
      </c>
    </row>
    <row r="146" spans="1:36" ht="13.5" hidden="1" thickBot="1" x14ac:dyDescent="0.25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  <c r="N146" s="6"/>
      <c r="O146" s="6"/>
      <c r="P146" s="6"/>
      <c r="Q146" s="6"/>
      <c r="R146" s="6"/>
      <c r="S146" s="6"/>
      <c r="T146" s="6"/>
      <c r="U146" s="6"/>
      <c r="V146" s="20"/>
      <c r="W146" s="20"/>
      <c r="X146" s="20"/>
      <c r="Y146" s="20"/>
      <c r="Z146" s="20"/>
      <c r="AA146" s="20"/>
      <c r="AB146" s="20"/>
      <c r="AD146" s="6">
        <f>IF((D142&lt;&gt;"")*(D146=""),IF((D142&lt;=$B$444)*((D143&gt;=$C$444)+(D143&lt;2/24)),1,0),0)</f>
        <v>0</v>
      </c>
      <c r="AE146" s="6">
        <f>IF((E142&lt;&gt;"")*(E146=""),IF((E142&lt;=$B$444)*((E143&gt;=$C$444)+(E143&lt;2/24)),1,0),0)</f>
        <v>0</v>
      </c>
      <c r="AF146" s="6">
        <f>IF((F142&lt;&gt;"")*(F146=""),IF((F142&lt;=$B$444)*((F143&gt;=$C$444)+(F143&lt;2/24)),1,0),0)</f>
        <v>0</v>
      </c>
      <c r="AG146" s="6">
        <f>IF((G142&lt;&gt;"")*(G146=""),IF((G142&lt;=$B$444)*((G143&gt;=$C$444)+(G143&lt;2/24)),1,0),0)</f>
        <v>0</v>
      </c>
      <c r="AH146" s="6">
        <f>IF((H142&lt;&gt;"")*(H146=""),IF((H142&lt;=$B$444)*((H143&gt;=$C$444)+(H143&lt;2/24)),1,0),0)</f>
        <v>0</v>
      </c>
      <c r="AI146" s="6">
        <f>IF((I142&lt;&gt;"")*(I146=""),IF((I142&lt;=$B$444)*((I143&gt;=$C$444)+(I143&lt;2/24)),1,0),0)</f>
        <v>0</v>
      </c>
      <c r="AJ146" s="6">
        <f>IF((J142&lt;&gt;"")*(J146=""),IF((J142&lt;=$B$444)*((J143&gt;=$C$444)+(J143&lt;2/24)),1,0),0)</f>
        <v>0</v>
      </c>
    </row>
    <row r="147" spans="1:36" ht="13.5" hidden="1" thickBot="1" x14ac:dyDescent="0.25">
      <c r="A147" s="41"/>
      <c r="B147" s="42"/>
      <c r="C147" s="35" t="s">
        <v>28</v>
      </c>
      <c r="D147" s="36"/>
      <c r="E147" s="36"/>
      <c r="F147" s="36"/>
      <c r="G147" s="36"/>
      <c r="H147" s="36"/>
      <c r="I147" s="36"/>
      <c r="J147" s="36"/>
      <c r="K147" s="34"/>
      <c r="L147" s="6"/>
      <c r="M147" s="25"/>
      <c r="N147" s="6"/>
      <c r="O147" s="6"/>
      <c r="P147" s="6"/>
      <c r="Q147" s="6"/>
      <c r="R147" s="6"/>
      <c r="S147" s="6"/>
      <c r="T147" s="6"/>
      <c r="U147" s="6"/>
      <c r="V147" s="20"/>
      <c r="W147" s="20"/>
      <c r="X147" s="20"/>
      <c r="Y147" s="20"/>
      <c r="Z147" s="20"/>
      <c r="AA147" s="20"/>
      <c r="AB147" s="20"/>
      <c r="AD147" s="6"/>
      <c r="AE147" s="6"/>
      <c r="AF147" s="6"/>
      <c r="AG147" s="6"/>
      <c r="AH147" s="6"/>
      <c r="AI147" s="6"/>
      <c r="AJ147" s="6"/>
    </row>
    <row r="148" spans="1:36" ht="13.5" hidden="1" thickBot="1" x14ac:dyDescent="0.25">
      <c r="A148" s="37" t="s">
        <v>29</v>
      </c>
      <c r="B148" s="38" t="s">
        <v>30</v>
      </c>
      <c r="C148" s="14" t="s">
        <v>0</v>
      </c>
      <c r="D148" s="26"/>
      <c r="E148" s="26"/>
      <c r="F148" s="26"/>
      <c r="G148" s="26"/>
      <c r="H148" s="26"/>
      <c r="I148" s="26"/>
      <c r="J148" s="26"/>
      <c r="K148" s="16"/>
      <c r="L148" s="6"/>
      <c r="M148" s="21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D148" s="6">
        <f>IF((D148&lt;&gt;"")*(D152=""),IF((D148&lt;=$B$440)*((D149&gt;=$C$440)+(D149&lt;2/24)),1,0),0)</f>
        <v>0</v>
      </c>
      <c r="AE148" s="6">
        <f>IF((E148&lt;&gt;"")*(E152=""),IF((E148&lt;=$B$440)*((E149&gt;=$C$440)+(E149&lt;2/24)),1,0),0)</f>
        <v>0</v>
      </c>
      <c r="AF148" s="6">
        <f>IF((F148&lt;&gt;"")*(F152=""),IF((F148&lt;=$B$440)*((F149&gt;=$C$440)+(F149&lt;2/24)),1,0),0)</f>
        <v>0</v>
      </c>
      <c r="AG148" s="6">
        <f>IF((G148&lt;&gt;"")*(G152=""),IF((G148&lt;=$B$440)*((G149&gt;=$C$440)+(G149&lt;2/24)),1,0),0)</f>
        <v>0</v>
      </c>
      <c r="AH148" s="6">
        <f>IF((H148&lt;&gt;"")*(H152=""),IF((H148&lt;=$B$440)*((H149&gt;=$C$440)+(H149&lt;2/24)),1,0),0)</f>
        <v>0</v>
      </c>
      <c r="AI148" s="6">
        <f>IF((I148&lt;&gt;"")*(I152=""),IF((I148&lt;=$B$440)*((I149&gt;=$C$440)+(I149&lt;2/24)),1,0),0)</f>
        <v>0</v>
      </c>
      <c r="AJ148" s="6">
        <f>IF((J148&lt;&gt;"")*(J152=""),IF((J148&lt;=$B$440)*((J149&gt;=$C$440)+(J149&lt;2/24)),1,0),0)</f>
        <v>0</v>
      </c>
    </row>
    <row r="149" spans="1:36" ht="13.5" hidden="1" thickBot="1" x14ac:dyDescent="0.25">
      <c r="A149" s="39"/>
      <c r="B149" s="40"/>
      <c r="C149" s="15" t="s">
        <v>1</v>
      </c>
      <c r="D149" s="27"/>
      <c r="E149" s="27"/>
      <c r="F149" s="27"/>
      <c r="G149" s="27"/>
      <c r="H149" s="27"/>
      <c r="I149" s="27"/>
      <c r="J149" s="27"/>
      <c r="K149" s="17"/>
      <c r="L149" s="6"/>
      <c r="M149" s="21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D149" s="6">
        <f>IF((D148&lt;&gt;"")*(D152=""),IF((D148&lt;=$B$441)*((D149&gt;=$C$441)+(D149&lt;2/24)),1,0),0)</f>
        <v>0</v>
      </c>
      <c r="AE149" s="6">
        <f>IF((E148&lt;&gt;"")*(E152=""),IF((E148&lt;=$B$441)*((E149&gt;=$C$441)+(E149&lt;2/24)),1,0),0)</f>
        <v>0</v>
      </c>
      <c r="AF149" s="6">
        <f>IF((F148&lt;&gt;"")*(F152=""),IF((F148&lt;=$B$441)*((F149&gt;=$C$441)+(F149&lt;2/24)),1,0),0)</f>
        <v>0</v>
      </c>
      <c r="AG149" s="6">
        <f>IF((G148&lt;&gt;"")*(G152=""),IF((G148&lt;=$B$441)*((G149&gt;=$C$441)+(G149&lt;2/24)),1,0),0)</f>
        <v>0</v>
      </c>
      <c r="AH149" s="6">
        <f>IF((H148&lt;&gt;"")*(H152=""),IF((H148&lt;=$B$441)*((H149&gt;=$C$441)+(H149&lt;2/24)),1,0),0)</f>
        <v>0</v>
      </c>
      <c r="AI149" s="6">
        <f>IF((I148&lt;&gt;"")*(I152=""),IF((I148&lt;=$B$441)*((I149&gt;=$C$441)+(I149&lt;2/24)),1,0),0)</f>
        <v>0</v>
      </c>
      <c r="AJ149" s="6">
        <f>IF((J148&lt;&gt;"")*(J152=""),IF((J148&lt;=$B$441)*((J149&gt;=$C$441)+(J149&lt;2/24)),1,0),0)</f>
        <v>0</v>
      </c>
    </row>
    <row r="150" spans="1:36" ht="13.5" hidden="1" thickBot="1" x14ac:dyDescent="0.25">
      <c r="A150" s="39"/>
      <c r="B150" s="40"/>
      <c r="C150" s="15" t="s">
        <v>2</v>
      </c>
      <c r="D150" s="4"/>
      <c r="E150" s="4"/>
      <c r="F150" s="4"/>
      <c r="G150" s="4"/>
      <c r="H150" s="4"/>
      <c r="I150" s="4"/>
      <c r="J150" s="4"/>
      <c r="K150" s="17"/>
      <c r="L150" s="6"/>
      <c r="M150" s="21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D150" s="6">
        <f>IF((D148&lt;&gt;"")*(D152=""),IF((D148&lt;=$B$442)*((D149&gt;=$C$442)+(D149&lt;2/24)),1,0),0)</f>
        <v>0</v>
      </c>
      <c r="AE150" s="6">
        <f>IF((E148&lt;&gt;"")*(E152=""),IF((E148&lt;=$B$442)*((E149&gt;=$C$442)+(E149&lt;2/24)),1,0),0)</f>
        <v>0</v>
      </c>
      <c r="AF150" s="6">
        <f>IF((F148&lt;&gt;"")*(F152=""),IF((F148&lt;=$B$442)*((F149&gt;=$C$442)+(F149&lt;2/24)),1,0),0)</f>
        <v>0</v>
      </c>
      <c r="AG150" s="6">
        <f>IF((G148&lt;&gt;"")*(G152=""),IF((G148&lt;=$B$442)*((G149&gt;=$C$442)+(G149&lt;2/24)),1,0),0)</f>
        <v>0</v>
      </c>
      <c r="AH150" s="6">
        <f>IF((H148&lt;&gt;"")*(H152=""),IF((H148&lt;=$B$442)*((H149&gt;=$C$442)+(H149&lt;2/24)),1,0),0)</f>
        <v>0</v>
      </c>
      <c r="AI150" s="6">
        <f>IF((I148&lt;&gt;"")*(I152=""),IF((I148&lt;=$B$442)*((I149&gt;=$C$442)+(I149&lt;2/24)),1,0),0)</f>
        <v>0</v>
      </c>
      <c r="AJ150" s="6">
        <f>IF((J148&lt;&gt;"")*(J152=""),IF((J148&lt;=$B$442)*((J149&gt;=$C$442)+(J149&lt;2/24)),1,0),0)</f>
        <v>0</v>
      </c>
    </row>
    <row r="151" spans="1:36" ht="13.5" hidden="1" thickBot="1" x14ac:dyDescent="0.25">
      <c r="A151" s="39"/>
      <c r="B151" s="40"/>
      <c r="C151" s="15" t="s">
        <v>3</v>
      </c>
      <c r="D151" s="43"/>
      <c r="E151" s="43"/>
      <c r="F151" s="43"/>
      <c r="G151" s="43"/>
      <c r="H151" s="43"/>
      <c r="I151" s="43"/>
      <c r="J151" s="44"/>
      <c r="K151" s="18">
        <f>SUMIF(D152:J152,"",D151:J151)</f>
        <v>0</v>
      </c>
      <c r="L151" s="12">
        <f>SUM(D151:J151)</f>
        <v>0</v>
      </c>
      <c r="M151" s="24"/>
      <c r="N151" s="10">
        <f t="shared" ref="N151:T151" si="96">IF(D152="",D151,0)</f>
        <v>0</v>
      </c>
      <c r="O151" s="10">
        <f t="shared" si="96"/>
        <v>0</v>
      </c>
      <c r="P151" s="10">
        <f t="shared" si="96"/>
        <v>0</v>
      </c>
      <c r="Q151" s="10">
        <f t="shared" si="96"/>
        <v>0</v>
      </c>
      <c r="R151" s="10">
        <f t="shared" si="96"/>
        <v>0</v>
      </c>
      <c r="S151" s="10">
        <f t="shared" si="96"/>
        <v>0</v>
      </c>
      <c r="T151" s="10">
        <f t="shared" si="96"/>
        <v>0</v>
      </c>
      <c r="U151" s="10"/>
      <c r="V151" s="10">
        <f t="shared" ref="V151:AB151" si="97">D151</f>
        <v>0</v>
      </c>
      <c r="W151" s="10">
        <f t="shared" si="97"/>
        <v>0</v>
      </c>
      <c r="X151" s="10">
        <f t="shared" si="97"/>
        <v>0</v>
      </c>
      <c r="Y151" s="10">
        <f t="shared" si="97"/>
        <v>0</v>
      </c>
      <c r="Z151" s="10">
        <f t="shared" si="97"/>
        <v>0</v>
      </c>
      <c r="AA151" s="10">
        <f t="shared" si="97"/>
        <v>0</v>
      </c>
      <c r="AB151" s="10">
        <f t="shared" si="97"/>
        <v>0</v>
      </c>
      <c r="AD151" s="6">
        <f>IF((D148&lt;&gt;"")*(D152=""),IF((D148&lt;=$B$443)*((D149&gt;=$C$443)+(D149&lt;2/24)),1,0),0)</f>
        <v>0</v>
      </c>
      <c r="AE151" s="6">
        <f>IF((E148&lt;&gt;"")*(E152=""),IF((E148&lt;=$B$443)*((E149&gt;=$C$443)+(E149&lt;2/24)),1,0),0)</f>
        <v>0</v>
      </c>
      <c r="AF151" s="6">
        <f>IF((F148&lt;&gt;"")*(F152=""),IF((F148&lt;=$B$443)*((F149&gt;=$C$443)+(F149&lt;2/24)),1,0),0)</f>
        <v>0</v>
      </c>
      <c r="AG151" s="6">
        <f>IF((G148&lt;&gt;"")*(G152=""),IF((G148&lt;=$B$443)*((G149&gt;=$C$443)+(G149&lt;2/24)),1,0),0)</f>
        <v>0</v>
      </c>
      <c r="AH151" s="6">
        <f>IF((H148&lt;&gt;"")*(H152=""),IF((H148&lt;=$B$443)*((H149&gt;=$C$443)+(H149&lt;2/24)),1,0),0)</f>
        <v>0</v>
      </c>
      <c r="AI151" s="6">
        <f>IF((I148&lt;&gt;"")*(I152=""),IF((I148&lt;=$B$443)*((I149&gt;=$C$443)+(I149&lt;2/24)),1,0),0)</f>
        <v>0</v>
      </c>
      <c r="AJ151" s="6">
        <f>IF((J148&lt;&gt;"")*(J152=""),IF((J148&lt;=$B$443)*((J149&gt;=$C$443)+(J149&lt;2/24)),1,0),0)</f>
        <v>0</v>
      </c>
    </row>
    <row r="152" spans="1:36" ht="13.5" hidden="1" thickBot="1" x14ac:dyDescent="0.25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  <c r="N152" s="6"/>
      <c r="O152" s="6"/>
      <c r="P152" s="6"/>
      <c r="Q152" s="6"/>
      <c r="R152" s="6"/>
      <c r="S152" s="6"/>
      <c r="T152" s="6"/>
      <c r="U152" s="6"/>
      <c r="V152" s="20"/>
      <c r="W152" s="20"/>
      <c r="X152" s="20"/>
      <c r="Y152" s="20"/>
      <c r="Z152" s="20"/>
      <c r="AA152" s="20"/>
      <c r="AB152" s="20"/>
      <c r="AD152" s="6">
        <f>IF((D148&lt;&gt;"")*(D152=""),IF((D148&lt;=$B$444)*((D149&gt;=$C$444)+(D149&lt;2/24)),1,0),0)</f>
        <v>0</v>
      </c>
      <c r="AE152" s="6">
        <f>IF((E148&lt;&gt;"")*(E152=""),IF((E148&lt;=$B$444)*((E149&gt;=$C$444)+(E149&lt;2/24)),1,0),0)</f>
        <v>0</v>
      </c>
      <c r="AF152" s="6">
        <f>IF((F148&lt;&gt;"")*(F152=""),IF((F148&lt;=$B$444)*((F149&gt;=$C$444)+(F149&lt;2/24)),1,0),0)</f>
        <v>0</v>
      </c>
      <c r="AG152" s="6">
        <f>IF((G148&lt;&gt;"")*(G152=""),IF((G148&lt;=$B$444)*((G149&gt;=$C$444)+(G149&lt;2/24)),1,0),0)</f>
        <v>0</v>
      </c>
      <c r="AH152" s="6">
        <f>IF((H148&lt;&gt;"")*(H152=""),IF((H148&lt;=$B$444)*((H149&gt;=$C$444)+(H149&lt;2/24)),1,0),0)</f>
        <v>0</v>
      </c>
      <c r="AI152" s="6">
        <f>IF((I148&lt;&gt;"")*(I152=""),IF((I148&lt;=$B$444)*((I149&gt;=$C$444)+(I149&lt;2/24)),1,0),0)</f>
        <v>0</v>
      </c>
      <c r="AJ152" s="6">
        <f>IF((J148&lt;&gt;"")*(J152=""),IF((J148&lt;=$B$444)*((J149&gt;=$C$444)+(J149&lt;2/24)),1,0),0)</f>
        <v>0</v>
      </c>
    </row>
    <row r="153" spans="1:36" ht="13.5" hidden="1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  <c r="N153" s="6"/>
      <c r="O153" s="6"/>
      <c r="P153" s="6"/>
      <c r="Q153" s="6"/>
      <c r="R153" s="6"/>
      <c r="S153" s="6"/>
      <c r="T153" s="6"/>
      <c r="U153" s="6"/>
      <c r="V153" s="20"/>
      <c r="W153" s="20"/>
      <c r="X153" s="20"/>
      <c r="Y153" s="20"/>
      <c r="Z153" s="20"/>
      <c r="AA153" s="20"/>
      <c r="AB153" s="20"/>
      <c r="AD153" s="6"/>
      <c r="AE153" s="6"/>
      <c r="AF153" s="6"/>
      <c r="AG153" s="6"/>
      <c r="AH153" s="6"/>
      <c r="AI153" s="6"/>
      <c r="AJ153" s="6"/>
    </row>
    <row r="154" spans="1:36" ht="13.5" hidden="1" thickBot="1" x14ac:dyDescent="0.25">
      <c r="A154" s="37" t="s">
        <v>29</v>
      </c>
      <c r="B154" s="38" t="s">
        <v>30</v>
      </c>
      <c r="C154" s="14" t="s">
        <v>0</v>
      </c>
      <c r="D154" s="26"/>
      <c r="E154" s="26"/>
      <c r="F154" s="26"/>
      <c r="G154" s="26"/>
      <c r="H154" s="26"/>
      <c r="I154" s="26"/>
      <c r="J154" s="26"/>
      <c r="K154" s="16"/>
      <c r="L154" s="6"/>
      <c r="M154" s="21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D154" s="6">
        <f>IF((D154&lt;&gt;"")*(D158=""),IF((D154&lt;=$B$440)*((D155&gt;=$C$440)+(D155&lt;2/24)),1,0),0)</f>
        <v>0</v>
      </c>
      <c r="AE154" s="6">
        <f>IF((E154&lt;&gt;"")*(E158=""),IF((E154&lt;=$B$440)*((E155&gt;=$C$440)+(E155&lt;2/24)),1,0),0)</f>
        <v>0</v>
      </c>
      <c r="AF154" s="6">
        <f>IF((F154&lt;&gt;"")*(F158=""),IF((F154&lt;=$B$440)*((F155&gt;=$C$440)+(F155&lt;2/24)),1,0),0)</f>
        <v>0</v>
      </c>
      <c r="AG154" s="6">
        <f>IF((G154&lt;&gt;"")*(G158=""),IF((G154&lt;=$B$440)*((G155&gt;=$C$440)+(G155&lt;2/24)),1,0),0)</f>
        <v>0</v>
      </c>
      <c r="AH154" s="6">
        <f>IF((H154&lt;&gt;"")*(H158=""),IF((H154&lt;=$B$440)*((H155&gt;=$C$440)+(H155&lt;2/24)),1,0),0)</f>
        <v>0</v>
      </c>
      <c r="AI154" s="6">
        <f>IF((I154&lt;&gt;"")*(I158=""),IF((I154&lt;=$B$440)*((I155&gt;=$C$440)+(I155&lt;2/24)),1,0),0)</f>
        <v>0</v>
      </c>
      <c r="AJ154" s="6">
        <f>IF((J154&lt;&gt;"")*(J158=""),IF((J154&lt;=$B$440)*((J155&gt;=$C$440)+(J155&lt;2/24)),1,0),0)</f>
        <v>0</v>
      </c>
    </row>
    <row r="155" spans="1:36" ht="13.5" hidden="1" thickBot="1" x14ac:dyDescent="0.25">
      <c r="A155" s="39"/>
      <c r="B155" s="40"/>
      <c r="C155" s="15" t="s">
        <v>1</v>
      </c>
      <c r="D155" s="27"/>
      <c r="E155" s="27"/>
      <c r="F155" s="27"/>
      <c r="G155" s="27"/>
      <c r="H155" s="27"/>
      <c r="I155" s="27"/>
      <c r="J155" s="27"/>
      <c r="K155" s="17"/>
      <c r="L155" s="6"/>
      <c r="M155" s="21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D155" s="6">
        <f>IF((D154&lt;&gt;"")*(D158=""),IF((D154&lt;=$B$441)*((D155&gt;=$C$441)+(D155&lt;2/24)),1,0),0)</f>
        <v>0</v>
      </c>
      <c r="AE155" s="6">
        <f>IF((E154&lt;&gt;"")*(E158=""),IF((E154&lt;=$B$441)*((E155&gt;=$C$441)+(E155&lt;2/24)),1,0),0)</f>
        <v>0</v>
      </c>
      <c r="AF155" s="6">
        <f>IF((F154&lt;&gt;"")*(F158=""),IF((F154&lt;=$B$441)*((F155&gt;=$C$441)+(F155&lt;2/24)),1,0),0)</f>
        <v>0</v>
      </c>
      <c r="AG155" s="6">
        <f>IF((G154&lt;&gt;"")*(G158=""),IF((G154&lt;=$B$441)*((G155&gt;=$C$441)+(G155&lt;2/24)),1,0),0)</f>
        <v>0</v>
      </c>
      <c r="AH155" s="6">
        <f>IF((H154&lt;&gt;"")*(H158=""),IF((H154&lt;=$B$441)*((H155&gt;=$C$441)+(H155&lt;2/24)),1,0),0)</f>
        <v>0</v>
      </c>
      <c r="AI155" s="6">
        <f>IF((I154&lt;&gt;"")*(I158=""),IF((I154&lt;=$B$441)*((I155&gt;=$C$441)+(I155&lt;2/24)),1,0),0)</f>
        <v>0</v>
      </c>
      <c r="AJ155" s="6">
        <f>IF((J154&lt;&gt;"")*(J158=""),IF((J154&lt;=$B$441)*((J155&gt;=$C$441)+(J155&lt;2/24)),1,0),0)</f>
        <v>0</v>
      </c>
    </row>
    <row r="156" spans="1:36" ht="13.5" hidden="1" thickBot="1" x14ac:dyDescent="0.25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  <c r="L156" s="6"/>
      <c r="M156" s="21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D156" s="6">
        <f>IF((D154&lt;&gt;"")*(D158=""),IF((D154&lt;=$B$442)*((D155&gt;=$C$442)+(D155&lt;2/24)),1,0),0)</f>
        <v>0</v>
      </c>
      <c r="AE156" s="6">
        <f>IF((E154&lt;&gt;"")*(E158=""),IF((E154&lt;=$B$442)*((E155&gt;=$C$442)+(E155&lt;2/24)),1,0),0)</f>
        <v>0</v>
      </c>
      <c r="AF156" s="6">
        <f>IF((F154&lt;&gt;"")*(F158=""),IF((F154&lt;=$B$442)*((F155&gt;=$C$442)+(F155&lt;2/24)),1,0),0)</f>
        <v>0</v>
      </c>
      <c r="AG156" s="6">
        <f>IF((G154&lt;&gt;"")*(G158=""),IF((G154&lt;=$B$442)*((G155&gt;=$C$442)+(G155&lt;2/24)),1,0),0)</f>
        <v>0</v>
      </c>
      <c r="AH156" s="6">
        <f>IF((H154&lt;&gt;"")*(H158=""),IF((H154&lt;=$B$442)*((H155&gt;=$C$442)+(H155&lt;2/24)),1,0),0)</f>
        <v>0</v>
      </c>
      <c r="AI156" s="6">
        <f>IF((I154&lt;&gt;"")*(I158=""),IF((I154&lt;=$B$442)*((I155&gt;=$C$442)+(I155&lt;2/24)),1,0),0)</f>
        <v>0</v>
      </c>
      <c r="AJ156" s="6">
        <f>IF((J154&lt;&gt;"")*(J158=""),IF((J154&lt;=$B$442)*((J155&gt;=$C$442)+(J155&lt;2/24)),1,0),0)</f>
        <v>0</v>
      </c>
    </row>
    <row r="157" spans="1:36" ht="13.5" hidden="1" thickBot="1" x14ac:dyDescent="0.25">
      <c r="A157" s="39"/>
      <c r="B157" s="40"/>
      <c r="C157" s="15" t="s">
        <v>3</v>
      </c>
      <c r="D157" s="43"/>
      <c r="E157" s="43"/>
      <c r="F157" s="43"/>
      <c r="G157" s="43"/>
      <c r="H157" s="43"/>
      <c r="I157" s="43"/>
      <c r="J157" s="44"/>
      <c r="K157" s="18">
        <f>SUMIF(D158:J158,"",D157:J157)</f>
        <v>0</v>
      </c>
      <c r="L157" s="12">
        <f>SUM(D157:J157)</f>
        <v>0</v>
      </c>
      <c r="M157" s="24"/>
      <c r="N157" s="10">
        <f t="shared" ref="N157:T157" si="98">IF(D158="",D157,0)</f>
        <v>0</v>
      </c>
      <c r="O157" s="10">
        <f t="shared" si="98"/>
        <v>0</v>
      </c>
      <c r="P157" s="10">
        <f t="shared" si="98"/>
        <v>0</v>
      </c>
      <c r="Q157" s="10">
        <f t="shared" si="98"/>
        <v>0</v>
      </c>
      <c r="R157" s="10">
        <f t="shared" si="98"/>
        <v>0</v>
      </c>
      <c r="S157" s="10">
        <f t="shared" si="98"/>
        <v>0</v>
      </c>
      <c r="T157" s="10">
        <f t="shared" si="98"/>
        <v>0</v>
      </c>
      <c r="U157" s="10"/>
      <c r="V157" s="10">
        <f t="shared" ref="V157:AB157" si="99">D157</f>
        <v>0</v>
      </c>
      <c r="W157" s="10">
        <f t="shared" si="99"/>
        <v>0</v>
      </c>
      <c r="X157" s="10">
        <f t="shared" si="99"/>
        <v>0</v>
      </c>
      <c r="Y157" s="10">
        <f t="shared" si="99"/>
        <v>0</v>
      </c>
      <c r="Z157" s="10">
        <f t="shared" si="99"/>
        <v>0</v>
      </c>
      <c r="AA157" s="10">
        <f t="shared" si="99"/>
        <v>0</v>
      </c>
      <c r="AB157" s="10">
        <f t="shared" si="99"/>
        <v>0</v>
      </c>
      <c r="AD157" s="6">
        <f>IF((D154&lt;&gt;"")*(D158=""),IF((D154&lt;=$B$443)*((D155&gt;=$C$443)+(D155&lt;2/24)),1,0),0)</f>
        <v>0</v>
      </c>
      <c r="AE157" s="6">
        <f>IF((E154&lt;&gt;"")*(E158=""),IF((E154&lt;=$B$443)*((E155&gt;=$C$443)+(E155&lt;2/24)),1,0),0)</f>
        <v>0</v>
      </c>
      <c r="AF157" s="6">
        <f>IF((F154&lt;&gt;"")*(F158=""),IF((F154&lt;=$B$443)*((F155&gt;=$C$443)+(F155&lt;2/24)),1,0),0)</f>
        <v>0</v>
      </c>
      <c r="AG157" s="6">
        <f>IF((G154&lt;&gt;"")*(G158=""),IF((G154&lt;=$B$443)*((G155&gt;=$C$443)+(G155&lt;2/24)),1,0),0)</f>
        <v>0</v>
      </c>
      <c r="AH157" s="6">
        <f>IF((H154&lt;&gt;"")*(H158=""),IF((H154&lt;=$B$443)*((H155&gt;=$C$443)+(H155&lt;2/24)),1,0),0)</f>
        <v>0</v>
      </c>
      <c r="AI157" s="6">
        <f>IF((I154&lt;&gt;"")*(I158=""),IF((I154&lt;=$B$443)*((I155&gt;=$C$443)+(I155&lt;2/24)),1,0),0)</f>
        <v>0</v>
      </c>
      <c r="AJ157" s="6">
        <f>IF((J154&lt;&gt;"")*(J158=""),IF((J154&lt;=$B$443)*((J155&gt;=$C$443)+(J155&lt;2/24)),1,0),0)</f>
        <v>0</v>
      </c>
    </row>
    <row r="158" spans="1:36" ht="13.5" hidden="1" thickBot="1" x14ac:dyDescent="0.25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  <c r="N158" s="6"/>
      <c r="O158" s="6"/>
      <c r="P158" s="6"/>
      <c r="Q158" s="6"/>
      <c r="R158" s="6"/>
      <c r="S158" s="6"/>
      <c r="T158" s="6"/>
      <c r="U158" s="6"/>
      <c r="V158" s="20"/>
      <c r="W158" s="20"/>
      <c r="X158" s="20"/>
      <c r="Y158" s="20"/>
      <c r="Z158" s="20"/>
      <c r="AA158" s="20"/>
      <c r="AB158" s="20"/>
      <c r="AD158" s="6">
        <f>IF((D154&lt;&gt;"")*(D158=""),IF((D154&lt;=$B$444)*((D155&gt;=$C$444)+(D155&lt;2/24)),1,0),0)</f>
        <v>0</v>
      </c>
      <c r="AE158" s="6">
        <f>IF((E154&lt;&gt;"")*(E158=""),IF((E154&lt;=$B$444)*((E155&gt;=$C$444)+(E155&lt;2/24)),1,0),0)</f>
        <v>0</v>
      </c>
      <c r="AF158" s="6">
        <f>IF((F154&lt;&gt;"")*(F158=""),IF((F154&lt;=$B$444)*((F155&gt;=$C$444)+(F155&lt;2/24)),1,0),0)</f>
        <v>0</v>
      </c>
      <c r="AG158" s="6">
        <f>IF((G154&lt;&gt;"")*(G158=""),IF((G154&lt;=$B$444)*((G155&gt;=$C$444)+(G155&lt;2/24)),1,0),0)</f>
        <v>0</v>
      </c>
      <c r="AH158" s="6">
        <f>IF((H154&lt;&gt;"")*(H158=""),IF((H154&lt;=$B$444)*((H155&gt;=$C$444)+(H155&lt;2/24)),1,0),0)</f>
        <v>0</v>
      </c>
      <c r="AI158" s="6">
        <f>IF((I154&lt;&gt;"")*(I158=""),IF((I154&lt;=$B$444)*((I155&gt;=$C$444)+(I155&lt;2/24)),1,0),0)</f>
        <v>0</v>
      </c>
      <c r="AJ158" s="6">
        <f>IF((J154&lt;&gt;"")*(J158=""),IF((J154&lt;=$B$444)*((J155&gt;=$C$444)+(J155&lt;2/24)),1,0),0)</f>
        <v>0</v>
      </c>
    </row>
    <row r="159" spans="1:36" ht="13.5" hidden="1" thickBot="1" x14ac:dyDescent="0.25">
      <c r="A159" s="41"/>
      <c r="B159" s="42"/>
      <c r="C159" s="35" t="s">
        <v>28</v>
      </c>
      <c r="D159" s="36"/>
      <c r="E159" s="36"/>
      <c r="F159" s="36"/>
      <c r="G159" s="36"/>
      <c r="H159" s="36"/>
      <c r="I159" s="36"/>
      <c r="J159" s="36"/>
      <c r="K159" s="34"/>
      <c r="L159" s="6"/>
      <c r="M159" s="25"/>
      <c r="N159" s="6"/>
      <c r="O159" s="6"/>
      <c r="P159" s="6"/>
      <c r="Q159" s="6"/>
      <c r="R159" s="6"/>
      <c r="S159" s="6"/>
      <c r="T159" s="6"/>
      <c r="U159" s="6"/>
      <c r="V159" s="20"/>
      <c r="W159" s="20"/>
      <c r="X159" s="20"/>
      <c r="Y159" s="20"/>
      <c r="Z159" s="20"/>
      <c r="AA159" s="20"/>
      <c r="AB159" s="20"/>
      <c r="AD159" s="6"/>
      <c r="AE159" s="6"/>
      <c r="AF159" s="6"/>
      <c r="AG159" s="6"/>
      <c r="AH159" s="6"/>
      <c r="AI159" s="6"/>
      <c r="AJ159" s="6"/>
    </row>
    <row r="160" spans="1:36" ht="13.5" hidden="1" thickBot="1" x14ac:dyDescent="0.25">
      <c r="A160" s="37" t="s">
        <v>29</v>
      </c>
      <c r="B160" s="38" t="s">
        <v>30</v>
      </c>
      <c r="C160" s="14" t="s">
        <v>0</v>
      </c>
      <c r="D160" s="26"/>
      <c r="E160" s="26"/>
      <c r="F160" s="26"/>
      <c r="G160" s="26"/>
      <c r="H160" s="26"/>
      <c r="I160" s="26"/>
      <c r="J160" s="26"/>
      <c r="K160" s="16"/>
      <c r="L160" s="6"/>
      <c r="M160" s="21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D160" s="6">
        <f>IF((D160&lt;&gt;"")*(D164=""),IF((D160&lt;=$B$440)*((D161&gt;=$C$440)+(D161&lt;2/24)),1,0),0)</f>
        <v>0</v>
      </c>
      <c r="AE160" s="6">
        <f>IF((E160&lt;&gt;"")*(E164=""),IF((E160&lt;=$B$440)*((E161&gt;=$C$440)+(E161&lt;2/24)),1,0),0)</f>
        <v>0</v>
      </c>
      <c r="AF160" s="6">
        <f>IF((F160&lt;&gt;"")*(F164=""),IF((F160&lt;=$B$440)*((F161&gt;=$C$440)+(F161&lt;2/24)),1,0),0)</f>
        <v>0</v>
      </c>
      <c r="AG160" s="6">
        <f>IF((G160&lt;&gt;"")*(G164=""),IF((G160&lt;=$B$440)*((G161&gt;=$C$440)+(G161&lt;2/24)),1,0),0)</f>
        <v>0</v>
      </c>
      <c r="AH160" s="6">
        <f>IF((H160&lt;&gt;"")*(H164=""),IF((H160&lt;=$B$440)*((H161&gt;=$C$440)+(H161&lt;2/24)),1,0),0)</f>
        <v>0</v>
      </c>
      <c r="AI160" s="6">
        <f>IF((I160&lt;&gt;"")*(I164=""),IF((I160&lt;=$B$440)*((I161&gt;=$C$440)+(I161&lt;2/24)),1,0),0)</f>
        <v>0</v>
      </c>
      <c r="AJ160" s="6">
        <f>IF((J160&lt;&gt;"")*(J164=""),IF((J160&lt;=$B$440)*((J161&gt;=$C$440)+(J161&lt;2/24)),1,0),0)</f>
        <v>0</v>
      </c>
    </row>
    <row r="161" spans="1:36" ht="13.5" hidden="1" thickBot="1" x14ac:dyDescent="0.25">
      <c r="A161" s="39"/>
      <c r="B161" s="40"/>
      <c r="C161" s="15" t="s">
        <v>1</v>
      </c>
      <c r="D161" s="27"/>
      <c r="E161" s="27"/>
      <c r="F161" s="27"/>
      <c r="G161" s="27"/>
      <c r="H161" s="27"/>
      <c r="I161" s="27"/>
      <c r="J161" s="27"/>
      <c r="K161" s="17"/>
      <c r="L161" s="6"/>
      <c r="M161" s="21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D161" s="6">
        <f>IF((D160&lt;&gt;"")*(D164=""),IF((D160&lt;=$B$441)*((D161&gt;=$C$441)+(D161&lt;2/24)),1,0),0)</f>
        <v>0</v>
      </c>
      <c r="AE161" s="6">
        <f>IF((E160&lt;&gt;"")*(E164=""),IF((E160&lt;=$B$441)*((E161&gt;=$C$441)+(E161&lt;2/24)),1,0),0)</f>
        <v>0</v>
      </c>
      <c r="AF161" s="6">
        <f>IF((F160&lt;&gt;"")*(F164=""),IF((F160&lt;=$B$441)*((F161&gt;=$C$441)+(F161&lt;2/24)),1,0),0)</f>
        <v>0</v>
      </c>
      <c r="AG161" s="6">
        <f>IF((G160&lt;&gt;"")*(G164=""),IF((G160&lt;=$B$441)*((G161&gt;=$C$441)+(G161&lt;2/24)),1,0),0)</f>
        <v>0</v>
      </c>
      <c r="AH161" s="6">
        <f>IF((H160&lt;&gt;"")*(H164=""),IF((H160&lt;=$B$441)*((H161&gt;=$C$441)+(H161&lt;2/24)),1,0),0)</f>
        <v>0</v>
      </c>
      <c r="AI161" s="6">
        <f>IF((I160&lt;&gt;"")*(I164=""),IF((I160&lt;=$B$441)*((I161&gt;=$C$441)+(I161&lt;2/24)),1,0),0)</f>
        <v>0</v>
      </c>
      <c r="AJ161" s="6">
        <f>IF((J160&lt;&gt;"")*(J164=""),IF((J160&lt;=$B$441)*((J161&gt;=$C$441)+(J161&lt;2/24)),1,0),0)</f>
        <v>0</v>
      </c>
    </row>
    <row r="162" spans="1:36" ht="13.5" hidden="1" thickBot="1" x14ac:dyDescent="0.25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  <c r="L162" s="6"/>
      <c r="M162" s="21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D162" s="6">
        <f>IF((D160&lt;&gt;"")*(D164=""),IF((D160&lt;=$B$442)*((D161&gt;=$C$442)+(D161&lt;2/24)),1,0),0)</f>
        <v>0</v>
      </c>
      <c r="AE162" s="6">
        <f>IF((E160&lt;&gt;"")*(E164=""),IF((E160&lt;=$B$442)*((E161&gt;=$C$442)+(E161&lt;2/24)),1,0),0)</f>
        <v>0</v>
      </c>
      <c r="AF162" s="6">
        <f>IF((F160&lt;&gt;"")*(F164=""),IF((F160&lt;=$B$442)*((F161&gt;=$C$442)+(F161&lt;2/24)),1,0),0)</f>
        <v>0</v>
      </c>
      <c r="AG162" s="6">
        <f>IF((G160&lt;&gt;"")*(G164=""),IF((G160&lt;=$B$442)*((G161&gt;=$C$442)+(G161&lt;2/24)),1,0),0)</f>
        <v>0</v>
      </c>
      <c r="AH162" s="6">
        <f>IF((H160&lt;&gt;"")*(H164=""),IF((H160&lt;=$B$442)*((H161&gt;=$C$442)+(H161&lt;2/24)),1,0),0)</f>
        <v>0</v>
      </c>
      <c r="AI162" s="6">
        <f>IF((I160&lt;&gt;"")*(I164=""),IF((I160&lt;=$B$442)*((I161&gt;=$C$442)+(I161&lt;2/24)),1,0),0)</f>
        <v>0</v>
      </c>
      <c r="AJ162" s="6">
        <f>IF((J160&lt;&gt;"")*(J164=""),IF((J160&lt;=$B$442)*((J161&gt;=$C$442)+(J161&lt;2/24)),1,0),0)</f>
        <v>0</v>
      </c>
    </row>
    <row r="163" spans="1:36" ht="13.5" hidden="1" thickBot="1" x14ac:dyDescent="0.25">
      <c r="A163" s="39"/>
      <c r="B163" s="40"/>
      <c r="C163" s="15" t="s">
        <v>3</v>
      </c>
      <c r="D163" s="43"/>
      <c r="E163" s="43"/>
      <c r="F163" s="43"/>
      <c r="G163" s="43"/>
      <c r="H163" s="43"/>
      <c r="I163" s="43"/>
      <c r="J163" s="44"/>
      <c r="K163" s="18">
        <f>SUMIF(D164:J164,"",D163:J163)</f>
        <v>0</v>
      </c>
      <c r="L163" s="12">
        <f>SUM(D163:J163)</f>
        <v>0</v>
      </c>
      <c r="M163" s="24"/>
      <c r="N163" s="10">
        <f t="shared" ref="N163:T163" si="100">IF(D164="",D163,0)</f>
        <v>0</v>
      </c>
      <c r="O163" s="10">
        <f t="shared" si="100"/>
        <v>0</v>
      </c>
      <c r="P163" s="10">
        <f t="shared" si="100"/>
        <v>0</v>
      </c>
      <c r="Q163" s="10">
        <f t="shared" si="100"/>
        <v>0</v>
      </c>
      <c r="R163" s="10">
        <f t="shared" si="100"/>
        <v>0</v>
      </c>
      <c r="S163" s="10">
        <f t="shared" si="100"/>
        <v>0</v>
      </c>
      <c r="T163" s="10">
        <f t="shared" si="100"/>
        <v>0</v>
      </c>
      <c r="U163" s="10"/>
      <c r="V163" s="10">
        <f t="shared" ref="V163:AB163" si="101">D163</f>
        <v>0</v>
      </c>
      <c r="W163" s="10">
        <f t="shared" si="101"/>
        <v>0</v>
      </c>
      <c r="X163" s="10">
        <f t="shared" si="101"/>
        <v>0</v>
      </c>
      <c r="Y163" s="10">
        <f t="shared" si="101"/>
        <v>0</v>
      </c>
      <c r="Z163" s="10">
        <f t="shared" si="101"/>
        <v>0</v>
      </c>
      <c r="AA163" s="10">
        <f t="shared" si="101"/>
        <v>0</v>
      </c>
      <c r="AB163" s="10">
        <f t="shared" si="101"/>
        <v>0</v>
      </c>
      <c r="AD163" s="6">
        <f>IF((D160&lt;&gt;"")*(D164=""),IF((D160&lt;=$B$443)*((D161&gt;=$C$443)+(D161&lt;2/24)),1,0),0)</f>
        <v>0</v>
      </c>
      <c r="AE163" s="6">
        <f>IF((E160&lt;&gt;"")*(E164=""),IF((E160&lt;=$B$443)*((E161&gt;=$C$443)+(E161&lt;2/24)),1,0),0)</f>
        <v>0</v>
      </c>
      <c r="AF163" s="6">
        <f>IF((F160&lt;&gt;"")*(F164=""),IF((F160&lt;=$B$443)*((F161&gt;=$C$443)+(F161&lt;2/24)),1,0),0)</f>
        <v>0</v>
      </c>
      <c r="AG163" s="6">
        <f>IF((G160&lt;&gt;"")*(G164=""),IF((G160&lt;=$B$443)*((G161&gt;=$C$443)+(G161&lt;2/24)),1,0),0)</f>
        <v>0</v>
      </c>
      <c r="AH163" s="6">
        <f>IF((H160&lt;&gt;"")*(H164=""),IF((H160&lt;=$B$443)*((H161&gt;=$C$443)+(H161&lt;2/24)),1,0),0)</f>
        <v>0</v>
      </c>
      <c r="AI163" s="6">
        <f>IF((I160&lt;&gt;"")*(I164=""),IF((I160&lt;=$B$443)*((I161&gt;=$C$443)+(I161&lt;2/24)),1,0),0)</f>
        <v>0</v>
      </c>
      <c r="AJ163" s="6">
        <f>IF((J160&lt;&gt;"")*(J164=""),IF((J160&lt;=$B$443)*((J161&gt;=$C$443)+(J161&lt;2/24)),1,0),0)</f>
        <v>0</v>
      </c>
    </row>
    <row r="164" spans="1:36" ht="13.5" hidden="1" thickBot="1" x14ac:dyDescent="0.25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  <c r="N164" s="6"/>
      <c r="O164" s="6"/>
      <c r="P164" s="6"/>
      <c r="Q164" s="6"/>
      <c r="R164" s="6"/>
      <c r="S164" s="6"/>
      <c r="T164" s="6"/>
      <c r="U164" s="6"/>
      <c r="V164" s="20"/>
      <c r="W164" s="20"/>
      <c r="X164" s="20"/>
      <c r="Y164" s="20"/>
      <c r="Z164" s="20"/>
      <c r="AA164" s="20"/>
      <c r="AB164" s="20"/>
      <c r="AD164" s="6">
        <f>IF((D160&lt;&gt;"")*(D164=""),IF((D160&lt;=$B$444)*((D161&gt;=$C$444)+(D161&lt;2/24)),1,0),0)</f>
        <v>0</v>
      </c>
      <c r="AE164" s="6">
        <f>IF((E160&lt;&gt;"")*(E164=""),IF((E160&lt;=$B$444)*((E161&gt;=$C$444)+(E161&lt;2/24)),1,0),0)</f>
        <v>0</v>
      </c>
      <c r="AF164" s="6">
        <f>IF((F160&lt;&gt;"")*(F164=""),IF((F160&lt;=$B$444)*((F161&gt;=$C$444)+(F161&lt;2/24)),1,0),0)</f>
        <v>0</v>
      </c>
      <c r="AG164" s="6">
        <f>IF((G160&lt;&gt;"")*(G164=""),IF((G160&lt;=$B$444)*((G161&gt;=$C$444)+(G161&lt;2/24)),1,0),0)</f>
        <v>0</v>
      </c>
      <c r="AH164" s="6">
        <f>IF((H160&lt;&gt;"")*(H164=""),IF((H160&lt;=$B$444)*((H161&gt;=$C$444)+(H161&lt;2/24)),1,0),0)</f>
        <v>0</v>
      </c>
      <c r="AI164" s="6">
        <f>IF((I160&lt;&gt;"")*(I164=""),IF((I160&lt;=$B$444)*((I161&gt;=$C$444)+(I161&lt;2/24)),1,0),0)</f>
        <v>0</v>
      </c>
      <c r="AJ164" s="6">
        <f>IF((J160&lt;&gt;"")*(J164=""),IF((J160&lt;=$B$444)*((J161&gt;=$C$444)+(J161&lt;2/24)),1,0),0)</f>
        <v>0</v>
      </c>
    </row>
    <row r="165" spans="1:36" ht="13.5" hidden="1" thickBot="1" x14ac:dyDescent="0.25">
      <c r="A165" s="41"/>
      <c r="B165" s="42"/>
      <c r="C165" s="35" t="s">
        <v>28</v>
      </c>
      <c r="D165" s="36"/>
      <c r="E165" s="36"/>
      <c r="F165" s="36"/>
      <c r="G165" s="36"/>
      <c r="H165" s="36"/>
      <c r="I165" s="36"/>
      <c r="J165" s="36"/>
      <c r="K165" s="34"/>
      <c r="L165" s="6"/>
      <c r="M165" s="25"/>
      <c r="N165" s="6"/>
      <c r="O165" s="6"/>
      <c r="P165" s="6"/>
      <c r="Q165" s="6"/>
      <c r="R165" s="6"/>
      <c r="S165" s="6"/>
      <c r="T165" s="6"/>
      <c r="U165" s="6"/>
      <c r="V165" s="20"/>
      <c r="W165" s="20"/>
      <c r="X165" s="20"/>
      <c r="Y165" s="20"/>
      <c r="Z165" s="20"/>
      <c r="AA165" s="20"/>
      <c r="AB165" s="20"/>
      <c r="AD165" s="6"/>
      <c r="AE165" s="6"/>
      <c r="AF165" s="6"/>
      <c r="AG165" s="6"/>
      <c r="AH165" s="6"/>
      <c r="AI165" s="6"/>
      <c r="AJ165" s="6"/>
    </row>
    <row r="166" spans="1:36" ht="13.5" hidden="1" thickBot="1" x14ac:dyDescent="0.25">
      <c r="A166" s="37" t="s">
        <v>29</v>
      </c>
      <c r="B166" s="38" t="s">
        <v>30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  <c r="L166" s="6"/>
      <c r="M166" s="21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D166" s="6">
        <f>IF((D166&lt;&gt;"")*(D170=""),IF((D166&lt;=$B$440)*((D167&gt;=$C$440)+(D167&lt;2/24)),1,0),0)</f>
        <v>0</v>
      </c>
      <c r="AE166" s="6">
        <f>IF((E166&lt;&gt;"")*(E170=""),IF((E166&lt;=$B$440)*((E167&gt;=$C$440)+(E167&lt;2/24)),1,0),0)</f>
        <v>0</v>
      </c>
      <c r="AF166" s="6">
        <f>IF((F166&lt;&gt;"")*(F170=""),IF((F166&lt;=$B$440)*((F167&gt;=$C$440)+(F167&lt;2/24)),1,0),0)</f>
        <v>0</v>
      </c>
      <c r="AG166" s="6">
        <f>IF((G166&lt;&gt;"")*(G170=""),IF((G166&lt;=$B$440)*((G167&gt;=$C$440)+(G167&lt;2/24)),1,0),0)</f>
        <v>0</v>
      </c>
      <c r="AH166" s="6">
        <f>IF((H166&lt;&gt;"")*(H170=""),IF((H166&lt;=$B$440)*((H167&gt;=$C$440)+(H167&lt;2/24)),1,0),0)</f>
        <v>0</v>
      </c>
      <c r="AI166" s="6">
        <f>IF((I166&lt;&gt;"")*(I170=""),IF((I166&lt;=$B$440)*((I167&gt;=$C$440)+(I167&lt;2/24)),1,0),0)</f>
        <v>0</v>
      </c>
      <c r="AJ166" s="6">
        <f>IF((J166&lt;&gt;"")*(J170=""),IF((J166&lt;=$B$440)*((J167&gt;=$C$440)+(J167&lt;2/24)),1,0),0)</f>
        <v>0</v>
      </c>
    </row>
    <row r="167" spans="1:36" ht="13.5" hidden="1" thickBot="1" x14ac:dyDescent="0.25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  <c r="L167" s="6"/>
      <c r="M167" s="21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D167" s="6">
        <f>IF((D166&lt;&gt;"")*(D170=""),IF((D166&lt;=$B$441)*((D167&gt;=$C$441)+(D167&lt;2/24)),1,0),0)</f>
        <v>0</v>
      </c>
      <c r="AE167" s="6">
        <f>IF((E166&lt;&gt;"")*(E170=""),IF((E166&lt;=$B$441)*((E167&gt;=$C$441)+(E167&lt;2/24)),1,0),0)</f>
        <v>0</v>
      </c>
      <c r="AF167" s="6">
        <f>IF((F166&lt;&gt;"")*(F170=""),IF((F166&lt;=$B$441)*((F167&gt;=$C$441)+(F167&lt;2/24)),1,0),0)</f>
        <v>0</v>
      </c>
      <c r="AG167" s="6">
        <f>IF((G166&lt;&gt;"")*(G170=""),IF((G166&lt;=$B$441)*((G167&gt;=$C$441)+(G167&lt;2/24)),1,0),0)</f>
        <v>0</v>
      </c>
      <c r="AH167" s="6">
        <f>IF((H166&lt;&gt;"")*(H170=""),IF((H166&lt;=$B$441)*((H167&gt;=$C$441)+(H167&lt;2/24)),1,0),0)</f>
        <v>0</v>
      </c>
      <c r="AI167" s="6">
        <f>IF((I166&lt;&gt;"")*(I170=""),IF((I166&lt;=$B$441)*((I167&gt;=$C$441)+(I167&lt;2/24)),1,0),0)</f>
        <v>0</v>
      </c>
      <c r="AJ167" s="6">
        <f>IF((J166&lt;&gt;"")*(J170=""),IF((J166&lt;=$B$441)*((J167&gt;=$C$441)+(J167&lt;2/24)),1,0),0)</f>
        <v>0</v>
      </c>
    </row>
    <row r="168" spans="1:36" ht="13.5" hidden="1" thickBot="1" x14ac:dyDescent="0.25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D168" s="6">
        <f>IF((D166&lt;&gt;"")*(D170=""),IF((D166&lt;=$B$442)*((D167&gt;=$C$442)+(D167&lt;2/24)),1,0),0)</f>
        <v>0</v>
      </c>
      <c r="AE168" s="6">
        <f>IF((E166&lt;&gt;"")*(E170=""),IF((E166&lt;=$B$442)*((E167&gt;=$C$442)+(E167&lt;2/24)),1,0),0)</f>
        <v>0</v>
      </c>
      <c r="AF168" s="6">
        <f>IF((F166&lt;&gt;"")*(F170=""),IF((F166&lt;=$B$442)*((F167&gt;=$C$442)+(F167&lt;2/24)),1,0),0)</f>
        <v>0</v>
      </c>
      <c r="AG168" s="6">
        <f>IF((G166&lt;&gt;"")*(G170=""),IF((G166&lt;=$B$442)*((G167&gt;=$C$442)+(G167&lt;2/24)),1,0),0)</f>
        <v>0</v>
      </c>
      <c r="AH168" s="6">
        <f>IF((H166&lt;&gt;"")*(H170=""),IF((H166&lt;=$B$442)*((H167&gt;=$C$442)+(H167&lt;2/24)),1,0),0)</f>
        <v>0</v>
      </c>
      <c r="AI168" s="6">
        <f>IF((I166&lt;&gt;"")*(I170=""),IF((I166&lt;=$B$442)*((I167&gt;=$C$442)+(I167&lt;2/24)),1,0),0)</f>
        <v>0</v>
      </c>
      <c r="AJ168" s="6">
        <f>IF((J166&lt;&gt;"")*(J170=""),IF((J166&lt;=$B$442)*((J167&gt;=$C$442)+(J167&lt;2/24)),1,0),0)</f>
        <v>0</v>
      </c>
    </row>
    <row r="169" spans="1:36" ht="13.5" hidden="1" thickBot="1" x14ac:dyDescent="0.25">
      <c r="A169" s="39"/>
      <c r="B169" s="40"/>
      <c r="C169" s="15" t="s">
        <v>3</v>
      </c>
      <c r="D169" s="43"/>
      <c r="E169" s="43"/>
      <c r="F169" s="43"/>
      <c r="G169" s="43"/>
      <c r="H169" s="43"/>
      <c r="I169" s="43"/>
      <c r="J169" s="44"/>
      <c r="K169" s="18">
        <f>SUMIF(D170:J170,"",D169:J169)</f>
        <v>0</v>
      </c>
      <c r="L169" s="12">
        <f>SUM(D169:J169)</f>
        <v>0</v>
      </c>
      <c r="M169" s="24"/>
      <c r="N169" s="10">
        <f t="shared" ref="N169:T169" si="102">IF(D170="",D169,0)</f>
        <v>0</v>
      </c>
      <c r="O169" s="10">
        <f t="shared" si="102"/>
        <v>0</v>
      </c>
      <c r="P169" s="10">
        <f t="shared" si="102"/>
        <v>0</v>
      </c>
      <c r="Q169" s="10">
        <f t="shared" si="102"/>
        <v>0</v>
      </c>
      <c r="R169" s="10">
        <f t="shared" si="102"/>
        <v>0</v>
      </c>
      <c r="S169" s="10">
        <f t="shared" si="102"/>
        <v>0</v>
      </c>
      <c r="T169" s="10">
        <f t="shared" si="102"/>
        <v>0</v>
      </c>
      <c r="U169" s="10"/>
      <c r="V169" s="10">
        <f t="shared" ref="V169:AB169" si="103">D169</f>
        <v>0</v>
      </c>
      <c r="W169" s="10">
        <f t="shared" si="103"/>
        <v>0</v>
      </c>
      <c r="X169" s="10">
        <f t="shared" si="103"/>
        <v>0</v>
      </c>
      <c r="Y169" s="10">
        <f t="shared" si="103"/>
        <v>0</v>
      </c>
      <c r="Z169" s="10">
        <f t="shared" si="103"/>
        <v>0</v>
      </c>
      <c r="AA169" s="10">
        <f t="shared" si="103"/>
        <v>0</v>
      </c>
      <c r="AB169" s="10">
        <f t="shared" si="103"/>
        <v>0</v>
      </c>
      <c r="AD169" s="6">
        <f>IF((D166&lt;&gt;"")*(D170=""),IF((D166&lt;=$B$443)*((D167&gt;=$C$443)+(D167&lt;2/24)),1,0),0)</f>
        <v>0</v>
      </c>
      <c r="AE169" s="6">
        <f>IF((E166&lt;&gt;"")*(E170=""),IF((E166&lt;=$B$443)*((E167&gt;=$C$443)+(E167&lt;2/24)),1,0),0)</f>
        <v>0</v>
      </c>
      <c r="AF169" s="6">
        <f>IF((F166&lt;&gt;"")*(F170=""),IF((F166&lt;=$B$443)*((F167&gt;=$C$443)+(F167&lt;2/24)),1,0),0)</f>
        <v>0</v>
      </c>
      <c r="AG169" s="6">
        <f>IF((G166&lt;&gt;"")*(G170=""),IF((G166&lt;=$B$443)*((G167&gt;=$C$443)+(G167&lt;2/24)),1,0),0)</f>
        <v>0</v>
      </c>
      <c r="AH169" s="6">
        <f>IF((H166&lt;&gt;"")*(H170=""),IF((H166&lt;=$B$443)*((H167&gt;=$C$443)+(H167&lt;2/24)),1,0),0)</f>
        <v>0</v>
      </c>
      <c r="AI169" s="6">
        <f>IF((I166&lt;&gt;"")*(I170=""),IF((I166&lt;=$B$443)*((I167&gt;=$C$443)+(I167&lt;2/24)),1,0),0)</f>
        <v>0</v>
      </c>
      <c r="AJ169" s="6">
        <f>IF((J166&lt;&gt;"")*(J170=""),IF((J166&lt;=$B$443)*((J167&gt;=$C$443)+(J167&lt;2/24)),1,0),0)</f>
        <v>0</v>
      </c>
    </row>
    <row r="170" spans="1:36" ht="13.5" hidden="1" thickBot="1" x14ac:dyDescent="0.25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  <c r="N170" s="6"/>
      <c r="O170" s="6"/>
      <c r="P170" s="6"/>
      <c r="Q170" s="6"/>
      <c r="R170" s="6"/>
      <c r="S170" s="6"/>
      <c r="T170" s="6"/>
      <c r="U170" s="6"/>
      <c r="V170" s="20"/>
      <c r="W170" s="20"/>
      <c r="X170" s="20"/>
      <c r="Y170" s="20"/>
      <c r="Z170" s="20"/>
      <c r="AA170" s="20"/>
      <c r="AB170" s="20"/>
      <c r="AD170" s="6">
        <f>IF((D166&lt;&gt;"")*(D170=""),IF((D166&lt;=$B$444)*((D167&gt;=$C$444)+(D167&lt;2/24)),1,0),0)</f>
        <v>0</v>
      </c>
      <c r="AE170" s="6">
        <f>IF((E166&lt;&gt;"")*(E170=""),IF((E166&lt;=$B$444)*((E167&gt;=$C$444)+(E167&lt;2/24)),1,0),0)</f>
        <v>0</v>
      </c>
      <c r="AF170" s="6">
        <f>IF((F166&lt;&gt;"")*(F170=""),IF((F166&lt;=$B$444)*((F167&gt;=$C$444)+(F167&lt;2/24)),1,0),0)</f>
        <v>0</v>
      </c>
      <c r="AG170" s="6">
        <f>IF((G166&lt;&gt;"")*(G170=""),IF((G166&lt;=$B$444)*((G167&gt;=$C$444)+(G167&lt;2/24)),1,0),0)</f>
        <v>0</v>
      </c>
      <c r="AH170" s="6">
        <f>IF((H166&lt;&gt;"")*(H170=""),IF((H166&lt;=$B$444)*((H167&gt;=$C$444)+(H167&lt;2/24)),1,0),0)</f>
        <v>0</v>
      </c>
      <c r="AI170" s="6">
        <f>IF((I166&lt;&gt;"")*(I170=""),IF((I166&lt;=$B$444)*((I167&gt;=$C$444)+(I167&lt;2/24)),1,0),0)</f>
        <v>0</v>
      </c>
      <c r="AJ170" s="6">
        <f>IF((J166&lt;&gt;"")*(J170=""),IF((J166&lt;=$B$444)*((J167&gt;=$C$444)+(J167&lt;2/24)),1,0),0)</f>
        <v>0</v>
      </c>
    </row>
    <row r="171" spans="1:36" ht="13.5" hidden="1" thickBot="1" x14ac:dyDescent="0.25">
      <c r="A171" s="41"/>
      <c r="B171" s="42"/>
      <c r="C171" s="35" t="s">
        <v>28</v>
      </c>
      <c r="D171" s="36"/>
      <c r="E171" s="36"/>
      <c r="F171" s="36"/>
      <c r="G171" s="36"/>
      <c r="H171" s="36"/>
      <c r="I171" s="36"/>
      <c r="J171" s="36"/>
      <c r="K171" s="34"/>
      <c r="L171" s="6"/>
      <c r="M171" s="25"/>
      <c r="N171" s="6"/>
      <c r="O171" s="6"/>
      <c r="P171" s="6"/>
      <c r="Q171" s="6"/>
      <c r="R171" s="6"/>
      <c r="S171" s="6"/>
      <c r="T171" s="6"/>
      <c r="U171" s="6"/>
      <c r="V171" s="20"/>
      <c r="W171" s="20"/>
      <c r="X171" s="20"/>
      <c r="Y171" s="20"/>
      <c r="Z171" s="20"/>
      <c r="AA171" s="20"/>
      <c r="AB171" s="20"/>
      <c r="AD171" s="6"/>
      <c r="AE171" s="6"/>
      <c r="AF171" s="6"/>
      <c r="AG171" s="6"/>
      <c r="AH171" s="6"/>
      <c r="AI171" s="6"/>
      <c r="AJ171" s="6"/>
    </row>
    <row r="172" spans="1:36" ht="13.5" hidden="1" thickBot="1" x14ac:dyDescent="0.25">
      <c r="A172" s="37" t="s">
        <v>29</v>
      </c>
      <c r="B172" s="38" t="s">
        <v>30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  <c r="L172" s="6"/>
      <c r="M172" s="21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D172" s="6">
        <f>IF((D172&lt;&gt;"")*(D176=""),IF((D172&lt;=$B$440)*((D173&gt;=$C$440)+(D173&lt;2/24)),1,0),0)</f>
        <v>0</v>
      </c>
      <c r="AE172" s="6">
        <f>IF((E172&lt;&gt;"")*(E176=""),IF((E172&lt;=$B$440)*((E173&gt;=$C$440)+(E173&lt;2/24)),1,0),0)</f>
        <v>0</v>
      </c>
      <c r="AF172" s="6">
        <f>IF((F172&lt;&gt;"")*(F176=""),IF((F172&lt;=$B$440)*((F173&gt;=$C$440)+(F173&lt;2/24)),1,0),0)</f>
        <v>0</v>
      </c>
      <c r="AG172" s="6">
        <f>IF((G172&lt;&gt;"")*(G176=""),IF((G172&lt;=$B$440)*((G173&gt;=$C$440)+(G173&lt;2/24)),1,0),0)</f>
        <v>0</v>
      </c>
      <c r="AH172" s="6">
        <f>IF((H172&lt;&gt;"")*(H176=""),IF((H172&lt;=$B$440)*((H173&gt;=$C$440)+(H173&lt;2/24)),1,0),0)</f>
        <v>0</v>
      </c>
      <c r="AI172" s="6">
        <f>IF((I172&lt;&gt;"")*(I176=""),IF((I172&lt;=$B$440)*((I173&gt;=$C$440)+(I173&lt;2/24)),1,0),0)</f>
        <v>0</v>
      </c>
      <c r="AJ172" s="6">
        <f>IF((J172&lt;&gt;"")*(J176=""),IF((J172&lt;=$B$440)*((J173&gt;=$C$440)+(J173&lt;2/24)),1,0),0)</f>
        <v>0</v>
      </c>
    </row>
    <row r="173" spans="1:36" ht="13.5" hidden="1" thickBot="1" x14ac:dyDescent="0.25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  <c r="L173" s="6"/>
      <c r="M173" s="21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D173" s="6">
        <f>IF((D172&lt;&gt;"")*(D176=""),IF((D172&lt;=$B$441)*((D173&gt;=$C$441)+(D173&lt;2/24)),1,0),0)</f>
        <v>0</v>
      </c>
      <c r="AE173" s="6">
        <f>IF((E172&lt;&gt;"")*(E176=""),IF((E172&lt;=$B$441)*((E173&gt;=$C$441)+(E173&lt;2/24)),1,0),0)</f>
        <v>0</v>
      </c>
      <c r="AF173" s="6">
        <f>IF((F172&lt;&gt;"")*(F176=""),IF((F172&lt;=$B$441)*((F173&gt;=$C$441)+(F173&lt;2/24)),1,0),0)</f>
        <v>0</v>
      </c>
      <c r="AG173" s="6">
        <f>IF((G172&lt;&gt;"")*(G176=""),IF((G172&lt;=$B$441)*((G173&gt;=$C$441)+(G173&lt;2/24)),1,0),0)</f>
        <v>0</v>
      </c>
      <c r="AH173" s="6">
        <f>IF((H172&lt;&gt;"")*(H176=""),IF((H172&lt;=$B$441)*((H173&gt;=$C$441)+(H173&lt;2/24)),1,0),0)</f>
        <v>0</v>
      </c>
      <c r="AI173" s="6">
        <f>IF((I172&lt;&gt;"")*(I176=""),IF((I172&lt;=$B$441)*((I173&gt;=$C$441)+(I173&lt;2/24)),1,0),0)</f>
        <v>0</v>
      </c>
      <c r="AJ173" s="6">
        <f>IF((J172&lt;&gt;"")*(J176=""),IF((J172&lt;=$B$441)*((J173&gt;=$C$441)+(J173&lt;2/24)),1,0),0)</f>
        <v>0</v>
      </c>
    </row>
    <row r="174" spans="1:36" ht="13.5" hidden="1" thickBot="1" x14ac:dyDescent="0.25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D174" s="6">
        <f>IF((D172&lt;&gt;"")*(D176=""),IF((D172&lt;=$B$442)*((D173&gt;=$C$442)+(D173&lt;2/24)),1,0),0)</f>
        <v>0</v>
      </c>
      <c r="AE174" s="6">
        <f>IF((E172&lt;&gt;"")*(E176=""),IF((E172&lt;=$B$442)*((E173&gt;=$C$442)+(E173&lt;2/24)),1,0),0)</f>
        <v>0</v>
      </c>
      <c r="AF174" s="6">
        <f>IF((F172&lt;&gt;"")*(F176=""),IF((F172&lt;=$B$442)*((F173&gt;=$C$442)+(F173&lt;2/24)),1,0),0)</f>
        <v>0</v>
      </c>
      <c r="AG174" s="6">
        <f>IF((G172&lt;&gt;"")*(G176=""),IF((G172&lt;=$B$442)*((G173&gt;=$C$442)+(G173&lt;2/24)),1,0),0)</f>
        <v>0</v>
      </c>
      <c r="AH174" s="6">
        <f>IF((H172&lt;&gt;"")*(H176=""),IF((H172&lt;=$B$442)*((H173&gt;=$C$442)+(H173&lt;2/24)),1,0),0)</f>
        <v>0</v>
      </c>
      <c r="AI174" s="6">
        <f>IF((I172&lt;&gt;"")*(I176=""),IF((I172&lt;=$B$442)*((I173&gt;=$C$442)+(I173&lt;2/24)),1,0),0)</f>
        <v>0</v>
      </c>
      <c r="AJ174" s="6">
        <f>IF((J172&lt;&gt;"")*(J176=""),IF((J172&lt;=$B$442)*((J173&gt;=$C$442)+(J173&lt;2/24)),1,0),0)</f>
        <v>0</v>
      </c>
    </row>
    <row r="175" spans="1:36" ht="13.5" hidden="1" thickBot="1" x14ac:dyDescent="0.25">
      <c r="A175" s="39"/>
      <c r="B175" s="40"/>
      <c r="C175" s="15" t="s">
        <v>3</v>
      </c>
      <c r="D175" s="43"/>
      <c r="E175" s="43"/>
      <c r="F175" s="43"/>
      <c r="G175" s="43"/>
      <c r="H175" s="43"/>
      <c r="I175" s="43"/>
      <c r="J175" s="44"/>
      <c r="K175" s="18">
        <f>SUMIF(D176:J176,"",D175:J175)</f>
        <v>0</v>
      </c>
      <c r="L175" s="12">
        <f>SUM(D175:J175)</f>
        <v>0</v>
      </c>
      <c r="M175" s="24"/>
      <c r="N175" s="10">
        <f t="shared" ref="N175:T175" si="104">IF(D176="",D175,0)</f>
        <v>0</v>
      </c>
      <c r="O175" s="10">
        <f t="shared" si="104"/>
        <v>0</v>
      </c>
      <c r="P175" s="10">
        <f t="shared" si="104"/>
        <v>0</v>
      </c>
      <c r="Q175" s="10">
        <f t="shared" si="104"/>
        <v>0</v>
      </c>
      <c r="R175" s="10">
        <f t="shared" si="104"/>
        <v>0</v>
      </c>
      <c r="S175" s="10">
        <f t="shared" si="104"/>
        <v>0</v>
      </c>
      <c r="T175" s="10">
        <f t="shared" si="104"/>
        <v>0</v>
      </c>
      <c r="U175" s="10"/>
      <c r="V175" s="10">
        <f t="shared" ref="V175:AB175" si="105">D175</f>
        <v>0</v>
      </c>
      <c r="W175" s="10">
        <f t="shared" si="105"/>
        <v>0</v>
      </c>
      <c r="X175" s="10">
        <f t="shared" si="105"/>
        <v>0</v>
      </c>
      <c r="Y175" s="10">
        <f t="shared" si="105"/>
        <v>0</v>
      </c>
      <c r="Z175" s="10">
        <f t="shared" si="105"/>
        <v>0</v>
      </c>
      <c r="AA175" s="10">
        <f t="shared" si="105"/>
        <v>0</v>
      </c>
      <c r="AB175" s="10">
        <f t="shared" si="105"/>
        <v>0</v>
      </c>
      <c r="AD175" s="6">
        <f>IF((D172&lt;&gt;"")*(D176=""),IF((D172&lt;=$B$443)*((D173&gt;=$C$443)+(D173&lt;2/24)),1,0),0)</f>
        <v>0</v>
      </c>
      <c r="AE175" s="6">
        <f>IF((E172&lt;&gt;"")*(E176=""),IF((E172&lt;=$B$443)*((E173&gt;=$C$443)+(E173&lt;2/24)),1,0),0)</f>
        <v>0</v>
      </c>
      <c r="AF175" s="6">
        <f>IF((F172&lt;&gt;"")*(F176=""),IF((F172&lt;=$B$443)*((F173&gt;=$C$443)+(F173&lt;2/24)),1,0),0)</f>
        <v>0</v>
      </c>
      <c r="AG175" s="6">
        <f>IF((G172&lt;&gt;"")*(G176=""),IF((G172&lt;=$B$443)*((G173&gt;=$C$443)+(G173&lt;2/24)),1,0),0)</f>
        <v>0</v>
      </c>
      <c r="AH175" s="6">
        <f>IF((H172&lt;&gt;"")*(H176=""),IF((H172&lt;=$B$443)*((H173&gt;=$C$443)+(H173&lt;2/24)),1,0),0)</f>
        <v>0</v>
      </c>
      <c r="AI175" s="6">
        <f>IF((I172&lt;&gt;"")*(I176=""),IF((I172&lt;=$B$443)*((I173&gt;=$C$443)+(I173&lt;2/24)),1,0),0)</f>
        <v>0</v>
      </c>
      <c r="AJ175" s="6">
        <f>IF((J172&lt;&gt;"")*(J176=""),IF((J172&lt;=$B$443)*((J173&gt;=$C$443)+(J173&lt;2/24)),1,0),0)</f>
        <v>0</v>
      </c>
    </row>
    <row r="176" spans="1:36" ht="13.5" hidden="1" thickBot="1" x14ac:dyDescent="0.25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  <c r="N176" s="6"/>
      <c r="O176" s="6"/>
      <c r="P176" s="6"/>
      <c r="Q176" s="6"/>
      <c r="R176" s="6"/>
      <c r="S176" s="6"/>
      <c r="T176" s="6"/>
      <c r="U176" s="6"/>
      <c r="V176" s="20"/>
      <c r="W176" s="20"/>
      <c r="X176" s="20"/>
      <c r="Y176" s="20"/>
      <c r="Z176" s="20"/>
      <c r="AA176" s="20"/>
      <c r="AB176" s="20"/>
      <c r="AD176" s="6">
        <f>IF((D172&lt;&gt;"")*(D176=""),IF((D172&lt;=$B$444)*((D173&gt;=$C$444)+(D173&lt;2/24)),1,0),0)</f>
        <v>0</v>
      </c>
      <c r="AE176" s="6">
        <f>IF((E172&lt;&gt;"")*(E176=""),IF((E172&lt;=$B$444)*((E173&gt;=$C$444)+(E173&lt;2/24)),1,0),0)</f>
        <v>0</v>
      </c>
      <c r="AF176" s="6">
        <f>IF((F172&lt;&gt;"")*(F176=""),IF((F172&lt;=$B$444)*((F173&gt;=$C$444)+(F173&lt;2/24)),1,0),0)</f>
        <v>0</v>
      </c>
      <c r="AG176" s="6">
        <f>IF((G172&lt;&gt;"")*(G176=""),IF((G172&lt;=$B$444)*((G173&gt;=$C$444)+(G173&lt;2/24)),1,0),0)</f>
        <v>0</v>
      </c>
      <c r="AH176" s="6">
        <f>IF((H172&lt;&gt;"")*(H176=""),IF((H172&lt;=$B$444)*((H173&gt;=$C$444)+(H173&lt;2/24)),1,0),0)</f>
        <v>0</v>
      </c>
      <c r="AI176" s="6">
        <f>IF((I172&lt;&gt;"")*(I176=""),IF((I172&lt;=$B$444)*((I173&gt;=$C$444)+(I173&lt;2/24)),1,0),0)</f>
        <v>0</v>
      </c>
      <c r="AJ176" s="6">
        <f>IF((J172&lt;&gt;"")*(J176=""),IF((J172&lt;=$B$444)*((J173&gt;=$C$444)+(J173&lt;2/24)),1,0),0)</f>
        <v>0</v>
      </c>
    </row>
    <row r="177" spans="1:36" ht="13.5" hidden="1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36"/>
      <c r="I177" s="36"/>
      <c r="J177" s="36"/>
      <c r="K177" s="34"/>
      <c r="L177" s="6"/>
      <c r="M177" s="25"/>
      <c r="N177" s="6"/>
      <c r="O177" s="6"/>
      <c r="P177" s="6"/>
      <c r="Q177" s="6"/>
      <c r="R177" s="6"/>
      <c r="S177" s="6"/>
      <c r="T177" s="6"/>
      <c r="U177" s="6"/>
      <c r="V177" s="20"/>
      <c r="W177" s="20"/>
      <c r="X177" s="20"/>
      <c r="Y177" s="20"/>
      <c r="Z177" s="20"/>
      <c r="AA177" s="20"/>
      <c r="AB177" s="20"/>
      <c r="AD177" s="6"/>
      <c r="AE177" s="6"/>
      <c r="AF177" s="6"/>
      <c r="AG177" s="6"/>
      <c r="AH177" s="6"/>
      <c r="AI177" s="6"/>
      <c r="AJ177" s="6"/>
    </row>
    <row r="178" spans="1:36" ht="13.5" hidden="1" thickBot="1" x14ac:dyDescent="0.25">
      <c r="A178" s="37" t="s">
        <v>29</v>
      </c>
      <c r="B178" s="38" t="s">
        <v>30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  <c r="L178" s="6"/>
      <c r="M178" s="21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D178" s="6">
        <f>IF((D178&lt;&gt;"")*(D182=""),IF((D178&lt;=$B$440)*((D179&gt;=$C$440)+(D179&lt;2/24)),1,0),0)</f>
        <v>0</v>
      </c>
      <c r="AE178" s="6">
        <f>IF((E178&lt;&gt;"")*(E182=""),IF((E178&lt;=$B$440)*((E179&gt;=$C$440)+(E179&lt;2/24)),1,0),0)</f>
        <v>0</v>
      </c>
      <c r="AF178" s="6">
        <f>IF((F178&lt;&gt;"")*(F182=""),IF((F178&lt;=$B$440)*((F179&gt;=$C$440)+(F179&lt;2/24)),1,0),0)</f>
        <v>0</v>
      </c>
      <c r="AG178" s="6">
        <f>IF((G178&lt;&gt;"")*(G182=""),IF((G178&lt;=$B$440)*((G179&gt;=$C$440)+(G179&lt;2/24)),1,0),0)</f>
        <v>0</v>
      </c>
      <c r="AH178" s="6">
        <f>IF((H178&lt;&gt;"")*(H182=""),IF((H178&lt;=$B$440)*((H179&gt;=$C$440)+(H179&lt;2/24)),1,0),0)</f>
        <v>0</v>
      </c>
      <c r="AI178" s="6">
        <f>IF((I178&lt;&gt;"")*(I182=""),IF((I178&lt;=$B$440)*((I179&gt;=$C$440)+(I179&lt;2/24)),1,0),0)</f>
        <v>0</v>
      </c>
      <c r="AJ178" s="6">
        <f>IF((J178&lt;&gt;"")*(J182=""),IF((J178&lt;=$B$440)*((J179&gt;=$C$440)+(J179&lt;2/24)),1,0),0)</f>
        <v>0</v>
      </c>
    </row>
    <row r="179" spans="1:36" ht="13.5" hidden="1" thickBot="1" x14ac:dyDescent="0.25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  <c r="L179" s="6"/>
      <c r="M179" s="21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D179" s="6">
        <f>IF((D178&lt;&gt;"")*(D182=""),IF((D178&lt;=$B$441)*((D179&gt;=$C$441)+(D179&lt;2/24)),1,0),0)</f>
        <v>0</v>
      </c>
      <c r="AE179" s="6">
        <f>IF((E178&lt;&gt;"")*(E182=""),IF((E178&lt;=$B$441)*((E179&gt;=$C$441)+(E179&lt;2/24)),1,0),0)</f>
        <v>0</v>
      </c>
      <c r="AF179" s="6">
        <f>IF((F178&lt;&gt;"")*(F182=""),IF((F178&lt;=$B$441)*((F179&gt;=$C$441)+(F179&lt;2/24)),1,0),0)</f>
        <v>0</v>
      </c>
      <c r="AG179" s="6">
        <f>IF((G178&lt;&gt;"")*(G182=""),IF((G178&lt;=$B$441)*((G179&gt;=$C$441)+(G179&lt;2/24)),1,0),0)</f>
        <v>0</v>
      </c>
      <c r="AH179" s="6">
        <f>IF((H178&lt;&gt;"")*(H182=""),IF((H178&lt;=$B$441)*((H179&gt;=$C$441)+(H179&lt;2/24)),1,0),0)</f>
        <v>0</v>
      </c>
      <c r="AI179" s="6">
        <f>IF((I178&lt;&gt;"")*(I182=""),IF((I178&lt;=$B$441)*((I179&gt;=$C$441)+(I179&lt;2/24)),1,0),0)</f>
        <v>0</v>
      </c>
      <c r="AJ179" s="6">
        <f>IF((J178&lt;&gt;"")*(J182=""),IF((J178&lt;=$B$441)*((J179&gt;=$C$441)+(J179&lt;2/24)),1,0),0)</f>
        <v>0</v>
      </c>
    </row>
    <row r="180" spans="1:36" ht="13.5" hidden="1" thickBot="1" x14ac:dyDescent="0.25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D180" s="6">
        <f>IF((D178&lt;&gt;"")*(D182=""),IF((D178&lt;=$B$442)*((D179&gt;=$C$442)+(D179&lt;2/24)),1,0),0)</f>
        <v>0</v>
      </c>
      <c r="AE180" s="6">
        <f>IF((E178&lt;&gt;"")*(E182=""),IF((E178&lt;=$B$442)*((E179&gt;=$C$442)+(E179&lt;2/24)),1,0),0)</f>
        <v>0</v>
      </c>
      <c r="AF180" s="6">
        <f>IF((F178&lt;&gt;"")*(F182=""),IF((F178&lt;=$B$442)*((F179&gt;=$C$442)+(F179&lt;2/24)),1,0),0)</f>
        <v>0</v>
      </c>
      <c r="AG180" s="6">
        <f>IF((G178&lt;&gt;"")*(G182=""),IF((G178&lt;=$B$442)*((G179&gt;=$C$442)+(G179&lt;2/24)),1,0),0)</f>
        <v>0</v>
      </c>
      <c r="AH180" s="6">
        <f>IF((H178&lt;&gt;"")*(H182=""),IF((H178&lt;=$B$442)*((H179&gt;=$C$442)+(H179&lt;2/24)),1,0),0)</f>
        <v>0</v>
      </c>
      <c r="AI180" s="6">
        <f>IF((I178&lt;&gt;"")*(I182=""),IF((I178&lt;=$B$442)*((I179&gt;=$C$442)+(I179&lt;2/24)),1,0),0)</f>
        <v>0</v>
      </c>
      <c r="AJ180" s="6">
        <f>IF((J178&lt;&gt;"")*(J182=""),IF((J178&lt;=$B$442)*((J179&gt;=$C$442)+(J179&lt;2/24)),1,0),0)</f>
        <v>0</v>
      </c>
    </row>
    <row r="181" spans="1:36" ht="13.5" hidden="1" thickBot="1" x14ac:dyDescent="0.25">
      <c r="A181" s="39"/>
      <c r="B181" s="40"/>
      <c r="C181" s="15" t="s">
        <v>3</v>
      </c>
      <c r="D181" s="43"/>
      <c r="E181" s="43"/>
      <c r="F181" s="43"/>
      <c r="G181" s="43"/>
      <c r="H181" s="43"/>
      <c r="I181" s="43"/>
      <c r="J181" s="44"/>
      <c r="K181" s="18">
        <f>SUMIF(D182:J182,"",D181:J181)</f>
        <v>0</v>
      </c>
      <c r="L181" s="12">
        <f>SUM(D181:J181)</f>
        <v>0</v>
      </c>
      <c r="M181" s="24"/>
      <c r="N181" s="10">
        <f t="shared" ref="N181:T181" si="106">IF(D182="",D181,0)</f>
        <v>0</v>
      </c>
      <c r="O181" s="10">
        <f t="shared" si="106"/>
        <v>0</v>
      </c>
      <c r="P181" s="10">
        <f t="shared" si="106"/>
        <v>0</v>
      </c>
      <c r="Q181" s="10">
        <f t="shared" si="106"/>
        <v>0</v>
      </c>
      <c r="R181" s="10">
        <f t="shared" si="106"/>
        <v>0</v>
      </c>
      <c r="S181" s="10">
        <f t="shared" si="106"/>
        <v>0</v>
      </c>
      <c r="T181" s="10">
        <f t="shared" si="106"/>
        <v>0</v>
      </c>
      <c r="U181" s="10"/>
      <c r="V181" s="10">
        <f t="shared" ref="V181:AB181" si="107">D181</f>
        <v>0</v>
      </c>
      <c r="W181" s="10">
        <f t="shared" si="107"/>
        <v>0</v>
      </c>
      <c r="X181" s="10">
        <f t="shared" si="107"/>
        <v>0</v>
      </c>
      <c r="Y181" s="10">
        <f t="shared" si="107"/>
        <v>0</v>
      </c>
      <c r="Z181" s="10">
        <f t="shared" si="107"/>
        <v>0</v>
      </c>
      <c r="AA181" s="10">
        <f t="shared" si="107"/>
        <v>0</v>
      </c>
      <c r="AB181" s="10">
        <f t="shared" si="107"/>
        <v>0</v>
      </c>
      <c r="AD181" s="6">
        <f>IF((D178&lt;&gt;"")*(D182=""),IF((D178&lt;=$B$443)*((D179&gt;=$C$443)+(D179&lt;2/24)),1,0),0)</f>
        <v>0</v>
      </c>
      <c r="AE181" s="6">
        <f>IF((E178&lt;&gt;"")*(E182=""),IF((E178&lt;=$B$443)*((E179&gt;=$C$443)+(E179&lt;2/24)),1,0),0)</f>
        <v>0</v>
      </c>
      <c r="AF181" s="6">
        <f>IF((F178&lt;&gt;"")*(F182=""),IF((F178&lt;=$B$443)*((F179&gt;=$C$443)+(F179&lt;2/24)),1,0),0)</f>
        <v>0</v>
      </c>
      <c r="AG181" s="6">
        <f>IF((G178&lt;&gt;"")*(G182=""),IF((G178&lt;=$B$443)*((G179&gt;=$C$443)+(G179&lt;2/24)),1,0),0)</f>
        <v>0</v>
      </c>
      <c r="AH181" s="6">
        <f>IF((H178&lt;&gt;"")*(H182=""),IF((H178&lt;=$B$443)*((H179&gt;=$C$443)+(H179&lt;2/24)),1,0),0)</f>
        <v>0</v>
      </c>
      <c r="AI181" s="6">
        <f>IF((I178&lt;&gt;"")*(I182=""),IF((I178&lt;=$B$443)*((I179&gt;=$C$443)+(I179&lt;2/24)),1,0),0)</f>
        <v>0</v>
      </c>
      <c r="AJ181" s="6">
        <f>IF((J178&lt;&gt;"")*(J182=""),IF((J178&lt;=$B$443)*((J179&gt;=$C$443)+(J179&lt;2/24)),1,0),0)</f>
        <v>0</v>
      </c>
    </row>
    <row r="182" spans="1:36" ht="13.5" hidden="1" thickBot="1" x14ac:dyDescent="0.25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  <c r="N182" s="6"/>
      <c r="O182" s="6"/>
      <c r="P182" s="6"/>
      <c r="Q182" s="6"/>
      <c r="R182" s="6"/>
      <c r="S182" s="6"/>
      <c r="T182" s="6"/>
      <c r="U182" s="6"/>
      <c r="V182" s="20"/>
      <c r="W182" s="20"/>
      <c r="X182" s="20"/>
      <c r="Y182" s="20"/>
      <c r="Z182" s="20"/>
      <c r="AA182" s="20"/>
      <c r="AB182" s="20"/>
      <c r="AD182" s="6">
        <f>IF((D178&lt;&gt;"")*(D182=""),IF((D178&lt;=$B$444)*((D179&gt;=$C$444)+(D179&lt;2/24)),1,0),0)</f>
        <v>0</v>
      </c>
      <c r="AE182" s="6">
        <f>IF((E178&lt;&gt;"")*(E182=""),IF((E178&lt;=$B$444)*((E179&gt;=$C$444)+(E179&lt;2/24)),1,0),0)</f>
        <v>0</v>
      </c>
      <c r="AF182" s="6">
        <f>IF((F178&lt;&gt;"")*(F182=""),IF((F178&lt;=$B$444)*((F179&gt;=$C$444)+(F179&lt;2/24)),1,0),0)</f>
        <v>0</v>
      </c>
      <c r="AG182" s="6">
        <f>IF((G178&lt;&gt;"")*(G182=""),IF((G178&lt;=$B$444)*((G179&gt;=$C$444)+(G179&lt;2/24)),1,0),0)</f>
        <v>0</v>
      </c>
      <c r="AH182" s="6">
        <f>IF((H178&lt;&gt;"")*(H182=""),IF((H178&lt;=$B$444)*((H179&gt;=$C$444)+(H179&lt;2/24)),1,0),0)</f>
        <v>0</v>
      </c>
      <c r="AI182" s="6">
        <f>IF((I178&lt;&gt;"")*(I182=""),IF((I178&lt;=$B$444)*((I179&gt;=$C$444)+(I179&lt;2/24)),1,0),0)</f>
        <v>0</v>
      </c>
      <c r="AJ182" s="6">
        <f>IF((J178&lt;&gt;"")*(J182=""),IF((J178&lt;=$B$444)*((J179&gt;=$C$444)+(J179&lt;2/24)),1,0),0)</f>
        <v>0</v>
      </c>
    </row>
    <row r="183" spans="1:36" ht="13.5" hidden="1" thickBot="1" x14ac:dyDescent="0.25">
      <c r="A183" s="41"/>
      <c r="B183" s="42"/>
      <c r="C183" s="35" t="s">
        <v>28</v>
      </c>
      <c r="D183" s="36"/>
      <c r="E183" s="36"/>
      <c r="F183" s="36"/>
      <c r="G183" s="36"/>
      <c r="H183" s="36"/>
      <c r="I183" s="36"/>
      <c r="J183" s="36"/>
      <c r="K183" s="34"/>
      <c r="L183" s="6"/>
      <c r="M183" s="25"/>
      <c r="N183" s="6"/>
      <c r="O183" s="6"/>
      <c r="P183" s="6"/>
      <c r="Q183" s="6"/>
      <c r="R183" s="6"/>
      <c r="S183" s="6"/>
      <c r="T183" s="6"/>
      <c r="U183" s="6"/>
      <c r="V183" s="20"/>
      <c r="W183" s="20"/>
      <c r="X183" s="20"/>
      <c r="Y183" s="20"/>
      <c r="Z183" s="20"/>
      <c r="AA183" s="20"/>
      <c r="AB183" s="20"/>
      <c r="AD183" s="6"/>
      <c r="AE183" s="6"/>
      <c r="AF183" s="6"/>
      <c r="AG183" s="6"/>
      <c r="AH183" s="6"/>
      <c r="AI183" s="6"/>
      <c r="AJ183" s="6"/>
    </row>
    <row r="184" spans="1:36" ht="13.5" hidden="1" thickBot="1" x14ac:dyDescent="0.25">
      <c r="A184" s="37" t="s">
        <v>29</v>
      </c>
      <c r="B184" s="38" t="s">
        <v>30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  <c r="L184" s="6"/>
      <c r="M184" s="21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D184" s="6">
        <f>IF((D184&lt;&gt;"")*(D188=""),IF((D184&lt;=$B$440)*((D185&gt;=$C$440)+(D185&lt;2/24)),1,0),0)</f>
        <v>0</v>
      </c>
      <c r="AE184" s="6">
        <f>IF((E184&lt;&gt;"")*(E188=""),IF((E184&lt;=$B$440)*((E185&gt;=$C$440)+(E185&lt;2/24)),1,0),0)</f>
        <v>0</v>
      </c>
      <c r="AF184" s="6">
        <f>IF((F184&lt;&gt;"")*(F188=""),IF((F184&lt;=$B$440)*((F185&gt;=$C$440)+(F185&lt;2/24)),1,0),0)</f>
        <v>0</v>
      </c>
      <c r="AG184" s="6">
        <f>IF((G184&lt;&gt;"")*(G188=""),IF((G184&lt;=$B$440)*((G185&gt;=$C$440)+(G185&lt;2/24)),1,0),0)</f>
        <v>0</v>
      </c>
      <c r="AH184" s="6">
        <f>IF((H184&lt;&gt;"")*(H188=""),IF((H184&lt;=$B$440)*((H185&gt;=$C$440)+(H185&lt;2/24)),1,0),0)</f>
        <v>0</v>
      </c>
      <c r="AI184" s="6">
        <f>IF((I184&lt;&gt;"")*(I188=""),IF((I184&lt;=$B$440)*((I185&gt;=$C$440)+(I185&lt;2/24)),1,0),0)</f>
        <v>0</v>
      </c>
      <c r="AJ184" s="6">
        <f>IF((J184&lt;&gt;"")*(J188=""),IF((J184&lt;=$B$440)*((J185&gt;=$C$440)+(J185&lt;2/24)),1,0),0)</f>
        <v>0</v>
      </c>
    </row>
    <row r="185" spans="1:36" ht="13.5" hidden="1" thickBot="1" x14ac:dyDescent="0.25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  <c r="L185" s="6"/>
      <c r="M185" s="21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D185" s="6">
        <f>IF((D184&lt;&gt;"")*(D188=""),IF((D184&lt;=$B$441)*((D185&gt;=$C$441)+(D185&lt;2/24)),1,0),0)</f>
        <v>0</v>
      </c>
      <c r="AE185" s="6">
        <f>IF((E184&lt;&gt;"")*(E188=""),IF((E184&lt;=$B$441)*((E185&gt;=$C$441)+(E185&lt;2/24)),1,0),0)</f>
        <v>0</v>
      </c>
      <c r="AF185" s="6">
        <f>IF((F184&lt;&gt;"")*(F188=""),IF((F184&lt;=$B$441)*((F185&gt;=$C$441)+(F185&lt;2/24)),1,0),0)</f>
        <v>0</v>
      </c>
      <c r="AG185" s="6">
        <f>IF((G184&lt;&gt;"")*(G188=""),IF((G184&lt;=$B$441)*((G185&gt;=$C$441)+(G185&lt;2/24)),1,0),0)</f>
        <v>0</v>
      </c>
      <c r="AH185" s="6">
        <f>IF((H184&lt;&gt;"")*(H188=""),IF((H184&lt;=$B$441)*((H185&gt;=$C$441)+(H185&lt;2/24)),1,0),0)</f>
        <v>0</v>
      </c>
      <c r="AI185" s="6">
        <f>IF((I184&lt;&gt;"")*(I188=""),IF((I184&lt;=$B$441)*((I185&gt;=$C$441)+(I185&lt;2/24)),1,0),0)</f>
        <v>0</v>
      </c>
      <c r="AJ185" s="6">
        <f>IF((J184&lt;&gt;"")*(J188=""),IF((J184&lt;=$B$441)*((J185&gt;=$C$441)+(J185&lt;2/24)),1,0),0)</f>
        <v>0</v>
      </c>
    </row>
    <row r="186" spans="1:36" ht="13.5" hidden="1" thickBot="1" x14ac:dyDescent="0.25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  <c r="L186" s="6"/>
      <c r="M186" s="21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D186" s="6">
        <f>IF((D184&lt;&gt;"")*(D188=""),IF((D184&lt;=$B$442)*((D185&gt;=$C$442)+(D185&lt;2/24)),1,0),0)</f>
        <v>0</v>
      </c>
      <c r="AE186" s="6">
        <f>IF((E184&lt;&gt;"")*(E188=""),IF((E184&lt;=$B$442)*((E185&gt;=$C$442)+(E185&lt;2/24)),1,0),0)</f>
        <v>0</v>
      </c>
      <c r="AF186" s="6">
        <f>IF((F184&lt;&gt;"")*(F188=""),IF((F184&lt;=$B$442)*((F185&gt;=$C$442)+(F185&lt;2/24)),1,0),0)</f>
        <v>0</v>
      </c>
      <c r="AG186" s="6">
        <f>IF((G184&lt;&gt;"")*(G188=""),IF((G184&lt;=$B$442)*((G185&gt;=$C$442)+(G185&lt;2/24)),1,0),0)</f>
        <v>0</v>
      </c>
      <c r="AH186" s="6">
        <f>IF((H184&lt;&gt;"")*(H188=""),IF((H184&lt;=$B$442)*((H185&gt;=$C$442)+(H185&lt;2/24)),1,0),0)</f>
        <v>0</v>
      </c>
      <c r="AI186" s="6">
        <f>IF((I184&lt;&gt;"")*(I188=""),IF((I184&lt;=$B$442)*((I185&gt;=$C$442)+(I185&lt;2/24)),1,0),0)</f>
        <v>0</v>
      </c>
      <c r="AJ186" s="6">
        <f>IF((J184&lt;&gt;"")*(J188=""),IF((J184&lt;=$B$442)*((J185&gt;=$C$442)+(J185&lt;2/24)),1,0),0)</f>
        <v>0</v>
      </c>
    </row>
    <row r="187" spans="1:36" ht="13.5" hidden="1" thickBot="1" x14ac:dyDescent="0.25">
      <c r="A187" s="39"/>
      <c r="B187" s="40"/>
      <c r="C187" s="15" t="s">
        <v>3</v>
      </c>
      <c r="D187" s="43"/>
      <c r="E187" s="43"/>
      <c r="F187" s="43"/>
      <c r="G187" s="43"/>
      <c r="H187" s="43"/>
      <c r="I187" s="43"/>
      <c r="J187" s="44"/>
      <c r="K187" s="18">
        <f>SUMIF(D188:J188,"",D187:J187)</f>
        <v>0</v>
      </c>
      <c r="L187" s="12">
        <f>SUM(D187:J187)</f>
        <v>0</v>
      </c>
      <c r="M187" s="24"/>
      <c r="N187" s="10">
        <f t="shared" ref="N187:T187" si="108">IF(D188="",D187,0)</f>
        <v>0</v>
      </c>
      <c r="O187" s="10">
        <f t="shared" si="108"/>
        <v>0</v>
      </c>
      <c r="P187" s="10">
        <f t="shared" si="108"/>
        <v>0</v>
      </c>
      <c r="Q187" s="10">
        <f t="shared" si="108"/>
        <v>0</v>
      </c>
      <c r="R187" s="10">
        <f t="shared" si="108"/>
        <v>0</v>
      </c>
      <c r="S187" s="10">
        <f t="shared" si="108"/>
        <v>0</v>
      </c>
      <c r="T187" s="10">
        <f t="shared" si="108"/>
        <v>0</v>
      </c>
      <c r="U187" s="10"/>
      <c r="V187" s="10">
        <f t="shared" ref="V187:AB187" si="109">D187</f>
        <v>0</v>
      </c>
      <c r="W187" s="10">
        <f t="shared" si="109"/>
        <v>0</v>
      </c>
      <c r="X187" s="10">
        <f t="shared" si="109"/>
        <v>0</v>
      </c>
      <c r="Y187" s="10">
        <f t="shared" si="109"/>
        <v>0</v>
      </c>
      <c r="Z187" s="10">
        <f t="shared" si="109"/>
        <v>0</v>
      </c>
      <c r="AA187" s="10">
        <f t="shared" si="109"/>
        <v>0</v>
      </c>
      <c r="AB187" s="10">
        <f t="shared" si="109"/>
        <v>0</v>
      </c>
      <c r="AD187" s="6">
        <f>IF((D184&lt;&gt;"")*(D188=""),IF((D184&lt;=$B$443)*((D185&gt;=$C$443)+(D185&lt;2/24)),1,0),0)</f>
        <v>0</v>
      </c>
      <c r="AE187" s="6">
        <f>IF((E184&lt;&gt;"")*(E188=""),IF((E184&lt;=$B$443)*((E185&gt;=$C$443)+(E185&lt;2/24)),1,0),0)</f>
        <v>0</v>
      </c>
      <c r="AF187" s="6">
        <f>IF((F184&lt;&gt;"")*(F188=""),IF((F184&lt;=$B$443)*((F185&gt;=$C$443)+(F185&lt;2/24)),1,0),0)</f>
        <v>0</v>
      </c>
      <c r="AG187" s="6">
        <f>IF((G184&lt;&gt;"")*(G188=""),IF((G184&lt;=$B$443)*((G185&gt;=$C$443)+(G185&lt;2/24)),1,0),0)</f>
        <v>0</v>
      </c>
      <c r="AH187" s="6">
        <f>IF((H184&lt;&gt;"")*(H188=""),IF((H184&lt;=$B$443)*((H185&gt;=$C$443)+(H185&lt;2/24)),1,0),0)</f>
        <v>0</v>
      </c>
      <c r="AI187" s="6">
        <f>IF((I184&lt;&gt;"")*(I188=""),IF((I184&lt;=$B$443)*((I185&gt;=$C$443)+(I185&lt;2/24)),1,0),0)</f>
        <v>0</v>
      </c>
      <c r="AJ187" s="6">
        <f>IF((J184&lt;&gt;"")*(J188=""),IF((J184&lt;=$B$443)*((J185&gt;=$C$443)+(J185&lt;2/24)),1,0),0)</f>
        <v>0</v>
      </c>
    </row>
    <row r="188" spans="1:36" ht="13.5" hidden="1" thickBot="1" x14ac:dyDescent="0.25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  <c r="N188" s="6"/>
      <c r="O188" s="6"/>
      <c r="P188" s="6"/>
      <c r="Q188" s="6"/>
      <c r="R188" s="6"/>
      <c r="S188" s="6"/>
      <c r="T188" s="6"/>
      <c r="U188" s="6"/>
      <c r="V188" s="20"/>
      <c r="W188" s="20"/>
      <c r="X188" s="20"/>
      <c r="Y188" s="20"/>
      <c r="Z188" s="20"/>
      <c r="AA188" s="20"/>
      <c r="AB188" s="20"/>
      <c r="AD188" s="6">
        <f>IF((D184&lt;&gt;"")*(D188=""),IF((D184&lt;=$B$444)*((D185&gt;=$C$444)+(D185&lt;2/24)),1,0),0)</f>
        <v>0</v>
      </c>
      <c r="AE188" s="6">
        <f>IF((E184&lt;&gt;"")*(E188=""),IF((E184&lt;=$B$444)*((E185&gt;=$C$444)+(E185&lt;2/24)),1,0),0)</f>
        <v>0</v>
      </c>
      <c r="AF188" s="6">
        <f>IF((F184&lt;&gt;"")*(F188=""),IF((F184&lt;=$B$444)*((F185&gt;=$C$444)+(F185&lt;2/24)),1,0),0)</f>
        <v>0</v>
      </c>
      <c r="AG188" s="6">
        <f>IF((G184&lt;&gt;"")*(G188=""),IF((G184&lt;=$B$444)*((G185&gt;=$C$444)+(G185&lt;2/24)),1,0),0)</f>
        <v>0</v>
      </c>
      <c r="AH188" s="6">
        <f>IF((H184&lt;&gt;"")*(H188=""),IF((H184&lt;=$B$444)*((H185&gt;=$C$444)+(H185&lt;2/24)),1,0),0)</f>
        <v>0</v>
      </c>
      <c r="AI188" s="6">
        <f>IF((I184&lt;&gt;"")*(I188=""),IF((I184&lt;=$B$444)*((I185&gt;=$C$444)+(I185&lt;2/24)),1,0),0)</f>
        <v>0</v>
      </c>
      <c r="AJ188" s="6">
        <f>IF((J184&lt;&gt;"")*(J188=""),IF((J184&lt;=$B$444)*((J185&gt;=$C$444)+(J185&lt;2/24)),1,0),0)</f>
        <v>0</v>
      </c>
    </row>
    <row r="189" spans="1:36" ht="13.5" hidden="1" thickBot="1" x14ac:dyDescent="0.25">
      <c r="A189" s="41"/>
      <c r="B189" s="42"/>
      <c r="C189" s="35" t="s">
        <v>28</v>
      </c>
      <c r="D189" s="36"/>
      <c r="E189" s="36"/>
      <c r="F189" s="36"/>
      <c r="G189" s="36"/>
      <c r="H189" s="36"/>
      <c r="I189" s="36"/>
      <c r="J189" s="36"/>
      <c r="K189" s="34"/>
      <c r="L189" s="6"/>
      <c r="M189" s="25"/>
      <c r="N189" s="6"/>
      <c r="O189" s="6"/>
      <c r="P189" s="6"/>
      <c r="Q189" s="6"/>
      <c r="R189" s="6"/>
      <c r="S189" s="6"/>
      <c r="T189" s="6"/>
      <c r="U189" s="6"/>
      <c r="V189" s="20"/>
      <c r="W189" s="20"/>
      <c r="X189" s="20"/>
      <c r="Y189" s="20"/>
      <c r="Z189" s="20"/>
      <c r="AA189" s="20"/>
      <c r="AB189" s="20"/>
      <c r="AD189" s="6"/>
      <c r="AE189" s="6"/>
      <c r="AF189" s="6"/>
      <c r="AG189" s="6"/>
      <c r="AH189" s="6"/>
      <c r="AI189" s="6"/>
      <c r="AJ189" s="6"/>
    </row>
    <row r="190" spans="1:36" ht="13.5" hidden="1" thickBot="1" x14ac:dyDescent="0.25">
      <c r="A190" s="37" t="s">
        <v>29</v>
      </c>
      <c r="B190" s="38" t="s">
        <v>30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  <c r="L190" s="6"/>
      <c r="M190" s="21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D190" s="6">
        <f>IF((D190&lt;&gt;"")*(D194=""),IF((D190&lt;=$B$440)*((D191&gt;=$C$440)+(D191&lt;2/24)),1,0),0)</f>
        <v>0</v>
      </c>
      <c r="AE190" s="6">
        <f>IF((E190&lt;&gt;"")*(E194=""),IF((E190&lt;=$B$440)*((E191&gt;=$C$440)+(E191&lt;2/24)),1,0),0)</f>
        <v>0</v>
      </c>
      <c r="AF190" s="6">
        <f>IF((F190&lt;&gt;"")*(F194=""),IF((F190&lt;=$B$440)*((F191&gt;=$C$440)+(F191&lt;2/24)),1,0),0)</f>
        <v>0</v>
      </c>
      <c r="AG190" s="6">
        <f>IF((G190&lt;&gt;"")*(G194=""),IF((G190&lt;=$B$440)*((G191&gt;=$C$440)+(G191&lt;2/24)),1,0),0)</f>
        <v>0</v>
      </c>
      <c r="AH190" s="6">
        <f>IF((H190&lt;&gt;"")*(H194=""),IF((H190&lt;=$B$440)*((H191&gt;=$C$440)+(H191&lt;2/24)),1,0),0)</f>
        <v>0</v>
      </c>
      <c r="AI190" s="6">
        <f>IF((I190&lt;&gt;"")*(I194=""),IF((I190&lt;=$B$440)*((I191&gt;=$C$440)+(I191&lt;2/24)),1,0),0)</f>
        <v>0</v>
      </c>
      <c r="AJ190" s="6">
        <f>IF((J190&lt;&gt;"")*(J194=""),IF((J190&lt;=$B$440)*((J191&gt;=$C$440)+(J191&lt;2/24)),1,0),0)</f>
        <v>0</v>
      </c>
    </row>
    <row r="191" spans="1:36" ht="13.5" hidden="1" thickBot="1" x14ac:dyDescent="0.25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  <c r="L191" s="6"/>
      <c r="M191" s="21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D191" s="6">
        <f>IF((D190&lt;&gt;"")*(D194=""),IF((D190&lt;=$B$441)*((D191&gt;=$C$441)+(D191&lt;2/24)),1,0),0)</f>
        <v>0</v>
      </c>
      <c r="AE191" s="6">
        <f>IF((E190&lt;&gt;"")*(E194=""),IF((E190&lt;=$B$441)*((E191&gt;=$C$441)+(E191&lt;2/24)),1,0),0)</f>
        <v>0</v>
      </c>
      <c r="AF191" s="6">
        <f>IF((F190&lt;&gt;"")*(F194=""),IF((F190&lt;=$B$441)*((F191&gt;=$C$441)+(F191&lt;2/24)),1,0),0)</f>
        <v>0</v>
      </c>
      <c r="AG191" s="6">
        <f>IF((G190&lt;&gt;"")*(G194=""),IF((G190&lt;=$B$441)*((G191&gt;=$C$441)+(G191&lt;2/24)),1,0),0)</f>
        <v>0</v>
      </c>
      <c r="AH191" s="6">
        <f>IF((H190&lt;&gt;"")*(H194=""),IF((H190&lt;=$B$441)*((H191&gt;=$C$441)+(H191&lt;2/24)),1,0),0)</f>
        <v>0</v>
      </c>
      <c r="AI191" s="6">
        <f>IF((I190&lt;&gt;"")*(I194=""),IF((I190&lt;=$B$441)*((I191&gt;=$C$441)+(I191&lt;2/24)),1,0),0)</f>
        <v>0</v>
      </c>
      <c r="AJ191" s="6">
        <f>IF((J190&lt;&gt;"")*(J194=""),IF((J190&lt;=$B$441)*((J191&gt;=$C$441)+(J191&lt;2/24)),1,0),0)</f>
        <v>0</v>
      </c>
    </row>
    <row r="192" spans="1:36" ht="13.5" hidden="1" thickBot="1" x14ac:dyDescent="0.25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  <c r="L192" s="6"/>
      <c r="M192" s="21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D192" s="6">
        <f>IF((D190&lt;&gt;"")*(D194=""),IF((D190&lt;=$B$442)*((D191&gt;=$C$442)+(D191&lt;2/24)),1,0),0)</f>
        <v>0</v>
      </c>
      <c r="AE192" s="6">
        <f>IF((E190&lt;&gt;"")*(E194=""),IF((E190&lt;=$B$442)*((E191&gt;=$C$442)+(E191&lt;2/24)),1,0),0)</f>
        <v>0</v>
      </c>
      <c r="AF192" s="6">
        <f>IF((F190&lt;&gt;"")*(F194=""),IF((F190&lt;=$B$442)*((F191&gt;=$C$442)+(F191&lt;2/24)),1,0),0)</f>
        <v>0</v>
      </c>
      <c r="AG192" s="6">
        <f>IF((G190&lt;&gt;"")*(G194=""),IF((G190&lt;=$B$442)*((G191&gt;=$C$442)+(G191&lt;2/24)),1,0),0)</f>
        <v>0</v>
      </c>
      <c r="AH192" s="6">
        <f>IF((H190&lt;&gt;"")*(H194=""),IF((H190&lt;=$B$442)*((H191&gt;=$C$442)+(H191&lt;2/24)),1,0),0)</f>
        <v>0</v>
      </c>
      <c r="AI192" s="6">
        <f>IF((I190&lt;&gt;"")*(I194=""),IF((I190&lt;=$B$442)*((I191&gt;=$C$442)+(I191&lt;2/24)),1,0),0)</f>
        <v>0</v>
      </c>
      <c r="AJ192" s="6">
        <f>IF((J190&lt;&gt;"")*(J194=""),IF((J190&lt;=$B$442)*((J191&gt;=$C$442)+(J191&lt;2/24)),1,0),0)</f>
        <v>0</v>
      </c>
    </row>
    <row r="193" spans="1:36" ht="13.5" hidden="1" thickBot="1" x14ac:dyDescent="0.25">
      <c r="A193" s="39"/>
      <c r="B193" s="40"/>
      <c r="C193" s="15" t="s">
        <v>3</v>
      </c>
      <c r="D193" s="43"/>
      <c r="E193" s="43"/>
      <c r="F193" s="43"/>
      <c r="G193" s="43"/>
      <c r="H193" s="43"/>
      <c r="I193" s="43"/>
      <c r="J193" s="44"/>
      <c r="K193" s="18">
        <f>SUMIF(D194:J194,"",D193:J193)</f>
        <v>0</v>
      </c>
      <c r="L193" s="12">
        <f>SUM(D193:J193)</f>
        <v>0</v>
      </c>
      <c r="M193" s="24"/>
      <c r="N193" s="10">
        <f t="shared" ref="N193:T193" si="110">IF(D194="",D193,0)</f>
        <v>0</v>
      </c>
      <c r="O193" s="10">
        <f t="shared" si="110"/>
        <v>0</v>
      </c>
      <c r="P193" s="10">
        <f t="shared" si="110"/>
        <v>0</v>
      </c>
      <c r="Q193" s="10">
        <f t="shared" si="110"/>
        <v>0</v>
      </c>
      <c r="R193" s="10">
        <f t="shared" si="110"/>
        <v>0</v>
      </c>
      <c r="S193" s="10">
        <f t="shared" si="110"/>
        <v>0</v>
      </c>
      <c r="T193" s="10">
        <f t="shared" si="110"/>
        <v>0</v>
      </c>
      <c r="U193" s="10"/>
      <c r="V193" s="10">
        <f t="shared" ref="V193:AB193" si="111">D193</f>
        <v>0</v>
      </c>
      <c r="W193" s="10">
        <f t="shared" si="111"/>
        <v>0</v>
      </c>
      <c r="X193" s="10">
        <f t="shared" si="111"/>
        <v>0</v>
      </c>
      <c r="Y193" s="10">
        <f t="shared" si="111"/>
        <v>0</v>
      </c>
      <c r="Z193" s="10">
        <f t="shared" si="111"/>
        <v>0</v>
      </c>
      <c r="AA193" s="10">
        <f t="shared" si="111"/>
        <v>0</v>
      </c>
      <c r="AB193" s="10">
        <f t="shared" si="111"/>
        <v>0</v>
      </c>
      <c r="AD193" s="6">
        <f>IF((D190&lt;&gt;"")*(D194=""),IF((D190&lt;=$B$443)*((D191&gt;=$C$443)+(D191&lt;2/24)),1,0),0)</f>
        <v>0</v>
      </c>
      <c r="AE193" s="6">
        <f>IF((E190&lt;&gt;"")*(E194=""),IF((E190&lt;=$B$443)*((E191&gt;=$C$443)+(E191&lt;2/24)),1,0),0)</f>
        <v>0</v>
      </c>
      <c r="AF193" s="6">
        <f>IF((F190&lt;&gt;"")*(F194=""),IF((F190&lt;=$B$443)*((F191&gt;=$C$443)+(F191&lt;2/24)),1,0),0)</f>
        <v>0</v>
      </c>
      <c r="AG193" s="6">
        <f>IF((G190&lt;&gt;"")*(G194=""),IF((G190&lt;=$B$443)*((G191&gt;=$C$443)+(G191&lt;2/24)),1,0),0)</f>
        <v>0</v>
      </c>
      <c r="AH193" s="6">
        <f>IF((H190&lt;&gt;"")*(H194=""),IF((H190&lt;=$B$443)*((H191&gt;=$C$443)+(H191&lt;2/24)),1,0),0)</f>
        <v>0</v>
      </c>
      <c r="AI193" s="6">
        <f>IF((I190&lt;&gt;"")*(I194=""),IF((I190&lt;=$B$443)*((I191&gt;=$C$443)+(I191&lt;2/24)),1,0),0)</f>
        <v>0</v>
      </c>
      <c r="AJ193" s="6">
        <f>IF((J190&lt;&gt;"")*(J194=""),IF((J190&lt;=$B$443)*((J191&gt;=$C$443)+(J191&lt;2/24)),1,0),0)</f>
        <v>0</v>
      </c>
    </row>
    <row r="194" spans="1:36" ht="13.5" hidden="1" thickBot="1" x14ac:dyDescent="0.25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  <c r="N194" s="6"/>
      <c r="O194" s="6"/>
      <c r="P194" s="6"/>
      <c r="Q194" s="6"/>
      <c r="R194" s="6"/>
      <c r="S194" s="6"/>
      <c r="T194" s="6"/>
      <c r="U194" s="6"/>
      <c r="V194" s="20"/>
      <c r="W194" s="20"/>
      <c r="X194" s="20"/>
      <c r="Y194" s="20"/>
      <c r="Z194" s="20"/>
      <c r="AA194" s="20"/>
      <c r="AB194" s="20"/>
      <c r="AD194" s="6">
        <f>IF((D190&lt;&gt;"")*(D194=""),IF((D190&lt;=$B$444)*((D191&gt;=$C$444)+(D191&lt;2/24)),1,0),0)</f>
        <v>0</v>
      </c>
      <c r="AE194" s="6">
        <f>IF((E190&lt;&gt;"")*(E194=""),IF((E190&lt;=$B$444)*((E191&gt;=$C$444)+(E191&lt;2/24)),1,0),0)</f>
        <v>0</v>
      </c>
      <c r="AF194" s="6">
        <f>IF((F190&lt;&gt;"")*(F194=""),IF((F190&lt;=$B$444)*((F191&gt;=$C$444)+(F191&lt;2/24)),1,0),0)</f>
        <v>0</v>
      </c>
      <c r="AG194" s="6">
        <f>IF((G190&lt;&gt;"")*(G194=""),IF((G190&lt;=$B$444)*((G191&gt;=$C$444)+(G191&lt;2/24)),1,0),0)</f>
        <v>0</v>
      </c>
      <c r="AH194" s="6">
        <f>IF((H190&lt;&gt;"")*(H194=""),IF((H190&lt;=$B$444)*((H191&gt;=$C$444)+(H191&lt;2/24)),1,0),0)</f>
        <v>0</v>
      </c>
      <c r="AI194" s="6">
        <f>IF((I190&lt;&gt;"")*(I194=""),IF((I190&lt;=$B$444)*((I191&gt;=$C$444)+(I191&lt;2/24)),1,0),0)</f>
        <v>0</v>
      </c>
      <c r="AJ194" s="6">
        <f>IF((J190&lt;&gt;"")*(J194=""),IF((J190&lt;=$B$444)*((J191&gt;=$C$444)+(J191&lt;2/24)),1,0),0)</f>
        <v>0</v>
      </c>
    </row>
    <row r="195" spans="1:36" ht="13.5" hidden="1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  <c r="N195" s="6"/>
      <c r="O195" s="6"/>
      <c r="P195" s="6"/>
      <c r="Q195" s="6"/>
      <c r="R195" s="6"/>
      <c r="S195" s="6"/>
      <c r="T195" s="6"/>
      <c r="U195" s="6"/>
      <c r="V195" s="20"/>
      <c r="W195" s="20"/>
      <c r="X195" s="20"/>
      <c r="Y195" s="20"/>
      <c r="Z195" s="20"/>
      <c r="AA195" s="20"/>
      <c r="AB195" s="20"/>
      <c r="AD195" s="6"/>
      <c r="AE195" s="6"/>
      <c r="AF195" s="6"/>
      <c r="AG195" s="6"/>
      <c r="AH195" s="6"/>
      <c r="AI195" s="6"/>
      <c r="AJ195" s="6"/>
    </row>
    <row r="196" spans="1:36" ht="13.5" hidden="1" thickBot="1" x14ac:dyDescent="0.25">
      <c r="A196" s="37" t="s">
        <v>29</v>
      </c>
      <c r="B196" s="38" t="s">
        <v>30</v>
      </c>
      <c r="C196" s="14" t="s">
        <v>0</v>
      </c>
      <c r="D196" s="26"/>
      <c r="E196" s="26"/>
      <c r="F196" s="26"/>
      <c r="G196" s="26"/>
      <c r="H196" s="26"/>
      <c r="I196" s="26"/>
      <c r="J196" s="26"/>
      <c r="K196" s="16"/>
      <c r="L196" s="6"/>
      <c r="M196" s="21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D196" s="6">
        <f>IF((D196&lt;&gt;"")*(D200=""),IF((D196&lt;=$B$440)*((D197&gt;=$C$440)+(D197&lt;2/24)),1,0),0)</f>
        <v>0</v>
      </c>
      <c r="AE196" s="6">
        <f>IF((E196&lt;&gt;"")*(E200=""),IF((E196&lt;=$B$440)*((E197&gt;=$C$440)+(E197&lt;2/24)),1,0),0)</f>
        <v>0</v>
      </c>
      <c r="AF196" s="6">
        <f>IF((F196&lt;&gt;"")*(F200=""),IF((F196&lt;=$B$440)*((F197&gt;=$C$440)+(F197&lt;2/24)),1,0),0)</f>
        <v>0</v>
      </c>
      <c r="AG196" s="6">
        <f>IF((G196&lt;&gt;"")*(G200=""),IF((G196&lt;=$B$440)*((G197&gt;=$C$440)+(G197&lt;2/24)),1,0),0)</f>
        <v>0</v>
      </c>
      <c r="AH196" s="6">
        <f>IF((H196&lt;&gt;"")*(H200=""),IF((H196&lt;=$B$440)*((H197&gt;=$C$440)+(H197&lt;2/24)),1,0),0)</f>
        <v>0</v>
      </c>
      <c r="AI196" s="6">
        <f>IF((I196&lt;&gt;"")*(I200=""),IF((I196&lt;=$B$440)*((I197&gt;=$C$440)+(I197&lt;2/24)),1,0),0)</f>
        <v>0</v>
      </c>
      <c r="AJ196" s="6">
        <f>IF((J196&lt;&gt;"")*(J200=""),IF((J196&lt;=$B$440)*((J197&gt;=$C$440)+(J197&lt;2/24)),1,0),0)</f>
        <v>0</v>
      </c>
    </row>
    <row r="197" spans="1:36" ht="13.5" hidden="1" thickBot="1" x14ac:dyDescent="0.25">
      <c r="A197" s="39"/>
      <c r="B197" s="40"/>
      <c r="C197" s="15" t="s">
        <v>1</v>
      </c>
      <c r="D197" s="27"/>
      <c r="E197" s="27"/>
      <c r="F197" s="27"/>
      <c r="G197" s="27"/>
      <c r="H197" s="27"/>
      <c r="I197" s="27"/>
      <c r="J197" s="27"/>
      <c r="K197" s="17"/>
      <c r="L197" s="6"/>
      <c r="M197" s="21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D197" s="6">
        <f>IF((D196&lt;&gt;"")*(D200=""),IF((D196&lt;=$B$441)*((D197&gt;=$C$441)+(D197&lt;2/24)),1,0),0)</f>
        <v>0</v>
      </c>
      <c r="AE197" s="6">
        <f>IF((E196&lt;&gt;"")*(E200=""),IF((E196&lt;=$B$441)*((E197&gt;=$C$441)+(E197&lt;2/24)),1,0),0)</f>
        <v>0</v>
      </c>
      <c r="AF197" s="6">
        <f>IF((F196&lt;&gt;"")*(F200=""),IF((F196&lt;=$B$441)*((F197&gt;=$C$441)+(F197&lt;2/24)),1,0),0)</f>
        <v>0</v>
      </c>
      <c r="AG197" s="6">
        <f>IF((G196&lt;&gt;"")*(G200=""),IF((G196&lt;=$B$441)*((G197&gt;=$C$441)+(G197&lt;2/24)),1,0),0)</f>
        <v>0</v>
      </c>
      <c r="AH197" s="6">
        <f>IF((H196&lt;&gt;"")*(H200=""),IF((H196&lt;=$B$441)*((H197&gt;=$C$441)+(H197&lt;2/24)),1,0),0)</f>
        <v>0</v>
      </c>
      <c r="AI197" s="6">
        <f>IF((I196&lt;&gt;"")*(I200=""),IF((I196&lt;=$B$441)*((I197&gt;=$C$441)+(I197&lt;2/24)),1,0),0)</f>
        <v>0</v>
      </c>
      <c r="AJ197" s="6">
        <f>IF((J196&lt;&gt;"")*(J200=""),IF((J196&lt;=$B$441)*((J197&gt;=$C$441)+(J197&lt;2/24)),1,0),0)</f>
        <v>0</v>
      </c>
    </row>
    <row r="198" spans="1:36" ht="13.5" hidden="1" thickBot="1" x14ac:dyDescent="0.25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  <c r="L198" s="6"/>
      <c r="M198" s="21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D198" s="6">
        <f>IF((D196&lt;&gt;"")*(D200=""),IF((D196&lt;=$B$442)*((D197&gt;=$C$442)+(D197&lt;2/24)),1,0),0)</f>
        <v>0</v>
      </c>
      <c r="AE198" s="6">
        <f>IF((E196&lt;&gt;"")*(E200=""),IF((E196&lt;=$B$442)*((E197&gt;=$C$442)+(E197&lt;2/24)),1,0),0)</f>
        <v>0</v>
      </c>
      <c r="AF198" s="6">
        <f>IF((F196&lt;&gt;"")*(F200=""),IF((F196&lt;=$B$442)*((F197&gt;=$C$442)+(F197&lt;2/24)),1,0),0)</f>
        <v>0</v>
      </c>
      <c r="AG198" s="6">
        <f>IF((G196&lt;&gt;"")*(G200=""),IF((G196&lt;=$B$442)*((G197&gt;=$C$442)+(G197&lt;2/24)),1,0),0)</f>
        <v>0</v>
      </c>
      <c r="AH198" s="6">
        <f>IF((H196&lt;&gt;"")*(H200=""),IF((H196&lt;=$B$442)*((H197&gt;=$C$442)+(H197&lt;2/24)),1,0),0)</f>
        <v>0</v>
      </c>
      <c r="AI198" s="6">
        <f>IF((I196&lt;&gt;"")*(I200=""),IF((I196&lt;=$B$442)*((I197&gt;=$C$442)+(I197&lt;2/24)),1,0),0)</f>
        <v>0</v>
      </c>
      <c r="AJ198" s="6">
        <f>IF((J196&lt;&gt;"")*(J200=""),IF((J196&lt;=$B$442)*((J197&gt;=$C$442)+(J197&lt;2/24)),1,0),0)</f>
        <v>0</v>
      </c>
    </row>
    <row r="199" spans="1:36" ht="13.5" hidden="1" thickBot="1" x14ac:dyDescent="0.25">
      <c r="A199" s="39"/>
      <c r="B199" s="40"/>
      <c r="C199" s="15" t="s">
        <v>3</v>
      </c>
      <c r="D199" s="43"/>
      <c r="E199" s="43"/>
      <c r="F199" s="43"/>
      <c r="G199" s="43"/>
      <c r="H199" s="43"/>
      <c r="I199" s="43"/>
      <c r="J199" s="44"/>
      <c r="K199" s="18">
        <f>SUMIF(D200:J200,"",D199:J199)</f>
        <v>0</v>
      </c>
      <c r="L199" s="12">
        <f>SUM(D199:J199)</f>
        <v>0</v>
      </c>
      <c r="M199" s="24"/>
      <c r="N199" s="10">
        <f t="shared" ref="N199:T199" si="112">IF(D200="",D199,0)</f>
        <v>0</v>
      </c>
      <c r="O199" s="10">
        <f t="shared" si="112"/>
        <v>0</v>
      </c>
      <c r="P199" s="10">
        <f t="shared" si="112"/>
        <v>0</v>
      </c>
      <c r="Q199" s="10">
        <f t="shared" si="112"/>
        <v>0</v>
      </c>
      <c r="R199" s="10">
        <f t="shared" si="112"/>
        <v>0</v>
      </c>
      <c r="S199" s="10">
        <f t="shared" si="112"/>
        <v>0</v>
      </c>
      <c r="T199" s="10">
        <f t="shared" si="112"/>
        <v>0</v>
      </c>
      <c r="U199" s="10"/>
      <c r="V199" s="10">
        <f t="shared" ref="V199:AB199" si="113">D199</f>
        <v>0</v>
      </c>
      <c r="W199" s="10">
        <f t="shared" si="113"/>
        <v>0</v>
      </c>
      <c r="X199" s="10">
        <f t="shared" si="113"/>
        <v>0</v>
      </c>
      <c r="Y199" s="10">
        <f t="shared" si="113"/>
        <v>0</v>
      </c>
      <c r="Z199" s="10">
        <f t="shared" si="113"/>
        <v>0</v>
      </c>
      <c r="AA199" s="10">
        <f t="shared" si="113"/>
        <v>0</v>
      </c>
      <c r="AB199" s="10">
        <f t="shared" si="113"/>
        <v>0</v>
      </c>
      <c r="AD199" s="6">
        <f>IF((D196&lt;&gt;"")*(D200=""),IF((D196&lt;=$B$443)*((D197&gt;=$C$443)+(D197&lt;2/24)),1,0),0)</f>
        <v>0</v>
      </c>
      <c r="AE199" s="6">
        <f>IF((E196&lt;&gt;"")*(E200=""),IF((E196&lt;=$B$443)*((E197&gt;=$C$443)+(E197&lt;2/24)),1,0),0)</f>
        <v>0</v>
      </c>
      <c r="AF199" s="6">
        <f>IF((F196&lt;&gt;"")*(F200=""),IF((F196&lt;=$B$443)*((F197&gt;=$C$443)+(F197&lt;2/24)),1,0),0)</f>
        <v>0</v>
      </c>
      <c r="AG199" s="6">
        <f>IF((G196&lt;&gt;"")*(G200=""),IF((G196&lt;=$B$443)*((G197&gt;=$C$443)+(G197&lt;2/24)),1,0),0)</f>
        <v>0</v>
      </c>
      <c r="AH199" s="6">
        <f>IF((H196&lt;&gt;"")*(H200=""),IF((H196&lt;=$B$443)*((H197&gt;=$C$443)+(H197&lt;2/24)),1,0),0)</f>
        <v>0</v>
      </c>
      <c r="AI199" s="6">
        <f>IF((I196&lt;&gt;"")*(I200=""),IF((I196&lt;=$B$443)*((I197&gt;=$C$443)+(I197&lt;2/24)),1,0),0)</f>
        <v>0</v>
      </c>
      <c r="AJ199" s="6">
        <f>IF((J196&lt;&gt;"")*(J200=""),IF((J196&lt;=$B$443)*((J197&gt;=$C$443)+(J197&lt;2/24)),1,0),0)</f>
        <v>0</v>
      </c>
    </row>
    <row r="200" spans="1:36" ht="13.5" hidden="1" thickBot="1" x14ac:dyDescent="0.25">
      <c r="A200" s="39"/>
      <c r="B200" s="40"/>
      <c r="C200" s="32" t="s">
        <v>4</v>
      </c>
      <c r="D200" s="33"/>
      <c r="E200" s="33"/>
      <c r="F200" s="33"/>
      <c r="G200" s="33"/>
      <c r="H200" s="33"/>
      <c r="I200" s="33"/>
      <c r="J200" s="33"/>
      <c r="K200" s="17"/>
      <c r="L200" s="6"/>
      <c r="M200" s="25"/>
      <c r="N200" s="6"/>
      <c r="O200" s="6"/>
      <c r="P200" s="6"/>
      <c r="Q200" s="6"/>
      <c r="R200" s="6"/>
      <c r="S200" s="6"/>
      <c r="T200" s="6"/>
      <c r="U200" s="6"/>
      <c r="V200" s="20"/>
      <c r="W200" s="20"/>
      <c r="X200" s="20"/>
      <c r="Y200" s="20"/>
      <c r="Z200" s="20"/>
      <c r="AA200" s="20"/>
      <c r="AB200" s="20"/>
      <c r="AD200" s="6">
        <f>IF((D196&lt;&gt;"")*(D200=""),IF((D196&lt;=$B$444)*((D197&gt;=$C$444)+(D197&lt;2/24)),1,0),0)</f>
        <v>0</v>
      </c>
      <c r="AE200" s="6">
        <f>IF((E196&lt;&gt;"")*(E200=""),IF((E196&lt;=$B$444)*((E197&gt;=$C$444)+(E197&lt;2/24)),1,0),0)</f>
        <v>0</v>
      </c>
      <c r="AF200" s="6">
        <f>IF((F196&lt;&gt;"")*(F200=""),IF((F196&lt;=$B$444)*((F197&gt;=$C$444)+(F197&lt;2/24)),1,0),0)</f>
        <v>0</v>
      </c>
      <c r="AG200" s="6">
        <f>IF((G196&lt;&gt;"")*(G200=""),IF((G196&lt;=$B$444)*((G197&gt;=$C$444)+(G197&lt;2/24)),1,0),0)</f>
        <v>0</v>
      </c>
      <c r="AH200" s="6">
        <f>IF((H196&lt;&gt;"")*(H200=""),IF((H196&lt;=$B$444)*((H197&gt;=$C$444)+(H197&lt;2/24)),1,0),0)</f>
        <v>0</v>
      </c>
      <c r="AI200" s="6">
        <f>IF((I196&lt;&gt;"")*(I200=""),IF((I196&lt;=$B$444)*((I197&gt;=$C$444)+(I197&lt;2/24)),1,0),0)</f>
        <v>0</v>
      </c>
      <c r="AJ200" s="6">
        <f>IF((J196&lt;&gt;"")*(J200=""),IF((J196&lt;=$B$444)*((J197&gt;=$C$444)+(J197&lt;2/24)),1,0),0)</f>
        <v>0</v>
      </c>
    </row>
    <row r="201" spans="1:36" ht="13.5" hidden="1" thickBot="1" x14ac:dyDescent="0.25">
      <c r="A201" s="41"/>
      <c r="B201" s="42"/>
      <c r="C201" s="35" t="s">
        <v>28</v>
      </c>
      <c r="D201" s="36"/>
      <c r="E201" s="36"/>
      <c r="F201" s="36"/>
      <c r="G201" s="36"/>
      <c r="H201" s="36"/>
      <c r="I201" s="36"/>
      <c r="J201" s="36"/>
      <c r="K201" s="34"/>
      <c r="L201" s="6"/>
      <c r="M201" s="25"/>
      <c r="N201" s="6"/>
      <c r="O201" s="6"/>
      <c r="P201" s="6"/>
      <c r="Q201" s="6"/>
      <c r="R201" s="6"/>
      <c r="S201" s="6"/>
      <c r="T201" s="6"/>
      <c r="U201" s="6"/>
      <c r="V201" s="20"/>
      <c r="W201" s="20"/>
      <c r="X201" s="20"/>
      <c r="Y201" s="20"/>
      <c r="Z201" s="20"/>
      <c r="AA201" s="20"/>
      <c r="AB201" s="20"/>
      <c r="AD201" s="6"/>
      <c r="AE201" s="6"/>
      <c r="AF201" s="6"/>
      <c r="AG201" s="6"/>
      <c r="AH201" s="6"/>
      <c r="AI201" s="6"/>
      <c r="AJ201" s="6"/>
    </row>
    <row r="202" spans="1:36" ht="13.5" hidden="1" thickBot="1" x14ac:dyDescent="0.25">
      <c r="A202" s="37" t="s">
        <v>29</v>
      </c>
      <c r="B202" s="38" t="s">
        <v>30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  <c r="L202" s="6"/>
      <c r="M202" s="21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D202" s="6">
        <f>IF((D202&lt;&gt;"")*(D206=""),IF((D202&lt;=$B$440)*((D203&gt;=$C$440)+(D203&lt;2/24)),1,0),0)</f>
        <v>0</v>
      </c>
      <c r="AE202" s="6">
        <f>IF((E202&lt;&gt;"")*(E206=""),IF((E202&lt;=$B$440)*((E203&gt;=$C$440)+(E203&lt;2/24)),1,0),0)</f>
        <v>0</v>
      </c>
      <c r="AF202" s="6">
        <f>IF((F202&lt;&gt;"")*(F206=""),IF((F202&lt;=$B$440)*((F203&gt;=$C$440)+(F203&lt;2/24)),1,0),0)</f>
        <v>0</v>
      </c>
      <c r="AG202" s="6">
        <f>IF((G202&lt;&gt;"")*(G206=""),IF((G202&lt;=$B$440)*((G203&gt;=$C$440)+(G203&lt;2/24)),1,0),0)</f>
        <v>0</v>
      </c>
      <c r="AH202" s="6">
        <f>IF((H202&lt;&gt;"")*(H206=""),IF((H202&lt;=$B$440)*((H203&gt;=$C$440)+(H203&lt;2/24)),1,0),0)</f>
        <v>0</v>
      </c>
      <c r="AI202" s="6">
        <f>IF((I202&lt;&gt;"")*(I206=""),IF((I202&lt;=$B$440)*((I203&gt;=$C$440)+(I203&lt;2/24)),1,0),0)</f>
        <v>0</v>
      </c>
      <c r="AJ202" s="6">
        <f>IF((J202&lt;&gt;"")*(J206=""),IF((J202&lt;=$B$440)*((J203&gt;=$C$440)+(J203&lt;2/24)),1,0),0)</f>
        <v>0</v>
      </c>
    </row>
    <row r="203" spans="1:36" ht="13.5" hidden="1" thickBot="1" x14ac:dyDescent="0.25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  <c r="L203" s="6"/>
      <c r="M203" s="21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D203" s="6">
        <f>IF((D202&lt;&gt;"")*(D206=""),IF((D202&lt;=$B$441)*((D203&gt;=$C$441)+(D203&lt;2/24)),1,0),0)</f>
        <v>0</v>
      </c>
      <c r="AE203" s="6">
        <f>IF((E202&lt;&gt;"")*(E206=""),IF((E202&lt;=$B$441)*((E203&gt;=$C$441)+(E203&lt;2/24)),1,0),0)</f>
        <v>0</v>
      </c>
      <c r="AF203" s="6">
        <f>IF((F202&lt;&gt;"")*(F206=""),IF((F202&lt;=$B$441)*((F203&gt;=$C$441)+(F203&lt;2/24)),1,0),0)</f>
        <v>0</v>
      </c>
      <c r="AG203" s="6">
        <f>IF((G202&lt;&gt;"")*(G206=""),IF((G202&lt;=$B$441)*((G203&gt;=$C$441)+(G203&lt;2/24)),1,0),0)</f>
        <v>0</v>
      </c>
      <c r="AH203" s="6">
        <f>IF((H202&lt;&gt;"")*(H206=""),IF((H202&lt;=$B$441)*((H203&gt;=$C$441)+(H203&lt;2/24)),1,0),0)</f>
        <v>0</v>
      </c>
      <c r="AI203" s="6">
        <f>IF((I202&lt;&gt;"")*(I206=""),IF((I202&lt;=$B$441)*((I203&gt;=$C$441)+(I203&lt;2/24)),1,0),0)</f>
        <v>0</v>
      </c>
      <c r="AJ203" s="6">
        <f>IF((J202&lt;&gt;"")*(J206=""),IF((J202&lt;=$B$441)*((J203&gt;=$C$441)+(J203&lt;2/24)),1,0),0)</f>
        <v>0</v>
      </c>
    </row>
    <row r="204" spans="1:36" ht="13.5" hidden="1" thickBot="1" x14ac:dyDescent="0.25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  <c r="L204" s="6"/>
      <c r="M204" s="21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D204" s="6">
        <f>IF((D202&lt;&gt;"")*(D206=""),IF((D202&lt;=$B$442)*((D203&gt;=$C$442)+(D203&lt;2/24)),1,0),0)</f>
        <v>0</v>
      </c>
      <c r="AE204" s="6">
        <f>IF((E202&lt;&gt;"")*(E206=""),IF((E202&lt;=$B$442)*((E203&gt;=$C$442)+(E203&lt;2/24)),1,0),0)</f>
        <v>0</v>
      </c>
      <c r="AF204" s="6">
        <f>IF((F202&lt;&gt;"")*(F206=""),IF((F202&lt;=$B$442)*((F203&gt;=$C$442)+(F203&lt;2/24)),1,0),0)</f>
        <v>0</v>
      </c>
      <c r="AG204" s="6">
        <f>IF((G202&lt;&gt;"")*(G206=""),IF((G202&lt;=$B$442)*((G203&gt;=$C$442)+(G203&lt;2/24)),1,0),0)</f>
        <v>0</v>
      </c>
      <c r="AH204" s="6">
        <f>IF((H202&lt;&gt;"")*(H206=""),IF((H202&lt;=$B$442)*((H203&gt;=$C$442)+(H203&lt;2/24)),1,0),0)</f>
        <v>0</v>
      </c>
      <c r="AI204" s="6">
        <f>IF((I202&lt;&gt;"")*(I206=""),IF((I202&lt;=$B$442)*((I203&gt;=$C$442)+(I203&lt;2/24)),1,0),0)</f>
        <v>0</v>
      </c>
      <c r="AJ204" s="6">
        <f>IF((J202&lt;&gt;"")*(J206=""),IF((J202&lt;=$B$442)*((J203&gt;=$C$442)+(J203&lt;2/24)),1,0),0)</f>
        <v>0</v>
      </c>
    </row>
    <row r="205" spans="1:36" ht="13.5" hidden="1" thickBot="1" x14ac:dyDescent="0.25">
      <c r="A205" s="39"/>
      <c r="B205" s="40"/>
      <c r="C205" s="15" t="s">
        <v>3</v>
      </c>
      <c r="D205" s="43"/>
      <c r="E205" s="43"/>
      <c r="F205" s="43"/>
      <c r="G205" s="43"/>
      <c r="H205" s="43"/>
      <c r="I205" s="43"/>
      <c r="J205" s="44"/>
      <c r="K205" s="18">
        <f>SUMIF(D206:J206,"",D205:J205)</f>
        <v>0</v>
      </c>
      <c r="L205" s="12">
        <f>SUM(D205:J205)</f>
        <v>0</v>
      </c>
      <c r="M205" s="24"/>
      <c r="N205" s="10">
        <f t="shared" ref="N205:T205" si="114">IF(D206="",D205,0)</f>
        <v>0</v>
      </c>
      <c r="O205" s="10">
        <f t="shared" si="114"/>
        <v>0</v>
      </c>
      <c r="P205" s="10">
        <f t="shared" si="114"/>
        <v>0</v>
      </c>
      <c r="Q205" s="10">
        <f t="shared" si="114"/>
        <v>0</v>
      </c>
      <c r="R205" s="10">
        <f t="shared" si="114"/>
        <v>0</v>
      </c>
      <c r="S205" s="10">
        <f t="shared" si="114"/>
        <v>0</v>
      </c>
      <c r="T205" s="10">
        <f t="shared" si="114"/>
        <v>0</v>
      </c>
      <c r="U205" s="10"/>
      <c r="V205" s="10">
        <f t="shared" ref="V205:AB205" si="115">D205</f>
        <v>0</v>
      </c>
      <c r="W205" s="10">
        <f t="shared" si="115"/>
        <v>0</v>
      </c>
      <c r="X205" s="10">
        <f t="shared" si="115"/>
        <v>0</v>
      </c>
      <c r="Y205" s="10">
        <f t="shared" si="115"/>
        <v>0</v>
      </c>
      <c r="Z205" s="10">
        <f t="shared" si="115"/>
        <v>0</v>
      </c>
      <c r="AA205" s="10">
        <f t="shared" si="115"/>
        <v>0</v>
      </c>
      <c r="AB205" s="10">
        <f t="shared" si="115"/>
        <v>0</v>
      </c>
      <c r="AD205" s="6">
        <f>IF((D202&lt;&gt;"")*(D206=""),IF((D202&lt;=$B$443)*((D203&gt;=$C$443)+(D203&lt;2/24)),1,0),0)</f>
        <v>0</v>
      </c>
      <c r="AE205" s="6">
        <f>IF((E202&lt;&gt;"")*(E206=""),IF((E202&lt;=$B$443)*((E203&gt;=$C$443)+(E203&lt;2/24)),1,0),0)</f>
        <v>0</v>
      </c>
      <c r="AF205" s="6">
        <f>IF((F202&lt;&gt;"")*(F206=""),IF((F202&lt;=$B$443)*((F203&gt;=$C$443)+(F203&lt;2/24)),1,0),0)</f>
        <v>0</v>
      </c>
      <c r="AG205" s="6">
        <f>IF((G202&lt;&gt;"")*(G206=""),IF((G202&lt;=$B$443)*((G203&gt;=$C$443)+(G203&lt;2/24)),1,0),0)</f>
        <v>0</v>
      </c>
      <c r="AH205" s="6">
        <f>IF((H202&lt;&gt;"")*(H206=""),IF((H202&lt;=$B$443)*((H203&gt;=$C$443)+(H203&lt;2/24)),1,0),0)</f>
        <v>0</v>
      </c>
      <c r="AI205" s="6">
        <f>IF((I202&lt;&gt;"")*(I206=""),IF((I202&lt;=$B$443)*((I203&gt;=$C$443)+(I203&lt;2/24)),1,0),0)</f>
        <v>0</v>
      </c>
      <c r="AJ205" s="6">
        <f>IF((J202&lt;&gt;"")*(J206=""),IF((J202&lt;=$B$443)*((J203&gt;=$C$443)+(J203&lt;2/24)),1,0),0)</f>
        <v>0</v>
      </c>
    </row>
    <row r="206" spans="1:36" ht="13.5" hidden="1" thickBot="1" x14ac:dyDescent="0.25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  <c r="N206" s="6"/>
      <c r="O206" s="6"/>
      <c r="P206" s="6"/>
      <c r="Q206" s="6"/>
      <c r="R206" s="6"/>
      <c r="S206" s="6"/>
      <c r="T206" s="6"/>
      <c r="U206" s="6"/>
      <c r="V206" s="20"/>
      <c r="W206" s="20"/>
      <c r="X206" s="20"/>
      <c r="Y206" s="20"/>
      <c r="Z206" s="20"/>
      <c r="AA206" s="20"/>
      <c r="AB206" s="20"/>
      <c r="AD206" s="6">
        <f>IF((D202&lt;&gt;"")*(D206=""),IF((D202&lt;=$B$444)*((D203&gt;=$C$444)+(D203&lt;2/24)),1,0),0)</f>
        <v>0</v>
      </c>
      <c r="AE206" s="6">
        <f>IF((E202&lt;&gt;"")*(E206=""),IF((E202&lt;=$B$444)*((E203&gt;=$C$444)+(E203&lt;2/24)),1,0),0)</f>
        <v>0</v>
      </c>
      <c r="AF206" s="6">
        <f>IF((F202&lt;&gt;"")*(F206=""),IF((F202&lt;=$B$444)*((F203&gt;=$C$444)+(F203&lt;2/24)),1,0),0)</f>
        <v>0</v>
      </c>
      <c r="AG206" s="6">
        <f>IF((G202&lt;&gt;"")*(G206=""),IF((G202&lt;=$B$444)*((G203&gt;=$C$444)+(G203&lt;2/24)),1,0),0)</f>
        <v>0</v>
      </c>
      <c r="AH206" s="6">
        <f>IF((H202&lt;&gt;"")*(H206=""),IF((H202&lt;=$B$444)*((H203&gt;=$C$444)+(H203&lt;2/24)),1,0),0)</f>
        <v>0</v>
      </c>
      <c r="AI206" s="6">
        <f>IF((I202&lt;&gt;"")*(I206=""),IF((I202&lt;=$B$444)*((I203&gt;=$C$444)+(I203&lt;2/24)),1,0),0)</f>
        <v>0</v>
      </c>
      <c r="AJ206" s="6">
        <f>IF((J202&lt;&gt;"")*(J206=""),IF((J202&lt;=$B$444)*((J203&gt;=$C$444)+(J203&lt;2/24)),1,0),0)</f>
        <v>0</v>
      </c>
    </row>
    <row r="207" spans="1:36" ht="13.5" hidden="1" thickBot="1" x14ac:dyDescent="0.25">
      <c r="A207" s="41"/>
      <c r="B207" s="42"/>
      <c r="C207" s="35" t="s">
        <v>28</v>
      </c>
      <c r="D207" s="36"/>
      <c r="E207" s="36"/>
      <c r="F207" s="36"/>
      <c r="G207" s="36"/>
      <c r="H207" s="36"/>
      <c r="I207" s="36"/>
      <c r="J207" s="36"/>
      <c r="K207" s="34"/>
      <c r="L207" s="6"/>
      <c r="M207" s="25"/>
      <c r="N207" s="6"/>
      <c r="O207" s="6"/>
      <c r="P207" s="6"/>
      <c r="Q207" s="6"/>
      <c r="R207" s="6"/>
      <c r="S207" s="6"/>
      <c r="T207" s="6"/>
      <c r="U207" s="6"/>
      <c r="V207" s="20"/>
      <c r="W207" s="20"/>
      <c r="X207" s="20"/>
      <c r="Y207" s="20"/>
      <c r="Z207" s="20"/>
      <c r="AA207" s="20"/>
      <c r="AB207" s="20"/>
      <c r="AD207" s="6"/>
      <c r="AE207" s="6"/>
      <c r="AF207" s="6"/>
      <c r="AG207" s="6"/>
      <c r="AH207" s="6"/>
      <c r="AI207" s="6"/>
      <c r="AJ207" s="6"/>
    </row>
    <row r="208" spans="1:36" ht="13.5" hidden="1" thickBot="1" x14ac:dyDescent="0.25">
      <c r="A208" s="37" t="s">
        <v>29</v>
      </c>
      <c r="B208" s="38" t="s">
        <v>30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  <c r="L208" s="6"/>
      <c r="M208" s="21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D208" s="6">
        <f>IF((D208&lt;&gt;"")*(D212=""),IF((D208&lt;=$B$440)*((D209&gt;=$C$440)+(D209&lt;2/24)),1,0),0)</f>
        <v>0</v>
      </c>
      <c r="AE208" s="6">
        <f>IF((E208&lt;&gt;"")*(E212=""),IF((E208&lt;=$B$440)*((E209&gt;=$C$440)+(E209&lt;2/24)),1,0),0)</f>
        <v>0</v>
      </c>
      <c r="AF208" s="6">
        <f>IF((F208&lt;&gt;"")*(F212=""),IF((F208&lt;=$B$440)*((F209&gt;=$C$440)+(F209&lt;2/24)),1,0),0)</f>
        <v>0</v>
      </c>
      <c r="AG208" s="6">
        <f>IF((G208&lt;&gt;"")*(G212=""),IF((G208&lt;=$B$440)*((G209&gt;=$C$440)+(G209&lt;2/24)),1,0),0)</f>
        <v>0</v>
      </c>
      <c r="AH208" s="6">
        <f>IF((H208&lt;&gt;"")*(H212=""),IF((H208&lt;=$B$440)*((H209&gt;=$C$440)+(H209&lt;2/24)),1,0),0)</f>
        <v>0</v>
      </c>
      <c r="AI208" s="6">
        <f>IF((I208&lt;&gt;"")*(I212=""),IF((I208&lt;=$B$440)*((I209&gt;=$C$440)+(I209&lt;2/24)),1,0),0)</f>
        <v>0</v>
      </c>
      <c r="AJ208" s="6">
        <f>IF((J208&lt;&gt;"")*(J212=""),IF((J208&lt;=$B$440)*((J209&gt;=$C$440)+(J209&lt;2/24)),1,0),0)</f>
        <v>0</v>
      </c>
    </row>
    <row r="209" spans="1:36" ht="13.5" hidden="1" thickBot="1" x14ac:dyDescent="0.25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  <c r="L209" s="6"/>
      <c r="M209" s="21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D209" s="6">
        <f>IF((D208&lt;&gt;"")*(D212=""),IF((D208&lt;=$B$441)*((D209&gt;=$C$441)+(D209&lt;2/24)),1,0),0)</f>
        <v>0</v>
      </c>
      <c r="AE209" s="6">
        <f>IF((E208&lt;&gt;"")*(E212=""),IF((E208&lt;=$B$441)*((E209&gt;=$C$441)+(E209&lt;2/24)),1,0),0)</f>
        <v>0</v>
      </c>
      <c r="AF209" s="6">
        <f>IF((F208&lt;&gt;"")*(F212=""),IF((F208&lt;=$B$441)*((F209&gt;=$C$441)+(F209&lt;2/24)),1,0),0)</f>
        <v>0</v>
      </c>
      <c r="AG209" s="6">
        <f>IF((G208&lt;&gt;"")*(G212=""),IF((G208&lt;=$B$441)*((G209&gt;=$C$441)+(G209&lt;2/24)),1,0),0)</f>
        <v>0</v>
      </c>
      <c r="AH209" s="6">
        <f>IF((H208&lt;&gt;"")*(H212=""),IF((H208&lt;=$B$441)*((H209&gt;=$C$441)+(H209&lt;2/24)),1,0),0)</f>
        <v>0</v>
      </c>
      <c r="AI209" s="6">
        <f>IF((I208&lt;&gt;"")*(I212=""),IF((I208&lt;=$B$441)*((I209&gt;=$C$441)+(I209&lt;2/24)),1,0),0)</f>
        <v>0</v>
      </c>
      <c r="AJ209" s="6">
        <f>IF((J208&lt;&gt;"")*(J212=""),IF((J208&lt;=$B$441)*((J209&gt;=$C$441)+(J209&lt;2/24)),1,0),0)</f>
        <v>0</v>
      </c>
    </row>
    <row r="210" spans="1:36" ht="13.5" hidden="1" thickBot="1" x14ac:dyDescent="0.25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  <c r="L210" s="6"/>
      <c r="M210" s="21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D210" s="6">
        <f>IF((D208&lt;&gt;"")*(D212=""),IF((D208&lt;=$B$442)*((D209&gt;=$C$442)+(D209&lt;2/24)),1,0),0)</f>
        <v>0</v>
      </c>
      <c r="AE210" s="6">
        <f>IF((E208&lt;&gt;"")*(E212=""),IF((E208&lt;=$B$442)*((E209&gt;=$C$442)+(E209&lt;2/24)),1,0),0)</f>
        <v>0</v>
      </c>
      <c r="AF210" s="6">
        <f>IF((F208&lt;&gt;"")*(F212=""),IF((F208&lt;=$B$442)*((F209&gt;=$C$442)+(F209&lt;2/24)),1,0),0)</f>
        <v>0</v>
      </c>
      <c r="AG210" s="6">
        <f>IF((G208&lt;&gt;"")*(G212=""),IF((G208&lt;=$B$442)*((G209&gt;=$C$442)+(G209&lt;2/24)),1,0),0)</f>
        <v>0</v>
      </c>
      <c r="AH210" s="6">
        <f>IF((H208&lt;&gt;"")*(H212=""),IF((H208&lt;=$B$442)*((H209&gt;=$C$442)+(H209&lt;2/24)),1,0),0)</f>
        <v>0</v>
      </c>
      <c r="AI210" s="6">
        <f>IF((I208&lt;&gt;"")*(I212=""),IF((I208&lt;=$B$442)*((I209&gt;=$C$442)+(I209&lt;2/24)),1,0),0)</f>
        <v>0</v>
      </c>
      <c r="AJ210" s="6">
        <f>IF((J208&lt;&gt;"")*(J212=""),IF((J208&lt;=$B$442)*((J209&gt;=$C$442)+(J209&lt;2/24)),1,0),0)</f>
        <v>0</v>
      </c>
    </row>
    <row r="211" spans="1:36" ht="13.5" hidden="1" thickBot="1" x14ac:dyDescent="0.25">
      <c r="A211" s="39"/>
      <c r="B211" s="40"/>
      <c r="C211" s="15" t="s">
        <v>3</v>
      </c>
      <c r="D211" s="43"/>
      <c r="E211" s="43"/>
      <c r="F211" s="43"/>
      <c r="G211" s="43"/>
      <c r="H211" s="43"/>
      <c r="I211" s="43"/>
      <c r="J211" s="44"/>
      <c r="K211" s="18">
        <f>SUMIF(D212:J212,"",D211:J211)</f>
        <v>0</v>
      </c>
      <c r="L211" s="12">
        <f>SUM(D211:J211)</f>
        <v>0</v>
      </c>
      <c r="M211" s="24"/>
      <c r="N211" s="10">
        <f t="shared" ref="N211:T211" si="116">IF(D212="",D211,0)</f>
        <v>0</v>
      </c>
      <c r="O211" s="10">
        <f t="shared" si="116"/>
        <v>0</v>
      </c>
      <c r="P211" s="10">
        <f t="shared" si="116"/>
        <v>0</v>
      </c>
      <c r="Q211" s="10">
        <f t="shared" si="116"/>
        <v>0</v>
      </c>
      <c r="R211" s="10">
        <f t="shared" si="116"/>
        <v>0</v>
      </c>
      <c r="S211" s="10">
        <f t="shared" si="116"/>
        <v>0</v>
      </c>
      <c r="T211" s="10">
        <f t="shared" si="116"/>
        <v>0</v>
      </c>
      <c r="U211" s="10"/>
      <c r="V211" s="10">
        <f t="shared" ref="V211:AB211" si="117">D211</f>
        <v>0</v>
      </c>
      <c r="W211" s="10">
        <f t="shared" si="117"/>
        <v>0</v>
      </c>
      <c r="X211" s="10">
        <f t="shared" si="117"/>
        <v>0</v>
      </c>
      <c r="Y211" s="10">
        <f t="shared" si="117"/>
        <v>0</v>
      </c>
      <c r="Z211" s="10">
        <f t="shared" si="117"/>
        <v>0</v>
      </c>
      <c r="AA211" s="10">
        <f t="shared" si="117"/>
        <v>0</v>
      </c>
      <c r="AB211" s="10">
        <f t="shared" si="117"/>
        <v>0</v>
      </c>
      <c r="AD211" s="6">
        <f>IF((D208&lt;&gt;"")*(D212=""),IF((D208&lt;=$B$443)*((D209&gt;=$C$443)+(D209&lt;2/24)),1,0),0)</f>
        <v>0</v>
      </c>
      <c r="AE211" s="6">
        <f>IF((E208&lt;&gt;"")*(E212=""),IF((E208&lt;=$B$443)*((E209&gt;=$C$443)+(E209&lt;2/24)),1,0),0)</f>
        <v>0</v>
      </c>
      <c r="AF211" s="6">
        <f>IF((F208&lt;&gt;"")*(F212=""),IF((F208&lt;=$B$443)*((F209&gt;=$C$443)+(F209&lt;2/24)),1,0),0)</f>
        <v>0</v>
      </c>
      <c r="AG211" s="6">
        <f>IF((G208&lt;&gt;"")*(G212=""),IF((G208&lt;=$B$443)*((G209&gt;=$C$443)+(G209&lt;2/24)),1,0),0)</f>
        <v>0</v>
      </c>
      <c r="AH211" s="6">
        <f>IF((H208&lt;&gt;"")*(H212=""),IF((H208&lt;=$B$443)*((H209&gt;=$C$443)+(H209&lt;2/24)),1,0),0)</f>
        <v>0</v>
      </c>
      <c r="AI211" s="6">
        <f>IF((I208&lt;&gt;"")*(I212=""),IF((I208&lt;=$B$443)*((I209&gt;=$C$443)+(I209&lt;2/24)),1,0),0)</f>
        <v>0</v>
      </c>
      <c r="AJ211" s="6">
        <f>IF((J208&lt;&gt;"")*(J212=""),IF((J208&lt;=$B$443)*((J209&gt;=$C$443)+(J209&lt;2/24)),1,0),0)</f>
        <v>0</v>
      </c>
    </row>
    <row r="212" spans="1:36" ht="13.5" hidden="1" thickBot="1" x14ac:dyDescent="0.25">
      <c r="A212" s="39"/>
      <c r="B212" s="40"/>
      <c r="C212" s="32" t="s">
        <v>4</v>
      </c>
      <c r="D212" s="33"/>
      <c r="E212" s="33"/>
      <c r="F212" s="33"/>
      <c r="G212" s="33"/>
      <c r="H212" s="33"/>
      <c r="I212" s="33"/>
      <c r="J212" s="33"/>
      <c r="K212" s="17"/>
      <c r="L212" s="6"/>
      <c r="M212" s="25"/>
      <c r="N212" s="6"/>
      <c r="O212" s="6"/>
      <c r="P212" s="6"/>
      <c r="Q212" s="6"/>
      <c r="R212" s="6"/>
      <c r="S212" s="6"/>
      <c r="T212" s="6"/>
      <c r="U212" s="6"/>
      <c r="V212" s="20"/>
      <c r="W212" s="20"/>
      <c r="X212" s="20"/>
      <c r="Y212" s="20"/>
      <c r="Z212" s="20"/>
      <c r="AA212" s="20"/>
      <c r="AB212" s="20"/>
      <c r="AD212" s="6">
        <f>IF((D208&lt;&gt;"")*(D212=""),IF((D208&lt;=$B$444)*((D209&gt;=$C$444)+(D209&lt;2/24)),1,0),0)</f>
        <v>0</v>
      </c>
      <c r="AE212" s="6">
        <f>IF((E208&lt;&gt;"")*(E212=""),IF((E208&lt;=$B$444)*((E209&gt;=$C$444)+(E209&lt;2/24)),1,0),0)</f>
        <v>0</v>
      </c>
      <c r="AF212" s="6">
        <f>IF((F208&lt;&gt;"")*(F212=""),IF((F208&lt;=$B$444)*((F209&gt;=$C$444)+(F209&lt;2/24)),1,0),0)</f>
        <v>0</v>
      </c>
      <c r="AG212" s="6">
        <f>IF((G208&lt;&gt;"")*(G212=""),IF((G208&lt;=$B$444)*((G209&gt;=$C$444)+(G209&lt;2/24)),1,0),0)</f>
        <v>0</v>
      </c>
      <c r="AH212" s="6">
        <f>IF((H208&lt;&gt;"")*(H212=""),IF((H208&lt;=$B$444)*((H209&gt;=$C$444)+(H209&lt;2/24)),1,0),0)</f>
        <v>0</v>
      </c>
      <c r="AI212" s="6">
        <f>IF((I208&lt;&gt;"")*(I212=""),IF((I208&lt;=$B$444)*((I209&gt;=$C$444)+(I209&lt;2/24)),1,0),0)</f>
        <v>0</v>
      </c>
      <c r="AJ212" s="6">
        <f>IF((J208&lt;&gt;"")*(J212=""),IF((J208&lt;=$B$444)*((J209&gt;=$C$444)+(J209&lt;2/24)),1,0),0)</f>
        <v>0</v>
      </c>
    </row>
    <row r="213" spans="1:36" ht="13.5" hidden="1" thickBot="1" x14ac:dyDescent="0.25">
      <c r="A213" s="41"/>
      <c r="B213" s="42"/>
      <c r="C213" s="35" t="s">
        <v>28</v>
      </c>
      <c r="D213" s="36"/>
      <c r="E213" s="36"/>
      <c r="F213" s="36"/>
      <c r="G213" s="36"/>
      <c r="H213" s="36"/>
      <c r="I213" s="36"/>
      <c r="J213" s="36"/>
      <c r="K213" s="34"/>
      <c r="L213" s="6"/>
      <c r="M213" s="25"/>
      <c r="N213" s="6"/>
      <c r="O213" s="6"/>
      <c r="P213" s="6"/>
      <c r="Q213" s="6"/>
      <c r="R213" s="6"/>
      <c r="S213" s="6"/>
      <c r="T213" s="6"/>
      <c r="U213" s="6"/>
      <c r="V213" s="20"/>
      <c r="W213" s="20"/>
      <c r="X213" s="20"/>
      <c r="Y213" s="20"/>
      <c r="Z213" s="20"/>
      <c r="AA213" s="20"/>
      <c r="AB213" s="20"/>
      <c r="AD213" s="6"/>
      <c r="AE213" s="6"/>
      <c r="AF213" s="6"/>
      <c r="AG213" s="6"/>
      <c r="AH213" s="6"/>
      <c r="AI213" s="6"/>
      <c r="AJ213" s="6"/>
    </row>
    <row r="214" spans="1:36" ht="13.5" hidden="1" thickBot="1" x14ac:dyDescent="0.25">
      <c r="A214" s="37" t="s">
        <v>29</v>
      </c>
      <c r="B214" s="38" t="s">
        <v>30</v>
      </c>
      <c r="C214" s="14" t="s">
        <v>0</v>
      </c>
      <c r="D214" s="26"/>
      <c r="E214" s="26"/>
      <c r="F214" s="26"/>
      <c r="G214" s="26"/>
      <c r="H214" s="26"/>
      <c r="I214" s="26"/>
      <c r="J214" s="26"/>
      <c r="K214" s="16"/>
      <c r="L214" s="6"/>
      <c r="M214" s="21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D214" s="6">
        <f>IF((D214&lt;&gt;"")*(D218=""),IF((D214&lt;=$B$440)*((D215&gt;=$C$440)+(D215&lt;2/24)),1,0),0)</f>
        <v>0</v>
      </c>
      <c r="AE214" s="6">
        <f>IF((E214&lt;&gt;"")*(E218=""),IF((E214&lt;=$B$440)*((E215&gt;=$C$440)+(E215&lt;2/24)),1,0),0)</f>
        <v>0</v>
      </c>
      <c r="AF214" s="6">
        <f>IF((F214&lt;&gt;"")*(F218=""),IF((F214&lt;=$B$440)*((F215&gt;=$C$440)+(F215&lt;2/24)),1,0),0)</f>
        <v>0</v>
      </c>
      <c r="AG214" s="6">
        <f>IF((G214&lt;&gt;"")*(G218=""),IF((G214&lt;=$B$440)*((G215&gt;=$C$440)+(G215&lt;2/24)),1,0),0)</f>
        <v>0</v>
      </c>
      <c r="AH214" s="6">
        <f>IF((H214&lt;&gt;"")*(H218=""),IF((H214&lt;=$B$440)*((H215&gt;=$C$440)+(H215&lt;2/24)),1,0),0)</f>
        <v>0</v>
      </c>
      <c r="AI214" s="6">
        <f>IF((I214&lt;&gt;"")*(I218=""),IF((I214&lt;=$B$440)*((I215&gt;=$C$440)+(I215&lt;2/24)),1,0),0)</f>
        <v>0</v>
      </c>
      <c r="AJ214" s="6">
        <f>IF((J214&lt;&gt;"")*(J218=""),IF((J214&lt;=$B$440)*((J215&gt;=$C$440)+(J215&lt;2/24)),1,0),0)</f>
        <v>0</v>
      </c>
    </row>
    <row r="215" spans="1:36" ht="13.5" hidden="1" thickBot="1" x14ac:dyDescent="0.25">
      <c r="A215" s="39"/>
      <c r="B215" s="40"/>
      <c r="C215" s="15" t="s">
        <v>1</v>
      </c>
      <c r="D215" s="27"/>
      <c r="E215" s="27"/>
      <c r="F215" s="27"/>
      <c r="G215" s="27"/>
      <c r="H215" s="27"/>
      <c r="I215" s="27"/>
      <c r="J215" s="27"/>
      <c r="K215" s="17"/>
      <c r="L215" s="6"/>
      <c r="M215" s="21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D215" s="6">
        <f>IF((D214&lt;&gt;"")*(D218=""),IF((D214&lt;=$B$441)*((D215&gt;=$C$441)+(D215&lt;2/24)),1,0),0)</f>
        <v>0</v>
      </c>
      <c r="AE215" s="6">
        <f>IF((E214&lt;&gt;"")*(E218=""),IF((E214&lt;=$B$441)*((E215&gt;=$C$441)+(E215&lt;2/24)),1,0),0)</f>
        <v>0</v>
      </c>
      <c r="AF215" s="6">
        <f>IF((F214&lt;&gt;"")*(F218=""),IF((F214&lt;=$B$441)*((F215&gt;=$C$441)+(F215&lt;2/24)),1,0),0)</f>
        <v>0</v>
      </c>
      <c r="AG215" s="6">
        <f>IF((G214&lt;&gt;"")*(G218=""),IF((G214&lt;=$B$441)*((G215&gt;=$C$441)+(G215&lt;2/24)),1,0),0)</f>
        <v>0</v>
      </c>
      <c r="AH215" s="6">
        <f>IF((H214&lt;&gt;"")*(H218=""),IF((H214&lt;=$B$441)*((H215&gt;=$C$441)+(H215&lt;2/24)),1,0),0)</f>
        <v>0</v>
      </c>
      <c r="AI215" s="6">
        <f>IF((I214&lt;&gt;"")*(I218=""),IF((I214&lt;=$B$441)*((I215&gt;=$C$441)+(I215&lt;2/24)),1,0),0)</f>
        <v>0</v>
      </c>
      <c r="AJ215" s="6">
        <f>IF((J214&lt;&gt;"")*(J218=""),IF((J214&lt;=$B$441)*((J215&gt;=$C$441)+(J215&lt;2/24)),1,0),0)</f>
        <v>0</v>
      </c>
    </row>
    <row r="216" spans="1:36" ht="13.5" hidden="1" thickBot="1" x14ac:dyDescent="0.25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  <c r="L216" s="6"/>
      <c r="M216" s="21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D216" s="6">
        <f>IF((D214&lt;&gt;"")*(D218=""),IF((D214&lt;=$B$442)*((D215&gt;=$C$442)+(D215&lt;2/24)),1,0),0)</f>
        <v>0</v>
      </c>
      <c r="AE216" s="6">
        <f>IF((E214&lt;&gt;"")*(E218=""),IF((E214&lt;=$B$442)*((E215&gt;=$C$442)+(E215&lt;2/24)),1,0),0)</f>
        <v>0</v>
      </c>
      <c r="AF216" s="6">
        <f>IF((F214&lt;&gt;"")*(F218=""),IF((F214&lt;=$B$442)*((F215&gt;=$C$442)+(F215&lt;2/24)),1,0),0)</f>
        <v>0</v>
      </c>
      <c r="AG216" s="6">
        <f>IF((G214&lt;&gt;"")*(G218=""),IF((G214&lt;=$B$442)*((G215&gt;=$C$442)+(G215&lt;2/24)),1,0),0)</f>
        <v>0</v>
      </c>
      <c r="AH216" s="6">
        <f>IF((H214&lt;&gt;"")*(H218=""),IF((H214&lt;=$B$442)*((H215&gt;=$C$442)+(H215&lt;2/24)),1,0),0)</f>
        <v>0</v>
      </c>
      <c r="AI216" s="6">
        <f>IF((I214&lt;&gt;"")*(I218=""),IF((I214&lt;=$B$442)*((I215&gt;=$C$442)+(I215&lt;2/24)),1,0),0)</f>
        <v>0</v>
      </c>
      <c r="AJ216" s="6">
        <f>IF((J214&lt;&gt;"")*(J218=""),IF((J214&lt;=$B$442)*((J215&gt;=$C$442)+(J215&lt;2/24)),1,0),0)</f>
        <v>0</v>
      </c>
    </row>
    <row r="217" spans="1:36" ht="13.5" hidden="1" thickBot="1" x14ac:dyDescent="0.25">
      <c r="A217" s="39"/>
      <c r="B217" s="40"/>
      <c r="C217" s="15" t="s">
        <v>3</v>
      </c>
      <c r="D217" s="43"/>
      <c r="E217" s="43"/>
      <c r="F217" s="43"/>
      <c r="G217" s="43"/>
      <c r="H217" s="43"/>
      <c r="I217" s="43"/>
      <c r="J217" s="44"/>
      <c r="K217" s="18">
        <f>SUMIF(D218:J218,"",D217:J217)</f>
        <v>0</v>
      </c>
      <c r="L217" s="12">
        <f>SUM(D217:J217)</f>
        <v>0</v>
      </c>
      <c r="M217" s="24"/>
      <c r="N217" s="10">
        <f t="shared" ref="N217:T217" si="118">IF(D218="",D217,0)</f>
        <v>0</v>
      </c>
      <c r="O217" s="10">
        <f t="shared" si="118"/>
        <v>0</v>
      </c>
      <c r="P217" s="10">
        <f t="shared" si="118"/>
        <v>0</v>
      </c>
      <c r="Q217" s="10">
        <f t="shared" si="118"/>
        <v>0</v>
      </c>
      <c r="R217" s="10">
        <f t="shared" si="118"/>
        <v>0</v>
      </c>
      <c r="S217" s="10">
        <f t="shared" si="118"/>
        <v>0</v>
      </c>
      <c r="T217" s="10">
        <f t="shared" si="118"/>
        <v>0</v>
      </c>
      <c r="U217" s="10"/>
      <c r="V217" s="10">
        <f t="shared" ref="V217:AB217" si="119">D217</f>
        <v>0</v>
      </c>
      <c r="W217" s="10">
        <f t="shared" si="119"/>
        <v>0</v>
      </c>
      <c r="X217" s="10">
        <f t="shared" si="119"/>
        <v>0</v>
      </c>
      <c r="Y217" s="10">
        <f t="shared" si="119"/>
        <v>0</v>
      </c>
      <c r="Z217" s="10">
        <f t="shared" si="119"/>
        <v>0</v>
      </c>
      <c r="AA217" s="10">
        <f t="shared" si="119"/>
        <v>0</v>
      </c>
      <c r="AB217" s="10">
        <f t="shared" si="119"/>
        <v>0</v>
      </c>
      <c r="AD217" s="6">
        <f>IF((D214&lt;&gt;"")*(D218=""),IF((D214&lt;=$B$443)*((D215&gt;=$C$443)+(D215&lt;2/24)),1,0),0)</f>
        <v>0</v>
      </c>
      <c r="AE217" s="6">
        <f>IF((E214&lt;&gt;"")*(E218=""),IF((E214&lt;=$B$443)*((E215&gt;=$C$443)+(E215&lt;2/24)),1,0),0)</f>
        <v>0</v>
      </c>
      <c r="AF217" s="6">
        <f>IF((F214&lt;&gt;"")*(F218=""),IF((F214&lt;=$B$443)*((F215&gt;=$C$443)+(F215&lt;2/24)),1,0),0)</f>
        <v>0</v>
      </c>
      <c r="AG217" s="6">
        <f>IF((G214&lt;&gt;"")*(G218=""),IF((G214&lt;=$B$443)*((G215&gt;=$C$443)+(G215&lt;2/24)),1,0),0)</f>
        <v>0</v>
      </c>
      <c r="AH217" s="6">
        <f>IF((H214&lt;&gt;"")*(H218=""),IF((H214&lt;=$B$443)*((H215&gt;=$C$443)+(H215&lt;2/24)),1,0),0)</f>
        <v>0</v>
      </c>
      <c r="AI217" s="6">
        <f>IF((I214&lt;&gt;"")*(I218=""),IF((I214&lt;=$B$443)*((I215&gt;=$C$443)+(I215&lt;2/24)),1,0),0)</f>
        <v>0</v>
      </c>
      <c r="AJ217" s="6">
        <f>IF((J214&lt;&gt;"")*(J218=""),IF((J214&lt;=$B$443)*((J215&gt;=$C$443)+(J215&lt;2/24)),1,0),0)</f>
        <v>0</v>
      </c>
    </row>
    <row r="218" spans="1:36" ht="13.5" hidden="1" thickBot="1" x14ac:dyDescent="0.25">
      <c r="A218" s="39"/>
      <c r="B218" s="40"/>
      <c r="C218" s="32" t="s">
        <v>4</v>
      </c>
      <c r="D218" s="33"/>
      <c r="E218" s="33"/>
      <c r="F218" s="33"/>
      <c r="G218" s="33"/>
      <c r="H218" s="33"/>
      <c r="I218" s="33"/>
      <c r="J218" s="33"/>
      <c r="K218" s="17"/>
      <c r="L218" s="6"/>
      <c r="M218" s="25"/>
      <c r="N218" s="6"/>
      <c r="O218" s="6"/>
      <c r="P218" s="6"/>
      <c r="Q218" s="6"/>
      <c r="R218" s="6"/>
      <c r="S218" s="6"/>
      <c r="T218" s="6"/>
      <c r="U218" s="6"/>
      <c r="V218" s="20"/>
      <c r="W218" s="20"/>
      <c r="X218" s="20"/>
      <c r="Y218" s="20"/>
      <c r="Z218" s="20"/>
      <c r="AA218" s="20"/>
      <c r="AB218" s="20"/>
      <c r="AD218" s="6">
        <f>IF((D214&lt;&gt;"")*(D218=""),IF((D214&lt;=$B$444)*((D215&gt;=$C$444)+(D215&lt;2/24)),1,0),0)</f>
        <v>0</v>
      </c>
      <c r="AE218" s="6">
        <f>IF((E214&lt;&gt;"")*(E218=""),IF((E214&lt;=$B$444)*((E215&gt;=$C$444)+(E215&lt;2/24)),1,0),0)</f>
        <v>0</v>
      </c>
      <c r="AF218" s="6">
        <f>IF((F214&lt;&gt;"")*(F218=""),IF((F214&lt;=$B$444)*((F215&gt;=$C$444)+(F215&lt;2/24)),1,0),0)</f>
        <v>0</v>
      </c>
      <c r="AG218" s="6">
        <f>IF((G214&lt;&gt;"")*(G218=""),IF((G214&lt;=$B$444)*((G215&gt;=$C$444)+(G215&lt;2/24)),1,0),0)</f>
        <v>0</v>
      </c>
      <c r="AH218" s="6">
        <f>IF((H214&lt;&gt;"")*(H218=""),IF((H214&lt;=$B$444)*((H215&gt;=$C$444)+(H215&lt;2/24)),1,0),0)</f>
        <v>0</v>
      </c>
      <c r="AI218" s="6">
        <f>IF((I214&lt;&gt;"")*(I218=""),IF((I214&lt;=$B$444)*((I215&gt;=$C$444)+(I215&lt;2/24)),1,0),0)</f>
        <v>0</v>
      </c>
      <c r="AJ218" s="6">
        <f>IF((J214&lt;&gt;"")*(J218=""),IF((J214&lt;=$B$444)*((J215&gt;=$C$444)+(J215&lt;2/24)),1,0),0)</f>
        <v>0</v>
      </c>
    </row>
    <row r="219" spans="1:36" ht="13.5" hidden="1" thickBot="1" x14ac:dyDescent="0.25">
      <c r="A219" s="41"/>
      <c r="B219" s="42"/>
      <c r="C219" s="35" t="s">
        <v>28</v>
      </c>
      <c r="D219" s="36"/>
      <c r="E219" s="36"/>
      <c r="F219" s="36"/>
      <c r="G219" s="36"/>
      <c r="H219" s="36"/>
      <c r="I219" s="36"/>
      <c r="J219" s="36"/>
      <c r="K219" s="34"/>
      <c r="L219" s="6"/>
      <c r="M219" s="25"/>
      <c r="N219" s="6"/>
      <c r="O219" s="6"/>
      <c r="P219" s="6"/>
      <c r="Q219" s="6"/>
      <c r="R219" s="6"/>
      <c r="S219" s="6"/>
      <c r="T219" s="6"/>
      <c r="U219" s="6"/>
      <c r="V219" s="20"/>
      <c r="W219" s="20"/>
      <c r="X219" s="20"/>
      <c r="Y219" s="20"/>
      <c r="Z219" s="20"/>
      <c r="AA219" s="20"/>
      <c r="AB219" s="20"/>
      <c r="AD219" s="6"/>
      <c r="AE219" s="6"/>
      <c r="AF219" s="6"/>
      <c r="AG219" s="6"/>
      <c r="AH219" s="6"/>
      <c r="AI219" s="6"/>
      <c r="AJ219" s="6"/>
    </row>
    <row r="220" spans="1:36" ht="13.5" hidden="1" thickBot="1" x14ac:dyDescent="0.25">
      <c r="A220" s="37" t="s">
        <v>29</v>
      </c>
      <c r="B220" s="38" t="s">
        <v>30</v>
      </c>
      <c r="C220" s="14" t="s">
        <v>0</v>
      </c>
      <c r="D220" s="26"/>
      <c r="E220" s="26"/>
      <c r="F220" s="26"/>
      <c r="G220" s="26"/>
      <c r="H220" s="26"/>
      <c r="I220" s="26"/>
      <c r="J220" s="26"/>
      <c r="K220" s="16"/>
      <c r="L220" s="6"/>
      <c r="M220" s="21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D220" s="6">
        <f>IF((D220&lt;&gt;"")*(D224=""),IF((D220&lt;=$B$440)*((D221&gt;=$C$440)+(D221&lt;2/24)),1,0),0)</f>
        <v>0</v>
      </c>
      <c r="AE220" s="6">
        <f>IF((E220&lt;&gt;"")*(E224=""),IF((E220&lt;=$B$440)*((E221&gt;=$C$440)+(E221&lt;2/24)),1,0),0)</f>
        <v>0</v>
      </c>
      <c r="AF220" s="6">
        <f>IF((F220&lt;&gt;"")*(F224=""),IF((F220&lt;=$B$440)*((F221&gt;=$C$440)+(F221&lt;2/24)),1,0),0)</f>
        <v>0</v>
      </c>
      <c r="AG220" s="6">
        <f>IF((G220&lt;&gt;"")*(G224=""),IF((G220&lt;=$B$440)*((G221&gt;=$C$440)+(G221&lt;2/24)),1,0),0)</f>
        <v>0</v>
      </c>
      <c r="AH220" s="6">
        <f>IF((H220&lt;&gt;"")*(H224=""),IF((H220&lt;=$B$440)*((H221&gt;=$C$440)+(H221&lt;2/24)),1,0),0)</f>
        <v>0</v>
      </c>
      <c r="AI220" s="6">
        <f>IF((I220&lt;&gt;"")*(I224=""),IF((I220&lt;=$B$440)*((I221&gt;=$C$440)+(I221&lt;2/24)),1,0),0)</f>
        <v>0</v>
      </c>
      <c r="AJ220" s="6">
        <f>IF((J220&lt;&gt;"")*(J224=""),IF((J220&lt;=$B$440)*((J221&gt;=$C$440)+(J221&lt;2/24)),1,0),0)</f>
        <v>0</v>
      </c>
    </row>
    <row r="221" spans="1:36" ht="13.5" hidden="1" thickBot="1" x14ac:dyDescent="0.25">
      <c r="A221" s="39"/>
      <c r="B221" s="40"/>
      <c r="C221" s="15" t="s">
        <v>1</v>
      </c>
      <c r="D221" s="27"/>
      <c r="E221" s="27"/>
      <c r="F221" s="27"/>
      <c r="G221" s="27"/>
      <c r="H221" s="27"/>
      <c r="I221" s="27"/>
      <c r="J221" s="27"/>
      <c r="K221" s="17"/>
      <c r="L221" s="6"/>
      <c r="M221" s="21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D221" s="6">
        <f>IF((D220&lt;&gt;"")*(D224=""),IF((D220&lt;=$B$441)*((D221&gt;=$C$441)+(D221&lt;2/24)),1,0),0)</f>
        <v>0</v>
      </c>
      <c r="AE221" s="6">
        <f>IF((E220&lt;&gt;"")*(E224=""),IF((E220&lt;=$B$441)*((E221&gt;=$C$441)+(E221&lt;2/24)),1,0),0)</f>
        <v>0</v>
      </c>
      <c r="AF221" s="6">
        <f>IF((F220&lt;&gt;"")*(F224=""),IF((F220&lt;=$B$441)*((F221&gt;=$C$441)+(F221&lt;2/24)),1,0),0)</f>
        <v>0</v>
      </c>
      <c r="AG221" s="6">
        <f>IF((G220&lt;&gt;"")*(G224=""),IF((G220&lt;=$B$441)*((G221&gt;=$C$441)+(G221&lt;2/24)),1,0),0)</f>
        <v>0</v>
      </c>
      <c r="AH221" s="6">
        <f>IF((H220&lt;&gt;"")*(H224=""),IF((H220&lt;=$B$441)*((H221&gt;=$C$441)+(H221&lt;2/24)),1,0),0)</f>
        <v>0</v>
      </c>
      <c r="AI221" s="6">
        <f>IF((I220&lt;&gt;"")*(I224=""),IF((I220&lt;=$B$441)*((I221&gt;=$C$441)+(I221&lt;2/24)),1,0),0)</f>
        <v>0</v>
      </c>
      <c r="AJ221" s="6">
        <f>IF((J220&lt;&gt;"")*(J224=""),IF((J220&lt;=$B$441)*((J221&gt;=$C$441)+(J221&lt;2/24)),1,0),0)</f>
        <v>0</v>
      </c>
    </row>
    <row r="222" spans="1:36" ht="13.5" hidden="1" thickBot="1" x14ac:dyDescent="0.25">
      <c r="A222" s="39"/>
      <c r="B222" s="40"/>
      <c r="C222" s="15" t="s">
        <v>2</v>
      </c>
      <c r="D222" s="4"/>
      <c r="E222" s="4"/>
      <c r="F222" s="4"/>
      <c r="G222" s="4"/>
      <c r="H222" s="4"/>
      <c r="I222" s="4"/>
      <c r="J222" s="4"/>
      <c r="K222" s="17"/>
      <c r="L222" s="6"/>
      <c r="M222" s="21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D222" s="6">
        <f>IF((D220&lt;&gt;"")*(D224=""),IF((D220&lt;=$B$442)*((D221&gt;=$C$442)+(D221&lt;2/24)),1,0),0)</f>
        <v>0</v>
      </c>
      <c r="AE222" s="6">
        <f>IF((E220&lt;&gt;"")*(E224=""),IF((E220&lt;=$B$442)*((E221&gt;=$C$442)+(E221&lt;2/24)),1,0),0)</f>
        <v>0</v>
      </c>
      <c r="AF222" s="6">
        <f>IF((F220&lt;&gt;"")*(F224=""),IF((F220&lt;=$B$442)*((F221&gt;=$C$442)+(F221&lt;2/24)),1,0),0)</f>
        <v>0</v>
      </c>
      <c r="AG222" s="6">
        <f>IF((G220&lt;&gt;"")*(G224=""),IF((G220&lt;=$B$442)*((G221&gt;=$C$442)+(G221&lt;2/24)),1,0),0)</f>
        <v>0</v>
      </c>
      <c r="AH222" s="6">
        <f>IF((H220&lt;&gt;"")*(H224=""),IF((H220&lt;=$B$442)*((H221&gt;=$C$442)+(H221&lt;2/24)),1,0),0)</f>
        <v>0</v>
      </c>
      <c r="AI222" s="6">
        <f>IF((I220&lt;&gt;"")*(I224=""),IF((I220&lt;=$B$442)*((I221&gt;=$C$442)+(I221&lt;2/24)),1,0),0)</f>
        <v>0</v>
      </c>
      <c r="AJ222" s="6">
        <f>IF((J220&lt;&gt;"")*(J224=""),IF((J220&lt;=$B$442)*((J221&gt;=$C$442)+(J221&lt;2/24)),1,0),0)</f>
        <v>0</v>
      </c>
    </row>
    <row r="223" spans="1:36" ht="13.5" hidden="1" thickBot="1" x14ac:dyDescent="0.25">
      <c r="A223" s="39"/>
      <c r="B223" s="40"/>
      <c r="C223" s="15" t="s">
        <v>3</v>
      </c>
      <c r="D223" s="43"/>
      <c r="E223" s="43"/>
      <c r="F223" s="43"/>
      <c r="G223" s="43"/>
      <c r="H223" s="43"/>
      <c r="I223" s="43"/>
      <c r="J223" s="44"/>
      <c r="K223" s="18">
        <f>SUMIF(D224:J224,"",D223:J223)</f>
        <v>0</v>
      </c>
      <c r="L223" s="12">
        <f>SUM(D223:J223)</f>
        <v>0</v>
      </c>
      <c r="M223" s="24"/>
      <c r="N223" s="10">
        <f t="shared" ref="N223:T223" si="120">IF(D224="",D223,0)</f>
        <v>0</v>
      </c>
      <c r="O223" s="10">
        <f t="shared" si="120"/>
        <v>0</v>
      </c>
      <c r="P223" s="10">
        <f t="shared" si="120"/>
        <v>0</v>
      </c>
      <c r="Q223" s="10">
        <f t="shared" si="120"/>
        <v>0</v>
      </c>
      <c r="R223" s="10">
        <f t="shared" si="120"/>
        <v>0</v>
      </c>
      <c r="S223" s="10">
        <f t="shared" si="120"/>
        <v>0</v>
      </c>
      <c r="T223" s="10">
        <f t="shared" si="120"/>
        <v>0</v>
      </c>
      <c r="U223" s="10"/>
      <c r="V223" s="10">
        <f t="shared" ref="V223:AB223" si="121">D223</f>
        <v>0</v>
      </c>
      <c r="W223" s="10">
        <f t="shared" si="121"/>
        <v>0</v>
      </c>
      <c r="X223" s="10">
        <f t="shared" si="121"/>
        <v>0</v>
      </c>
      <c r="Y223" s="10">
        <f t="shared" si="121"/>
        <v>0</v>
      </c>
      <c r="Z223" s="10">
        <f t="shared" si="121"/>
        <v>0</v>
      </c>
      <c r="AA223" s="10">
        <f t="shared" si="121"/>
        <v>0</v>
      </c>
      <c r="AB223" s="10">
        <f t="shared" si="121"/>
        <v>0</v>
      </c>
      <c r="AD223" s="6">
        <f>IF((D220&lt;&gt;"")*(D224=""),IF((D220&lt;=$B$443)*((D221&gt;=$C$443)+(D221&lt;2/24)),1,0),0)</f>
        <v>0</v>
      </c>
      <c r="AE223" s="6">
        <f>IF((E220&lt;&gt;"")*(E224=""),IF((E220&lt;=$B$443)*((E221&gt;=$C$443)+(E221&lt;2/24)),1,0),0)</f>
        <v>0</v>
      </c>
      <c r="AF223" s="6">
        <f>IF((F220&lt;&gt;"")*(F224=""),IF((F220&lt;=$B$443)*((F221&gt;=$C$443)+(F221&lt;2/24)),1,0),0)</f>
        <v>0</v>
      </c>
      <c r="AG223" s="6">
        <f>IF((G220&lt;&gt;"")*(G224=""),IF((G220&lt;=$B$443)*((G221&gt;=$C$443)+(G221&lt;2/24)),1,0),0)</f>
        <v>0</v>
      </c>
      <c r="AH223" s="6">
        <f>IF((H220&lt;&gt;"")*(H224=""),IF((H220&lt;=$B$443)*((H221&gt;=$C$443)+(H221&lt;2/24)),1,0),0)</f>
        <v>0</v>
      </c>
      <c r="AI223" s="6">
        <f>IF((I220&lt;&gt;"")*(I224=""),IF((I220&lt;=$B$443)*((I221&gt;=$C$443)+(I221&lt;2/24)),1,0),0)</f>
        <v>0</v>
      </c>
      <c r="AJ223" s="6">
        <f>IF((J220&lt;&gt;"")*(J224=""),IF((J220&lt;=$B$443)*((J221&gt;=$C$443)+(J221&lt;2/24)),1,0),0)</f>
        <v>0</v>
      </c>
    </row>
    <row r="224" spans="1:36" ht="13.5" hidden="1" thickBot="1" x14ac:dyDescent="0.25">
      <c r="A224" s="39"/>
      <c r="B224" s="40"/>
      <c r="C224" s="32" t="s">
        <v>4</v>
      </c>
      <c r="D224" s="33"/>
      <c r="E224" s="33"/>
      <c r="F224" s="33"/>
      <c r="G224" s="33"/>
      <c r="H224" s="33"/>
      <c r="I224" s="33"/>
      <c r="J224" s="33"/>
      <c r="K224" s="17"/>
      <c r="L224" s="6"/>
      <c r="M224" s="25"/>
      <c r="N224" s="6"/>
      <c r="O224" s="6"/>
      <c r="P224" s="6"/>
      <c r="Q224" s="6"/>
      <c r="R224" s="6"/>
      <c r="S224" s="6"/>
      <c r="T224" s="6"/>
      <c r="U224" s="6"/>
      <c r="V224" s="20"/>
      <c r="W224" s="20"/>
      <c r="X224" s="20"/>
      <c r="Y224" s="20"/>
      <c r="Z224" s="20"/>
      <c r="AA224" s="20"/>
      <c r="AB224" s="20"/>
      <c r="AD224" s="6">
        <f>IF((D220&lt;&gt;"")*(D224=""),IF((D220&lt;=$B$444)*((D221&gt;=$C$444)+(D221&lt;2/24)),1,0),0)</f>
        <v>0</v>
      </c>
      <c r="AE224" s="6">
        <f>IF((E220&lt;&gt;"")*(E224=""),IF((E220&lt;=$B$444)*((E221&gt;=$C$444)+(E221&lt;2/24)),1,0),0)</f>
        <v>0</v>
      </c>
      <c r="AF224" s="6">
        <f>IF((F220&lt;&gt;"")*(F224=""),IF((F220&lt;=$B$444)*((F221&gt;=$C$444)+(F221&lt;2/24)),1,0),0)</f>
        <v>0</v>
      </c>
      <c r="AG224" s="6">
        <f>IF((G220&lt;&gt;"")*(G224=""),IF((G220&lt;=$B$444)*((G221&gt;=$C$444)+(G221&lt;2/24)),1,0),0)</f>
        <v>0</v>
      </c>
      <c r="AH224" s="6">
        <f>IF((H220&lt;&gt;"")*(H224=""),IF((H220&lt;=$B$444)*((H221&gt;=$C$444)+(H221&lt;2/24)),1,0),0)</f>
        <v>0</v>
      </c>
      <c r="AI224" s="6">
        <f>IF((I220&lt;&gt;"")*(I224=""),IF((I220&lt;=$B$444)*((I221&gt;=$C$444)+(I221&lt;2/24)),1,0),0)</f>
        <v>0</v>
      </c>
      <c r="AJ224" s="6">
        <f>IF((J220&lt;&gt;"")*(J224=""),IF((J220&lt;=$B$444)*((J221&gt;=$C$444)+(J221&lt;2/24)),1,0),0)</f>
        <v>0</v>
      </c>
    </row>
    <row r="225" spans="1:36" ht="13.5" hidden="1" thickBot="1" x14ac:dyDescent="0.25">
      <c r="A225" s="41"/>
      <c r="B225" s="42"/>
      <c r="C225" s="35" t="s">
        <v>28</v>
      </c>
      <c r="D225" s="36"/>
      <c r="E225" s="36"/>
      <c r="F225" s="36"/>
      <c r="G225" s="36"/>
      <c r="H225" s="36"/>
      <c r="I225" s="36"/>
      <c r="J225" s="36"/>
      <c r="K225" s="34"/>
      <c r="L225" s="6"/>
      <c r="M225" s="25"/>
      <c r="N225" s="6"/>
      <c r="O225" s="6"/>
      <c r="P225" s="6"/>
      <c r="Q225" s="6"/>
      <c r="R225" s="6"/>
      <c r="S225" s="6"/>
      <c r="T225" s="6"/>
      <c r="U225" s="6"/>
      <c r="V225" s="20"/>
      <c r="W225" s="20"/>
      <c r="X225" s="20"/>
      <c r="Y225" s="20"/>
      <c r="Z225" s="20"/>
      <c r="AA225" s="20"/>
      <c r="AB225" s="20"/>
      <c r="AD225" s="6"/>
      <c r="AE225" s="6"/>
      <c r="AF225" s="6"/>
      <c r="AG225" s="6"/>
      <c r="AH225" s="6"/>
      <c r="AI225" s="6"/>
      <c r="AJ225" s="6"/>
    </row>
    <row r="226" spans="1:36" ht="13.5" hidden="1" thickBot="1" x14ac:dyDescent="0.25">
      <c r="A226" s="37" t="s">
        <v>29</v>
      </c>
      <c r="B226" s="38" t="s">
        <v>30</v>
      </c>
      <c r="C226" s="14" t="s">
        <v>0</v>
      </c>
      <c r="D226" s="26"/>
      <c r="E226" s="26"/>
      <c r="F226" s="26"/>
      <c r="G226" s="26"/>
      <c r="H226" s="26"/>
      <c r="I226" s="26"/>
      <c r="J226" s="26"/>
      <c r="K226" s="16"/>
      <c r="L226" s="6"/>
      <c r="M226" s="21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D226" s="6">
        <f>IF((D226&lt;&gt;"")*(D230=""),IF((D226&lt;=$B$440)*((D227&gt;=$C$440)+(D227&lt;2/24)),1,0),0)</f>
        <v>0</v>
      </c>
      <c r="AE226" s="6">
        <f>IF((E226&lt;&gt;"")*(E230=""),IF((E226&lt;=$B$440)*((E227&gt;=$C$440)+(E227&lt;2/24)),1,0),0)</f>
        <v>0</v>
      </c>
      <c r="AF226" s="6">
        <f>IF((F226&lt;&gt;"")*(F230=""),IF((F226&lt;=$B$440)*((F227&gt;=$C$440)+(F227&lt;2/24)),1,0),0)</f>
        <v>0</v>
      </c>
      <c r="AG226" s="6">
        <f>IF((G226&lt;&gt;"")*(G230=""),IF((G226&lt;=$B$440)*((G227&gt;=$C$440)+(G227&lt;2/24)),1,0),0)</f>
        <v>0</v>
      </c>
      <c r="AH226" s="6">
        <f>IF((H226&lt;&gt;"")*(H230=""),IF((H226&lt;=$B$440)*((H227&gt;=$C$440)+(H227&lt;2/24)),1,0),0)</f>
        <v>0</v>
      </c>
      <c r="AI226" s="6">
        <f>IF((I226&lt;&gt;"")*(I230=""),IF((I226&lt;=$B$440)*((I227&gt;=$C$440)+(I227&lt;2/24)),1,0),0)</f>
        <v>0</v>
      </c>
      <c r="AJ226" s="6">
        <f>IF((J226&lt;&gt;"")*(J230=""),IF((J226&lt;=$B$440)*((J227&gt;=$C$440)+(J227&lt;2/24)),1,0),0)</f>
        <v>0</v>
      </c>
    </row>
    <row r="227" spans="1:36" ht="13.5" hidden="1" thickBot="1" x14ac:dyDescent="0.25">
      <c r="A227" s="39"/>
      <c r="B227" s="40"/>
      <c r="C227" s="15" t="s">
        <v>1</v>
      </c>
      <c r="D227" s="27"/>
      <c r="E227" s="27"/>
      <c r="F227" s="27"/>
      <c r="G227" s="27"/>
      <c r="H227" s="27"/>
      <c r="I227" s="27"/>
      <c r="J227" s="27"/>
      <c r="K227" s="17"/>
      <c r="L227" s="6"/>
      <c r="M227" s="21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D227" s="6">
        <f>IF((D226&lt;&gt;"")*(D230=""),IF((D226&lt;=$B$441)*((D227&gt;=$C$441)+(D227&lt;2/24)),1,0),0)</f>
        <v>0</v>
      </c>
      <c r="AE227" s="6">
        <f>IF((E226&lt;&gt;"")*(E230=""),IF((E226&lt;=$B$441)*((E227&gt;=$C$441)+(E227&lt;2/24)),1,0),0)</f>
        <v>0</v>
      </c>
      <c r="AF227" s="6">
        <f>IF((F226&lt;&gt;"")*(F230=""),IF((F226&lt;=$B$441)*((F227&gt;=$C$441)+(F227&lt;2/24)),1,0),0)</f>
        <v>0</v>
      </c>
      <c r="AG227" s="6">
        <f>IF((G226&lt;&gt;"")*(G230=""),IF((G226&lt;=$B$441)*((G227&gt;=$C$441)+(G227&lt;2/24)),1,0),0)</f>
        <v>0</v>
      </c>
      <c r="AH227" s="6">
        <f>IF((H226&lt;&gt;"")*(H230=""),IF((H226&lt;=$B$441)*((H227&gt;=$C$441)+(H227&lt;2/24)),1,0),0)</f>
        <v>0</v>
      </c>
      <c r="AI227" s="6">
        <f>IF((I226&lt;&gt;"")*(I230=""),IF((I226&lt;=$B$441)*((I227&gt;=$C$441)+(I227&lt;2/24)),1,0),0)</f>
        <v>0</v>
      </c>
      <c r="AJ227" s="6">
        <f>IF((J226&lt;&gt;"")*(J230=""),IF((J226&lt;=$B$441)*((J227&gt;=$C$441)+(J227&lt;2/24)),1,0),0)</f>
        <v>0</v>
      </c>
    </row>
    <row r="228" spans="1:36" ht="13.5" hidden="1" thickBot="1" x14ac:dyDescent="0.25">
      <c r="A228" s="39"/>
      <c r="B228" s="40"/>
      <c r="C228" s="15" t="s">
        <v>2</v>
      </c>
      <c r="D228" s="4"/>
      <c r="E228" s="4"/>
      <c r="F228" s="4"/>
      <c r="G228" s="4"/>
      <c r="H228" s="4"/>
      <c r="I228" s="4"/>
      <c r="J228" s="4"/>
      <c r="K228" s="17"/>
      <c r="L228" s="6"/>
      <c r="M228" s="21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D228" s="6">
        <f>IF((D226&lt;&gt;"")*(D230=""),IF((D226&lt;=$B$442)*((D227&gt;=$C$442)+(D227&lt;2/24)),1,0),0)</f>
        <v>0</v>
      </c>
      <c r="AE228" s="6">
        <f>IF((E226&lt;&gt;"")*(E230=""),IF((E226&lt;=$B$442)*((E227&gt;=$C$442)+(E227&lt;2/24)),1,0),0)</f>
        <v>0</v>
      </c>
      <c r="AF228" s="6">
        <f>IF((F226&lt;&gt;"")*(F230=""),IF((F226&lt;=$B$442)*((F227&gt;=$C$442)+(F227&lt;2/24)),1,0),0)</f>
        <v>0</v>
      </c>
      <c r="AG228" s="6">
        <f>IF((G226&lt;&gt;"")*(G230=""),IF((G226&lt;=$B$442)*((G227&gt;=$C$442)+(G227&lt;2/24)),1,0),0)</f>
        <v>0</v>
      </c>
      <c r="AH228" s="6">
        <f>IF((H226&lt;&gt;"")*(H230=""),IF((H226&lt;=$B$442)*((H227&gt;=$C$442)+(H227&lt;2/24)),1,0),0)</f>
        <v>0</v>
      </c>
      <c r="AI228" s="6">
        <f>IF((I226&lt;&gt;"")*(I230=""),IF((I226&lt;=$B$442)*((I227&gt;=$C$442)+(I227&lt;2/24)),1,0),0)</f>
        <v>0</v>
      </c>
      <c r="AJ228" s="6">
        <f>IF((J226&lt;&gt;"")*(J230=""),IF((J226&lt;=$B$442)*((J227&gt;=$C$442)+(J227&lt;2/24)),1,0),0)</f>
        <v>0</v>
      </c>
    </row>
    <row r="229" spans="1:36" ht="13.5" hidden="1" thickBot="1" x14ac:dyDescent="0.25">
      <c r="A229" s="39"/>
      <c r="B229" s="40"/>
      <c r="C229" s="15" t="s">
        <v>3</v>
      </c>
      <c r="D229" s="43"/>
      <c r="E229" s="43"/>
      <c r="F229" s="43"/>
      <c r="G229" s="43"/>
      <c r="H229" s="43"/>
      <c r="I229" s="43"/>
      <c r="J229" s="44"/>
      <c r="K229" s="18">
        <f>SUMIF(D230:J230,"",D229:J229)</f>
        <v>0</v>
      </c>
      <c r="L229" s="12">
        <f>SUM(D229:J229)</f>
        <v>0</v>
      </c>
      <c r="M229" s="24"/>
      <c r="N229" s="10">
        <f t="shared" ref="N229:T229" si="122">IF(D230="",D229,0)</f>
        <v>0</v>
      </c>
      <c r="O229" s="10">
        <f t="shared" si="122"/>
        <v>0</v>
      </c>
      <c r="P229" s="10">
        <f t="shared" si="122"/>
        <v>0</v>
      </c>
      <c r="Q229" s="10">
        <f t="shared" si="122"/>
        <v>0</v>
      </c>
      <c r="R229" s="10">
        <f t="shared" si="122"/>
        <v>0</v>
      </c>
      <c r="S229" s="10">
        <f t="shared" si="122"/>
        <v>0</v>
      </c>
      <c r="T229" s="10">
        <f t="shared" si="122"/>
        <v>0</v>
      </c>
      <c r="U229" s="10"/>
      <c r="V229" s="10">
        <f t="shared" ref="V229:AB229" si="123">D229</f>
        <v>0</v>
      </c>
      <c r="W229" s="10">
        <f t="shared" si="123"/>
        <v>0</v>
      </c>
      <c r="X229" s="10">
        <f t="shared" si="123"/>
        <v>0</v>
      </c>
      <c r="Y229" s="10">
        <f t="shared" si="123"/>
        <v>0</v>
      </c>
      <c r="Z229" s="10">
        <f t="shared" si="123"/>
        <v>0</v>
      </c>
      <c r="AA229" s="10">
        <f t="shared" si="123"/>
        <v>0</v>
      </c>
      <c r="AB229" s="10">
        <f t="shared" si="123"/>
        <v>0</v>
      </c>
      <c r="AD229" s="6">
        <f>IF((D226&lt;&gt;"")*(D230=""),IF((D226&lt;=$B$443)*((D227&gt;=$C$443)+(D227&lt;2/24)),1,0),0)</f>
        <v>0</v>
      </c>
      <c r="AE229" s="6">
        <f>IF((E226&lt;&gt;"")*(E230=""),IF((E226&lt;=$B$443)*((E227&gt;=$C$443)+(E227&lt;2/24)),1,0),0)</f>
        <v>0</v>
      </c>
      <c r="AF229" s="6">
        <f>IF((F226&lt;&gt;"")*(F230=""),IF((F226&lt;=$B$443)*((F227&gt;=$C$443)+(F227&lt;2/24)),1,0),0)</f>
        <v>0</v>
      </c>
      <c r="AG229" s="6">
        <f>IF((G226&lt;&gt;"")*(G230=""),IF((G226&lt;=$B$443)*((G227&gt;=$C$443)+(G227&lt;2/24)),1,0),0)</f>
        <v>0</v>
      </c>
      <c r="AH229" s="6">
        <f>IF((H226&lt;&gt;"")*(H230=""),IF((H226&lt;=$B$443)*((H227&gt;=$C$443)+(H227&lt;2/24)),1,0),0)</f>
        <v>0</v>
      </c>
      <c r="AI229" s="6">
        <f>IF((I226&lt;&gt;"")*(I230=""),IF((I226&lt;=$B$443)*((I227&gt;=$C$443)+(I227&lt;2/24)),1,0),0)</f>
        <v>0</v>
      </c>
      <c r="AJ229" s="6">
        <f>IF((J226&lt;&gt;"")*(J230=""),IF((J226&lt;=$B$443)*((J227&gt;=$C$443)+(J227&lt;2/24)),1,0),0)</f>
        <v>0</v>
      </c>
    </row>
    <row r="230" spans="1:36" ht="13.5" hidden="1" thickBot="1" x14ac:dyDescent="0.25">
      <c r="A230" s="39"/>
      <c r="B230" s="40"/>
      <c r="C230" s="32" t="s">
        <v>4</v>
      </c>
      <c r="D230" s="33"/>
      <c r="E230" s="33"/>
      <c r="F230" s="33"/>
      <c r="G230" s="33"/>
      <c r="H230" s="33"/>
      <c r="I230" s="33"/>
      <c r="J230" s="33"/>
      <c r="K230" s="17"/>
      <c r="L230" s="6"/>
      <c r="M230" s="25"/>
      <c r="N230" s="6"/>
      <c r="O230" s="6"/>
      <c r="P230" s="6"/>
      <c r="Q230" s="6"/>
      <c r="R230" s="6"/>
      <c r="S230" s="6"/>
      <c r="T230" s="6"/>
      <c r="U230" s="6"/>
      <c r="V230" s="20"/>
      <c r="W230" s="20"/>
      <c r="X230" s="20"/>
      <c r="Y230" s="20"/>
      <c r="Z230" s="20"/>
      <c r="AA230" s="20"/>
      <c r="AB230" s="20"/>
      <c r="AD230" s="6">
        <f>IF((D226&lt;&gt;"")*(D230=""),IF((D226&lt;=$B$444)*((D227&gt;=$C$444)+(D227&lt;2/24)),1,0),0)</f>
        <v>0</v>
      </c>
      <c r="AE230" s="6">
        <f>IF((E226&lt;&gt;"")*(E230=""),IF((E226&lt;=$B$444)*((E227&gt;=$C$444)+(E227&lt;2/24)),1,0),0)</f>
        <v>0</v>
      </c>
      <c r="AF230" s="6">
        <f>IF((F226&lt;&gt;"")*(F230=""),IF((F226&lt;=$B$444)*((F227&gt;=$C$444)+(F227&lt;2/24)),1,0),0)</f>
        <v>0</v>
      </c>
      <c r="AG230" s="6">
        <f>IF((G226&lt;&gt;"")*(G230=""),IF((G226&lt;=$B$444)*((G227&gt;=$C$444)+(G227&lt;2/24)),1,0),0)</f>
        <v>0</v>
      </c>
      <c r="AH230" s="6">
        <f>IF((H226&lt;&gt;"")*(H230=""),IF((H226&lt;=$B$444)*((H227&gt;=$C$444)+(H227&lt;2/24)),1,0),0)</f>
        <v>0</v>
      </c>
      <c r="AI230" s="6">
        <f>IF((I226&lt;&gt;"")*(I230=""),IF((I226&lt;=$B$444)*((I227&gt;=$C$444)+(I227&lt;2/24)),1,0),0)</f>
        <v>0</v>
      </c>
      <c r="AJ230" s="6">
        <f>IF((J226&lt;&gt;"")*(J230=""),IF((J226&lt;=$B$444)*((J227&gt;=$C$444)+(J227&lt;2/24)),1,0),0)</f>
        <v>0</v>
      </c>
    </row>
    <row r="231" spans="1:36" ht="13.5" hidden="1" thickBot="1" x14ac:dyDescent="0.25">
      <c r="A231" s="41"/>
      <c r="B231" s="42"/>
      <c r="C231" s="35" t="s">
        <v>28</v>
      </c>
      <c r="D231" s="36"/>
      <c r="E231" s="36"/>
      <c r="F231" s="36"/>
      <c r="G231" s="36"/>
      <c r="H231" s="36"/>
      <c r="I231" s="36"/>
      <c r="J231" s="36"/>
      <c r="K231" s="34"/>
      <c r="L231" s="6"/>
      <c r="M231" s="25"/>
      <c r="N231" s="6"/>
      <c r="O231" s="6"/>
      <c r="P231" s="6"/>
      <c r="Q231" s="6"/>
      <c r="R231" s="6"/>
      <c r="S231" s="6"/>
      <c r="T231" s="6"/>
      <c r="U231" s="6"/>
      <c r="V231" s="20"/>
      <c r="W231" s="20"/>
      <c r="X231" s="20"/>
      <c r="Y231" s="20"/>
      <c r="Z231" s="20"/>
      <c r="AA231" s="20"/>
      <c r="AB231" s="20"/>
      <c r="AD231" s="6"/>
      <c r="AE231" s="6"/>
      <c r="AF231" s="6"/>
      <c r="AG231" s="6"/>
      <c r="AH231" s="6"/>
      <c r="AI231" s="6"/>
      <c r="AJ231" s="6"/>
    </row>
    <row r="232" spans="1:36" ht="13.5" hidden="1" thickBot="1" x14ac:dyDescent="0.25">
      <c r="A232" s="37" t="s">
        <v>29</v>
      </c>
      <c r="B232" s="38" t="s">
        <v>30</v>
      </c>
      <c r="C232" s="14" t="s">
        <v>0</v>
      </c>
      <c r="D232" s="26"/>
      <c r="E232" s="26"/>
      <c r="F232" s="26"/>
      <c r="G232" s="26"/>
      <c r="H232" s="26"/>
      <c r="I232" s="26"/>
      <c r="J232" s="26"/>
      <c r="K232" s="16"/>
      <c r="L232" s="6"/>
      <c r="M232" s="21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D232" s="6">
        <f>IF((D232&lt;&gt;"")*(D236=""),IF((D232&lt;=$B$440)*((D233&gt;=$C$440)+(D233&lt;2/24)),1,0),0)</f>
        <v>0</v>
      </c>
      <c r="AE232" s="6">
        <f>IF((E232&lt;&gt;"")*(E236=""),IF((E232&lt;=$B$440)*((E233&gt;=$C$440)+(E233&lt;2/24)),1,0),0)</f>
        <v>0</v>
      </c>
      <c r="AF232" s="6">
        <f>IF((F232&lt;&gt;"")*(F236=""),IF((F232&lt;=$B$440)*((F233&gt;=$C$440)+(F233&lt;2/24)),1,0),0)</f>
        <v>0</v>
      </c>
      <c r="AG232" s="6">
        <f>IF((G232&lt;&gt;"")*(G236=""),IF((G232&lt;=$B$440)*((G233&gt;=$C$440)+(G233&lt;2/24)),1,0),0)</f>
        <v>0</v>
      </c>
      <c r="AH232" s="6">
        <f>IF((H232&lt;&gt;"")*(H236=""),IF((H232&lt;=$B$440)*((H233&gt;=$C$440)+(H233&lt;2/24)),1,0),0)</f>
        <v>0</v>
      </c>
      <c r="AI232" s="6">
        <f>IF((I232&lt;&gt;"")*(I236=""),IF((I232&lt;=$B$440)*((I233&gt;=$C$440)+(I233&lt;2/24)),1,0),0)</f>
        <v>0</v>
      </c>
      <c r="AJ232" s="6">
        <f>IF((J232&lt;&gt;"")*(J236=""),IF((J232&lt;=$B$440)*((J233&gt;=$C$440)+(J233&lt;2/24)),1,0),0)</f>
        <v>0</v>
      </c>
    </row>
    <row r="233" spans="1:36" ht="13.5" hidden="1" thickBot="1" x14ac:dyDescent="0.25">
      <c r="A233" s="39"/>
      <c r="B233" s="40"/>
      <c r="C233" s="15" t="s">
        <v>1</v>
      </c>
      <c r="D233" s="27"/>
      <c r="E233" s="27"/>
      <c r="F233" s="27"/>
      <c r="G233" s="27"/>
      <c r="H233" s="27"/>
      <c r="I233" s="27"/>
      <c r="J233" s="27"/>
      <c r="K233" s="17"/>
      <c r="L233" s="6"/>
      <c r="M233" s="21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D233" s="6">
        <f>IF((D232&lt;&gt;"")*(D236=""),IF((D232&lt;=$B$441)*((D233&gt;=$C$441)+(D233&lt;2/24)),1,0),0)</f>
        <v>0</v>
      </c>
      <c r="AE233" s="6">
        <f>IF((E232&lt;&gt;"")*(E236=""),IF((E232&lt;=$B$441)*((E233&gt;=$C$441)+(E233&lt;2/24)),1,0),0)</f>
        <v>0</v>
      </c>
      <c r="AF233" s="6">
        <f>IF((F232&lt;&gt;"")*(F236=""),IF((F232&lt;=$B$441)*((F233&gt;=$C$441)+(F233&lt;2/24)),1,0),0)</f>
        <v>0</v>
      </c>
      <c r="AG233" s="6">
        <f>IF((G232&lt;&gt;"")*(G236=""),IF((G232&lt;=$B$441)*((G233&gt;=$C$441)+(G233&lt;2/24)),1,0),0)</f>
        <v>0</v>
      </c>
      <c r="AH233" s="6">
        <f>IF((H232&lt;&gt;"")*(H236=""),IF((H232&lt;=$B$441)*((H233&gt;=$C$441)+(H233&lt;2/24)),1,0),0)</f>
        <v>0</v>
      </c>
      <c r="AI233" s="6">
        <f>IF((I232&lt;&gt;"")*(I236=""),IF((I232&lt;=$B$441)*((I233&gt;=$C$441)+(I233&lt;2/24)),1,0),0)</f>
        <v>0</v>
      </c>
      <c r="AJ233" s="6">
        <f>IF((J232&lt;&gt;"")*(J236=""),IF((J232&lt;=$B$441)*((J233&gt;=$C$441)+(J233&lt;2/24)),1,0),0)</f>
        <v>0</v>
      </c>
    </row>
    <row r="234" spans="1:36" ht="13.5" hidden="1" thickBot="1" x14ac:dyDescent="0.25">
      <c r="A234" s="39"/>
      <c r="B234" s="40"/>
      <c r="C234" s="15" t="s">
        <v>2</v>
      </c>
      <c r="D234" s="4"/>
      <c r="E234" s="4"/>
      <c r="F234" s="4"/>
      <c r="G234" s="4"/>
      <c r="H234" s="4"/>
      <c r="I234" s="4"/>
      <c r="J234" s="4"/>
      <c r="K234" s="17"/>
      <c r="L234" s="6"/>
      <c r="M234" s="21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D234" s="6">
        <f>IF((D232&lt;&gt;"")*(D236=""),IF((D232&lt;=$B$442)*((D233&gt;=$C$442)+(D233&lt;2/24)),1,0),0)</f>
        <v>0</v>
      </c>
      <c r="AE234" s="6">
        <f>IF((E232&lt;&gt;"")*(E236=""),IF((E232&lt;=$B$442)*((E233&gt;=$C$442)+(E233&lt;2/24)),1,0),0)</f>
        <v>0</v>
      </c>
      <c r="AF234" s="6">
        <f>IF((F232&lt;&gt;"")*(F236=""),IF((F232&lt;=$B$442)*((F233&gt;=$C$442)+(F233&lt;2/24)),1,0),0)</f>
        <v>0</v>
      </c>
      <c r="AG234" s="6">
        <f>IF((G232&lt;&gt;"")*(G236=""),IF((G232&lt;=$B$442)*((G233&gt;=$C$442)+(G233&lt;2/24)),1,0),0)</f>
        <v>0</v>
      </c>
      <c r="AH234" s="6">
        <f>IF((H232&lt;&gt;"")*(H236=""),IF((H232&lt;=$B$442)*((H233&gt;=$C$442)+(H233&lt;2/24)),1,0),0)</f>
        <v>0</v>
      </c>
      <c r="AI234" s="6">
        <f>IF((I232&lt;&gt;"")*(I236=""),IF((I232&lt;=$B$442)*((I233&gt;=$C$442)+(I233&lt;2/24)),1,0),0)</f>
        <v>0</v>
      </c>
      <c r="AJ234" s="6">
        <f>IF((J232&lt;&gt;"")*(J236=""),IF((J232&lt;=$B$442)*((J233&gt;=$C$442)+(J233&lt;2/24)),1,0),0)</f>
        <v>0</v>
      </c>
    </row>
    <row r="235" spans="1:36" ht="13.5" hidden="1" thickBot="1" x14ac:dyDescent="0.25">
      <c r="A235" s="39"/>
      <c r="B235" s="40"/>
      <c r="C235" s="15" t="s">
        <v>3</v>
      </c>
      <c r="D235" s="43"/>
      <c r="E235" s="43"/>
      <c r="F235" s="43"/>
      <c r="G235" s="43"/>
      <c r="H235" s="43"/>
      <c r="I235" s="43"/>
      <c r="J235" s="44"/>
      <c r="K235" s="18">
        <f>SUMIF(D236:J236,"",D235:J235)</f>
        <v>0</v>
      </c>
      <c r="L235" s="12">
        <f>SUM(D235:J235)</f>
        <v>0</v>
      </c>
      <c r="M235" s="24"/>
      <c r="N235" s="10">
        <f t="shared" ref="N235:T235" si="124">IF(D236="",D235,0)</f>
        <v>0</v>
      </c>
      <c r="O235" s="10">
        <f t="shared" si="124"/>
        <v>0</v>
      </c>
      <c r="P235" s="10">
        <f t="shared" si="124"/>
        <v>0</v>
      </c>
      <c r="Q235" s="10">
        <f t="shared" si="124"/>
        <v>0</v>
      </c>
      <c r="R235" s="10">
        <f t="shared" si="124"/>
        <v>0</v>
      </c>
      <c r="S235" s="10">
        <f t="shared" si="124"/>
        <v>0</v>
      </c>
      <c r="T235" s="10">
        <f t="shared" si="124"/>
        <v>0</v>
      </c>
      <c r="U235" s="10"/>
      <c r="V235" s="10">
        <f t="shared" ref="V235:AB235" si="125">D235</f>
        <v>0</v>
      </c>
      <c r="W235" s="10">
        <f t="shared" si="125"/>
        <v>0</v>
      </c>
      <c r="X235" s="10">
        <f t="shared" si="125"/>
        <v>0</v>
      </c>
      <c r="Y235" s="10">
        <f t="shared" si="125"/>
        <v>0</v>
      </c>
      <c r="Z235" s="10">
        <f t="shared" si="125"/>
        <v>0</v>
      </c>
      <c r="AA235" s="10">
        <f t="shared" si="125"/>
        <v>0</v>
      </c>
      <c r="AB235" s="10">
        <f t="shared" si="125"/>
        <v>0</v>
      </c>
      <c r="AD235" s="6">
        <f>IF((D232&lt;&gt;"")*(D236=""),IF((D232&lt;=$B$443)*((D233&gt;=$C$443)+(D233&lt;2/24)),1,0),0)</f>
        <v>0</v>
      </c>
      <c r="AE235" s="6">
        <f>IF((E232&lt;&gt;"")*(E236=""),IF((E232&lt;=$B$443)*((E233&gt;=$C$443)+(E233&lt;2/24)),1,0),0)</f>
        <v>0</v>
      </c>
      <c r="AF235" s="6">
        <f>IF((F232&lt;&gt;"")*(F236=""),IF((F232&lt;=$B$443)*((F233&gt;=$C$443)+(F233&lt;2/24)),1,0),0)</f>
        <v>0</v>
      </c>
      <c r="AG235" s="6">
        <f>IF((G232&lt;&gt;"")*(G236=""),IF((G232&lt;=$B$443)*((G233&gt;=$C$443)+(G233&lt;2/24)),1,0),0)</f>
        <v>0</v>
      </c>
      <c r="AH235" s="6">
        <f>IF((H232&lt;&gt;"")*(H236=""),IF((H232&lt;=$B$443)*((H233&gt;=$C$443)+(H233&lt;2/24)),1,0),0)</f>
        <v>0</v>
      </c>
      <c r="AI235" s="6">
        <f>IF((I232&lt;&gt;"")*(I236=""),IF((I232&lt;=$B$443)*((I233&gt;=$C$443)+(I233&lt;2/24)),1,0),0)</f>
        <v>0</v>
      </c>
      <c r="AJ235" s="6">
        <f>IF((J232&lt;&gt;"")*(J236=""),IF((J232&lt;=$B$443)*((J233&gt;=$C$443)+(J233&lt;2/24)),1,0),0)</f>
        <v>0</v>
      </c>
    </row>
    <row r="236" spans="1:36" ht="13.5" hidden="1" thickBot="1" x14ac:dyDescent="0.25">
      <c r="A236" s="39"/>
      <c r="B236" s="40"/>
      <c r="C236" s="32" t="s">
        <v>4</v>
      </c>
      <c r="D236" s="33"/>
      <c r="E236" s="33"/>
      <c r="F236" s="33"/>
      <c r="G236" s="33"/>
      <c r="H236" s="33"/>
      <c r="I236" s="33"/>
      <c r="J236" s="33"/>
      <c r="K236" s="17"/>
      <c r="L236" s="6"/>
      <c r="M236" s="25"/>
      <c r="N236" s="6"/>
      <c r="O236" s="6"/>
      <c r="P236" s="6"/>
      <c r="Q236" s="6"/>
      <c r="R236" s="6"/>
      <c r="S236" s="6"/>
      <c r="T236" s="6"/>
      <c r="U236" s="6"/>
      <c r="V236" s="20"/>
      <c r="W236" s="20"/>
      <c r="X236" s="20"/>
      <c r="Y236" s="20"/>
      <c r="Z236" s="20"/>
      <c r="AA236" s="20"/>
      <c r="AB236" s="20"/>
      <c r="AD236" s="6">
        <f>IF((D232&lt;&gt;"")*(D236=""),IF((D232&lt;=$B$444)*((D233&gt;=$C$444)+(D233&lt;2/24)),1,0),0)</f>
        <v>0</v>
      </c>
      <c r="AE236" s="6">
        <f>IF((E232&lt;&gt;"")*(E236=""),IF((E232&lt;=$B$444)*((E233&gt;=$C$444)+(E233&lt;2/24)),1,0),0)</f>
        <v>0</v>
      </c>
      <c r="AF236" s="6">
        <f>IF((F232&lt;&gt;"")*(F236=""),IF((F232&lt;=$B$444)*((F233&gt;=$C$444)+(F233&lt;2/24)),1,0),0)</f>
        <v>0</v>
      </c>
      <c r="AG236" s="6">
        <f>IF((G232&lt;&gt;"")*(G236=""),IF((G232&lt;=$B$444)*((G233&gt;=$C$444)+(G233&lt;2/24)),1,0),0)</f>
        <v>0</v>
      </c>
      <c r="AH236" s="6">
        <f>IF((H232&lt;&gt;"")*(H236=""),IF((H232&lt;=$B$444)*((H233&gt;=$C$444)+(H233&lt;2/24)),1,0),0)</f>
        <v>0</v>
      </c>
      <c r="AI236" s="6">
        <f>IF((I232&lt;&gt;"")*(I236=""),IF((I232&lt;=$B$444)*((I233&gt;=$C$444)+(I233&lt;2/24)),1,0),0)</f>
        <v>0</v>
      </c>
      <c r="AJ236" s="6">
        <f>IF((J232&lt;&gt;"")*(J236=""),IF((J232&lt;=$B$444)*((J233&gt;=$C$444)+(J233&lt;2/24)),1,0),0)</f>
        <v>0</v>
      </c>
    </row>
    <row r="237" spans="1:36" ht="13.5" hidden="1" thickBot="1" x14ac:dyDescent="0.25">
      <c r="A237" s="41"/>
      <c r="B237" s="42"/>
      <c r="C237" s="35" t="s">
        <v>28</v>
      </c>
      <c r="D237" s="36"/>
      <c r="E237" s="36"/>
      <c r="F237" s="36"/>
      <c r="G237" s="36"/>
      <c r="H237" s="36"/>
      <c r="I237" s="36"/>
      <c r="J237" s="36"/>
      <c r="K237" s="34"/>
      <c r="L237" s="6"/>
      <c r="M237" s="25"/>
      <c r="N237" s="6"/>
      <c r="O237" s="6"/>
      <c r="P237" s="6"/>
      <c r="Q237" s="6"/>
      <c r="R237" s="6"/>
      <c r="S237" s="6"/>
      <c r="T237" s="6"/>
      <c r="U237" s="6"/>
      <c r="V237" s="20"/>
      <c r="W237" s="20"/>
      <c r="X237" s="20"/>
      <c r="Y237" s="20"/>
      <c r="Z237" s="20"/>
      <c r="AA237" s="20"/>
      <c r="AB237" s="20"/>
      <c r="AD237" s="6"/>
      <c r="AE237" s="6"/>
      <c r="AF237" s="6"/>
      <c r="AG237" s="6"/>
      <c r="AH237" s="6"/>
      <c r="AI237" s="6"/>
      <c r="AJ237" s="6"/>
    </row>
    <row r="238" spans="1:36" ht="13.5" hidden="1" thickBot="1" x14ac:dyDescent="0.25">
      <c r="A238" s="37" t="s">
        <v>29</v>
      </c>
      <c r="B238" s="38" t="s">
        <v>30</v>
      </c>
      <c r="C238" s="14" t="s">
        <v>0</v>
      </c>
      <c r="D238" s="26"/>
      <c r="E238" s="26"/>
      <c r="F238" s="26"/>
      <c r="G238" s="26"/>
      <c r="H238" s="26"/>
      <c r="I238" s="26"/>
      <c r="J238" s="26"/>
      <c r="K238" s="16"/>
      <c r="L238" s="6"/>
      <c r="M238" s="21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D238" s="6">
        <f>IF((D238&lt;&gt;"")*(D242=""),IF((D238&lt;=$B$440)*((D239&gt;=$C$440)+(D239&lt;2/24)),1,0),0)</f>
        <v>0</v>
      </c>
      <c r="AE238" s="6">
        <f>IF((E238&lt;&gt;"")*(E242=""),IF((E238&lt;=$B$440)*((E239&gt;=$C$440)+(E239&lt;2/24)),1,0),0)</f>
        <v>0</v>
      </c>
      <c r="AF238" s="6">
        <f>IF((F238&lt;&gt;"")*(F242=""),IF((F238&lt;=$B$440)*((F239&gt;=$C$440)+(F239&lt;2/24)),1,0),0)</f>
        <v>0</v>
      </c>
      <c r="AG238" s="6">
        <f>IF((G238&lt;&gt;"")*(G242=""),IF((G238&lt;=$B$440)*((G239&gt;=$C$440)+(G239&lt;2/24)),1,0),0)</f>
        <v>0</v>
      </c>
      <c r="AH238" s="6">
        <f>IF((H238&lt;&gt;"")*(H242=""),IF((H238&lt;=$B$440)*((H239&gt;=$C$440)+(H239&lt;2/24)),1,0),0)</f>
        <v>0</v>
      </c>
      <c r="AI238" s="6">
        <f>IF((I238&lt;&gt;"")*(I242=""),IF((I238&lt;=$B$440)*((I239&gt;=$C$440)+(I239&lt;2/24)),1,0),0)</f>
        <v>0</v>
      </c>
      <c r="AJ238" s="6">
        <f>IF((J238&lt;&gt;"")*(J242=""),IF((J238&lt;=$B$440)*((J239&gt;=$C$440)+(J239&lt;2/24)),1,0),0)</f>
        <v>0</v>
      </c>
    </row>
    <row r="239" spans="1:36" ht="13.5" hidden="1" thickBot="1" x14ac:dyDescent="0.25">
      <c r="A239" s="39"/>
      <c r="B239" s="40"/>
      <c r="C239" s="15" t="s">
        <v>1</v>
      </c>
      <c r="D239" s="27"/>
      <c r="E239" s="27"/>
      <c r="F239" s="27"/>
      <c r="G239" s="27"/>
      <c r="H239" s="27"/>
      <c r="I239" s="27"/>
      <c r="J239" s="27"/>
      <c r="K239" s="17"/>
      <c r="L239" s="6"/>
      <c r="M239" s="21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D239" s="6">
        <f>IF((D238&lt;&gt;"")*(D242=""),IF((D238&lt;=$B$441)*((D239&gt;=$C$441)+(D239&lt;2/24)),1,0),0)</f>
        <v>0</v>
      </c>
      <c r="AE239" s="6">
        <f>IF((E238&lt;&gt;"")*(E242=""),IF((E238&lt;=$B$441)*((E239&gt;=$C$441)+(E239&lt;2/24)),1,0),0)</f>
        <v>0</v>
      </c>
      <c r="AF239" s="6">
        <f>IF((F238&lt;&gt;"")*(F242=""),IF((F238&lt;=$B$441)*((F239&gt;=$C$441)+(F239&lt;2/24)),1,0),0)</f>
        <v>0</v>
      </c>
      <c r="AG239" s="6">
        <f>IF((G238&lt;&gt;"")*(G242=""),IF((G238&lt;=$B$441)*((G239&gt;=$C$441)+(G239&lt;2/24)),1,0),0)</f>
        <v>0</v>
      </c>
      <c r="AH239" s="6">
        <f>IF((H238&lt;&gt;"")*(H242=""),IF((H238&lt;=$B$441)*((H239&gt;=$C$441)+(H239&lt;2/24)),1,0),0)</f>
        <v>0</v>
      </c>
      <c r="AI239" s="6">
        <f>IF((I238&lt;&gt;"")*(I242=""),IF((I238&lt;=$B$441)*((I239&gt;=$C$441)+(I239&lt;2/24)),1,0),0)</f>
        <v>0</v>
      </c>
      <c r="AJ239" s="6">
        <f>IF((J238&lt;&gt;"")*(J242=""),IF((J238&lt;=$B$441)*((J239&gt;=$C$441)+(J239&lt;2/24)),1,0),0)</f>
        <v>0</v>
      </c>
    </row>
    <row r="240" spans="1:36" ht="13.5" hidden="1" thickBot="1" x14ac:dyDescent="0.25">
      <c r="A240" s="39"/>
      <c r="B240" s="40"/>
      <c r="C240" s="15" t="s">
        <v>2</v>
      </c>
      <c r="D240" s="4"/>
      <c r="E240" s="4"/>
      <c r="F240" s="4"/>
      <c r="G240" s="4"/>
      <c r="H240" s="4"/>
      <c r="I240" s="4"/>
      <c r="J240" s="4"/>
      <c r="K240" s="17"/>
      <c r="L240" s="6"/>
      <c r="M240" s="21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D240" s="6">
        <f>IF((D238&lt;&gt;"")*(D242=""),IF((D238&lt;=$B$442)*((D239&gt;=$C$442)+(D239&lt;2/24)),1,0),0)</f>
        <v>0</v>
      </c>
      <c r="AE240" s="6">
        <f>IF((E238&lt;&gt;"")*(E242=""),IF((E238&lt;=$B$442)*((E239&gt;=$C$442)+(E239&lt;2/24)),1,0),0)</f>
        <v>0</v>
      </c>
      <c r="AF240" s="6">
        <f>IF((F238&lt;&gt;"")*(F242=""),IF((F238&lt;=$B$442)*((F239&gt;=$C$442)+(F239&lt;2/24)),1,0),0)</f>
        <v>0</v>
      </c>
      <c r="AG240" s="6">
        <f>IF((G238&lt;&gt;"")*(G242=""),IF((G238&lt;=$B$442)*((G239&gt;=$C$442)+(G239&lt;2/24)),1,0),0)</f>
        <v>0</v>
      </c>
      <c r="AH240" s="6">
        <f>IF((H238&lt;&gt;"")*(H242=""),IF((H238&lt;=$B$442)*((H239&gt;=$C$442)+(H239&lt;2/24)),1,0),0)</f>
        <v>0</v>
      </c>
      <c r="AI240" s="6">
        <f>IF((I238&lt;&gt;"")*(I242=""),IF((I238&lt;=$B$442)*((I239&gt;=$C$442)+(I239&lt;2/24)),1,0),0)</f>
        <v>0</v>
      </c>
      <c r="AJ240" s="6">
        <f>IF((J238&lt;&gt;"")*(J242=""),IF((J238&lt;=$B$442)*((J239&gt;=$C$442)+(J239&lt;2/24)),1,0),0)</f>
        <v>0</v>
      </c>
    </row>
    <row r="241" spans="1:36" ht="13.5" hidden="1" thickBot="1" x14ac:dyDescent="0.25">
      <c r="A241" s="39"/>
      <c r="B241" s="40"/>
      <c r="C241" s="15" t="s">
        <v>3</v>
      </c>
      <c r="D241" s="43"/>
      <c r="E241" s="43"/>
      <c r="F241" s="43"/>
      <c r="G241" s="43"/>
      <c r="H241" s="43"/>
      <c r="I241" s="43"/>
      <c r="J241" s="44"/>
      <c r="K241" s="18">
        <f>SUMIF(D242:J242,"",D241:J241)</f>
        <v>0</v>
      </c>
      <c r="L241" s="12">
        <f>SUM(D241:J241)</f>
        <v>0</v>
      </c>
      <c r="M241" s="24"/>
      <c r="N241" s="10">
        <f t="shared" ref="N241:T241" si="126">IF(D242="",D241,0)</f>
        <v>0</v>
      </c>
      <c r="O241" s="10">
        <f t="shared" si="126"/>
        <v>0</v>
      </c>
      <c r="P241" s="10">
        <f t="shared" si="126"/>
        <v>0</v>
      </c>
      <c r="Q241" s="10">
        <f t="shared" si="126"/>
        <v>0</v>
      </c>
      <c r="R241" s="10">
        <f t="shared" si="126"/>
        <v>0</v>
      </c>
      <c r="S241" s="10">
        <f t="shared" si="126"/>
        <v>0</v>
      </c>
      <c r="T241" s="10">
        <f t="shared" si="126"/>
        <v>0</v>
      </c>
      <c r="U241" s="10"/>
      <c r="V241" s="10">
        <f t="shared" ref="V241:AB241" si="127">D241</f>
        <v>0</v>
      </c>
      <c r="W241" s="10">
        <f t="shared" si="127"/>
        <v>0</v>
      </c>
      <c r="X241" s="10">
        <f t="shared" si="127"/>
        <v>0</v>
      </c>
      <c r="Y241" s="10">
        <f t="shared" si="127"/>
        <v>0</v>
      </c>
      <c r="Z241" s="10">
        <f t="shared" si="127"/>
        <v>0</v>
      </c>
      <c r="AA241" s="10">
        <f t="shared" si="127"/>
        <v>0</v>
      </c>
      <c r="AB241" s="10">
        <f t="shared" si="127"/>
        <v>0</v>
      </c>
      <c r="AD241" s="6">
        <f>IF((D238&lt;&gt;"")*(D242=""),IF((D238&lt;=$B$443)*((D239&gt;=$C$443)+(D239&lt;2/24)),1,0),0)</f>
        <v>0</v>
      </c>
      <c r="AE241" s="6">
        <f>IF((E238&lt;&gt;"")*(E242=""),IF((E238&lt;=$B$443)*((E239&gt;=$C$443)+(E239&lt;2/24)),1,0),0)</f>
        <v>0</v>
      </c>
      <c r="AF241" s="6">
        <f>IF((F238&lt;&gt;"")*(F242=""),IF((F238&lt;=$B$443)*((F239&gt;=$C$443)+(F239&lt;2/24)),1,0),0)</f>
        <v>0</v>
      </c>
      <c r="AG241" s="6">
        <f>IF((G238&lt;&gt;"")*(G242=""),IF((G238&lt;=$B$443)*((G239&gt;=$C$443)+(G239&lt;2/24)),1,0),0)</f>
        <v>0</v>
      </c>
      <c r="AH241" s="6">
        <f>IF((H238&lt;&gt;"")*(H242=""),IF((H238&lt;=$B$443)*((H239&gt;=$C$443)+(H239&lt;2/24)),1,0),0)</f>
        <v>0</v>
      </c>
      <c r="AI241" s="6">
        <f>IF((I238&lt;&gt;"")*(I242=""),IF((I238&lt;=$B$443)*((I239&gt;=$C$443)+(I239&lt;2/24)),1,0),0)</f>
        <v>0</v>
      </c>
      <c r="AJ241" s="6">
        <f>IF((J238&lt;&gt;"")*(J242=""),IF((J238&lt;=$B$443)*((J239&gt;=$C$443)+(J239&lt;2/24)),1,0),0)</f>
        <v>0</v>
      </c>
    </row>
    <row r="242" spans="1:36" ht="13.5" hidden="1" thickBot="1" x14ac:dyDescent="0.25">
      <c r="A242" s="39"/>
      <c r="B242" s="40"/>
      <c r="C242" s="32" t="s">
        <v>4</v>
      </c>
      <c r="D242" s="33"/>
      <c r="E242" s="33"/>
      <c r="F242" s="33"/>
      <c r="G242" s="33"/>
      <c r="H242" s="33"/>
      <c r="I242" s="33"/>
      <c r="J242" s="33"/>
      <c r="K242" s="17"/>
      <c r="L242" s="6"/>
      <c r="M242" s="25"/>
      <c r="N242" s="6"/>
      <c r="O242" s="6"/>
      <c r="P242" s="6"/>
      <c r="Q242" s="6"/>
      <c r="R242" s="6"/>
      <c r="S242" s="6"/>
      <c r="T242" s="6"/>
      <c r="U242" s="6"/>
      <c r="V242" s="20"/>
      <c r="W242" s="20"/>
      <c r="X242" s="20"/>
      <c r="Y242" s="20"/>
      <c r="Z242" s="20"/>
      <c r="AA242" s="20"/>
      <c r="AB242" s="20"/>
      <c r="AD242" s="6">
        <f>IF((D238&lt;&gt;"")*(D242=""),IF((D238&lt;=$B$444)*((D239&gt;=$C$444)+(D239&lt;2/24)),1,0),0)</f>
        <v>0</v>
      </c>
      <c r="AE242" s="6">
        <f>IF((E238&lt;&gt;"")*(E242=""),IF((E238&lt;=$B$444)*((E239&gt;=$C$444)+(E239&lt;2/24)),1,0),0)</f>
        <v>0</v>
      </c>
      <c r="AF242" s="6">
        <f>IF((F238&lt;&gt;"")*(F242=""),IF((F238&lt;=$B$444)*((F239&gt;=$C$444)+(F239&lt;2/24)),1,0),0)</f>
        <v>0</v>
      </c>
      <c r="AG242" s="6">
        <f>IF((G238&lt;&gt;"")*(G242=""),IF((G238&lt;=$B$444)*((G239&gt;=$C$444)+(G239&lt;2/24)),1,0),0)</f>
        <v>0</v>
      </c>
      <c r="AH242" s="6">
        <f>IF((H238&lt;&gt;"")*(H242=""),IF((H238&lt;=$B$444)*((H239&gt;=$C$444)+(H239&lt;2/24)),1,0),0)</f>
        <v>0</v>
      </c>
      <c r="AI242" s="6">
        <f>IF((I238&lt;&gt;"")*(I242=""),IF((I238&lt;=$B$444)*((I239&gt;=$C$444)+(I239&lt;2/24)),1,0),0)</f>
        <v>0</v>
      </c>
      <c r="AJ242" s="6">
        <f>IF((J238&lt;&gt;"")*(J242=""),IF((J238&lt;=$B$444)*((J239&gt;=$C$444)+(J239&lt;2/24)),1,0),0)</f>
        <v>0</v>
      </c>
    </row>
    <row r="243" spans="1:36" ht="13.5" hidden="1" thickBot="1" x14ac:dyDescent="0.25">
      <c r="A243" s="41"/>
      <c r="B243" s="42"/>
      <c r="C243" s="35" t="s">
        <v>28</v>
      </c>
      <c r="D243" s="36"/>
      <c r="E243" s="36"/>
      <c r="F243" s="36"/>
      <c r="G243" s="36"/>
      <c r="H243" s="36"/>
      <c r="I243" s="36"/>
      <c r="J243" s="36"/>
      <c r="K243" s="34"/>
      <c r="L243" s="6"/>
      <c r="M243" s="25"/>
      <c r="N243" s="6"/>
      <c r="O243" s="6"/>
      <c r="P243" s="6"/>
      <c r="Q243" s="6"/>
      <c r="R243" s="6"/>
      <c r="S243" s="6"/>
      <c r="T243" s="6"/>
      <c r="U243" s="6"/>
      <c r="V243" s="20"/>
      <c r="W243" s="20"/>
      <c r="X243" s="20"/>
      <c r="Y243" s="20"/>
      <c r="Z243" s="20"/>
      <c r="AA243" s="20"/>
      <c r="AB243" s="20"/>
      <c r="AD243" s="6"/>
      <c r="AE243" s="6"/>
      <c r="AF243" s="6"/>
      <c r="AG243" s="6"/>
      <c r="AH243" s="6"/>
      <c r="AI243" s="6"/>
      <c r="AJ243" s="6"/>
    </row>
    <row r="244" spans="1:36" ht="13.5" hidden="1" thickBot="1" x14ac:dyDescent="0.25">
      <c r="A244" s="37" t="s">
        <v>29</v>
      </c>
      <c r="B244" s="38" t="s">
        <v>30</v>
      </c>
      <c r="C244" s="14" t="s">
        <v>0</v>
      </c>
      <c r="D244" s="26"/>
      <c r="E244" s="26"/>
      <c r="F244" s="26"/>
      <c r="G244" s="26"/>
      <c r="H244" s="26"/>
      <c r="I244" s="26"/>
      <c r="J244" s="26"/>
      <c r="K244" s="16"/>
      <c r="L244" s="6"/>
      <c r="M244" s="21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D244" s="6">
        <f>IF((D244&lt;&gt;"")*(D248=""),IF((D244&lt;=$B$440)*((D245&gt;=$C$440)+(D245&lt;2/24)),1,0),0)</f>
        <v>0</v>
      </c>
      <c r="AE244" s="6">
        <f>IF((E244&lt;&gt;"")*(E248=""),IF((E244&lt;=$B$440)*((E245&gt;=$C$440)+(E245&lt;2/24)),1,0),0)</f>
        <v>0</v>
      </c>
      <c r="AF244" s="6">
        <f>IF((F244&lt;&gt;"")*(F248=""),IF((F244&lt;=$B$440)*((F245&gt;=$C$440)+(F245&lt;2/24)),1,0),0)</f>
        <v>0</v>
      </c>
      <c r="AG244" s="6">
        <f>IF((G244&lt;&gt;"")*(G248=""),IF((G244&lt;=$B$440)*((G245&gt;=$C$440)+(G245&lt;2/24)),1,0),0)</f>
        <v>0</v>
      </c>
      <c r="AH244" s="6">
        <f>IF((H244&lt;&gt;"")*(H248=""),IF((H244&lt;=$B$440)*((H245&gt;=$C$440)+(H245&lt;2/24)),1,0),0)</f>
        <v>0</v>
      </c>
      <c r="AI244" s="6">
        <f>IF((I244&lt;&gt;"")*(I248=""),IF((I244&lt;=$B$440)*((I245&gt;=$C$440)+(I245&lt;2/24)),1,0),0)</f>
        <v>0</v>
      </c>
      <c r="AJ244" s="6">
        <f>IF((J244&lt;&gt;"")*(J248=""),IF((J244&lt;=$B$440)*((J245&gt;=$C$440)+(J245&lt;2/24)),1,0),0)</f>
        <v>0</v>
      </c>
    </row>
    <row r="245" spans="1:36" ht="13.5" hidden="1" thickBot="1" x14ac:dyDescent="0.25">
      <c r="A245" s="39"/>
      <c r="B245" s="40"/>
      <c r="C245" s="15" t="s">
        <v>1</v>
      </c>
      <c r="D245" s="27"/>
      <c r="E245" s="27"/>
      <c r="F245" s="27"/>
      <c r="G245" s="27"/>
      <c r="H245" s="27"/>
      <c r="I245" s="27"/>
      <c r="J245" s="27"/>
      <c r="K245" s="17"/>
      <c r="L245" s="6"/>
      <c r="M245" s="21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D245" s="6">
        <f>IF((D244&lt;&gt;"")*(D248=""),IF((D244&lt;=$B$441)*((D245&gt;=$C$441)+(D245&lt;2/24)),1,0),0)</f>
        <v>0</v>
      </c>
      <c r="AE245" s="6">
        <f>IF((E244&lt;&gt;"")*(E248=""),IF((E244&lt;=$B$441)*((E245&gt;=$C$441)+(E245&lt;2/24)),1,0),0)</f>
        <v>0</v>
      </c>
      <c r="AF245" s="6">
        <f>IF((F244&lt;&gt;"")*(F248=""),IF((F244&lt;=$B$441)*((F245&gt;=$C$441)+(F245&lt;2/24)),1,0),0)</f>
        <v>0</v>
      </c>
      <c r="AG245" s="6">
        <f>IF((G244&lt;&gt;"")*(G248=""),IF((G244&lt;=$B$441)*((G245&gt;=$C$441)+(G245&lt;2/24)),1,0),0)</f>
        <v>0</v>
      </c>
      <c r="AH245" s="6">
        <f>IF((H244&lt;&gt;"")*(H248=""),IF((H244&lt;=$B$441)*((H245&gt;=$C$441)+(H245&lt;2/24)),1,0),0)</f>
        <v>0</v>
      </c>
      <c r="AI245" s="6">
        <f>IF((I244&lt;&gt;"")*(I248=""),IF((I244&lt;=$B$441)*((I245&gt;=$C$441)+(I245&lt;2/24)),1,0),0)</f>
        <v>0</v>
      </c>
      <c r="AJ245" s="6">
        <f>IF((J244&lt;&gt;"")*(J248=""),IF((J244&lt;=$B$441)*((J245&gt;=$C$441)+(J245&lt;2/24)),1,0),0)</f>
        <v>0</v>
      </c>
    </row>
    <row r="246" spans="1:36" ht="13.5" hidden="1" thickBot="1" x14ac:dyDescent="0.25">
      <c r="A246" s="39"/>
      <c r="B246" s="40"/>
      <c r="C246" s="15" t="s">
        <v>2</v>
      </c>
      <c r="D246" s="4"/>
      <c r="E246" s="4"/>
      <c r="F246" s="4"/>
      <c r="G246" s="4"/>
      <c r="H246" s="4"/>
      <c r="I246" s="4"/>
      <c r="J246" s="4"/>
      <c r="K246" s="17"/>
      <c r="L246" s="6"/>
      <c r="M246" s="21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D246" s="6">
        <f>IF((D244&lt;&gt;"")*(D248=""),IF((D244&lt;=$B$442)*((D245&gt;=$C$442)+(D245&lt;2/24)),1,0),0)</f>
        <v>0</v>
      </c>
      <c r="AE246" s="6">
        <f>IF((E244&lt;&gt;"")*(E248=""),IF((E244&lt;=$B$442)*((E245&gt;=$C$442)+(E245&lt;2/24)),1,0),0)</f>
        <v>0</v>
      </c>
      <c r="AF246" s="6">
        <f>IF((F244&lt;&gt;"")*(F248=""),IF((F244&lt;=$B$442)*((F245&gt;=$C$442)+(F245&lt;2/24)),1,0),0)</f>
        <v>0</v>
      </c>
      <c r="AG246" s="6">
        <f>IF((G244&lt;&gt;"")*(G248=""),IF((G244&lt;=$B$442)*((G245&gt;=$C$442)+(G245&lt;2/24)),1,0),0)</f>
        <v>0</v>
      </c>
      <c r="AH246" s="6">
        <f>IF((H244&lt;&gt;"")*(H248=""),IF((H244&lt;=$B$442)*((H245&gt;=$C$442)+(H245&lt;2/24)),1,0),0)</f>
        <v>0</v>
      </c>
      <c r="AI246" s="6">
        <f>IF((I244&lt;&gt;"")*(I248=""),IF((I244&lt;=$B$442)*((I245&gt;=$C$442)+(I245&lt;2/24)),1,0),0)</f>
        <v>0</v>
      </c>
      <c r="AJ246" s="6">
        <f>IF((J244&lt;&gt;"")*(J248=""),IF((J244&lt;=$B$442)*((J245&gt;=$C$442)+(J245&lt;2/24)),1,0),0)</f>
        <v>0</v>
      </c>
    </row>
    <row r="247" spans="1:36" ht="13.5" hidden="1" thickBot="1" x14ac:dyDescent="0.25">
      <c r="A247" s="39"/>
      <c r="B247" s="40"/>
      <c r="C247" s="15" t="s">
        <v>3</v>
      </c>
      <c r="D247" s="43"/>
      <c r="E247" s="43"/>
      <c r="F247" s="43"/>
      <c r="G247" s="43"/>
      <c r="H247" s="43"/>
      <c r="I247" s="43"/>
      <c r="J247" s="44"/>
      <c r="K247" s="18">
        <f>SUMIF(D248:J248,"",D247:J247)</f>
        <v>0</v>
      </c>
      <c r="L247" s="12">
        <f>SUM(D247:J247)</f>
        <v>0</v>
      </c>
      <c r="M247" s="24"/>
      <c r="N247" s="10">
        <f t="shared" ref="N247:T247" si="128">IF(D248="",D247,0)</f>
        <v>0</v>
      </c>
      <c r="O247" s="10">
        <f t="shared" si="128"/>
        <v>0</v>
      </c>
      <c r="P247" s="10">
        <f t="shared" si="128"/>
        <v>0</v>
      </c>
      <c r="Q247" s="10">
        <f t="shared" si="128"/>
        <v>0</v>
      </c>
      <c r="R247" s="10">
        <f t="shared" si="128"/>
        <v>0</v>
      </c>
      <c r="S247" s="10">
        <f t="shared" si="128"/>
        <v>0</v>
      </c>
      <c r="T247" s="10">
        <f t="shared" si="128"/>
        <v>0</v>
      </c>
      <c r="U247" s="10"/>
      <c r="V247" s="10">
        <f t="shared" ref="V247:AB247" si="129">D247</f>
        <v>0</v>
      </c>
      <c r="W247" s="10">
        <f t="shared" si="129"/>
        <v>0</v>
      </c>
      <c r="X247" s="10">
        <f t="shared" si="129"/>
        <v>0</v>
      </c>
      <c r="Y247" s="10">
        <f t="shared" si="129"/>
        <v>0</v>
      </c>
      <c r="Z247" s="10">
        <f t="shared" si="129"/>
        <v>0</v>
      </c>
      <c r="AA247" s="10">
        <f t="shared" si="129"/>
        <v>0</v>
      </c>
      <c r="AB247" s="10">
        <f t="shared" si="129"/>
        <v>0</v>
      </c>
      <c r="AD247" s="6">
        <f>IF((D244&lt;&gt;"")*(D248=""),IF((D244&lt;=$B$443)*((D245&gt;=$C$443)+(D245&lt;2/24)),1,0),0)</f>
        <v>0</v>
      </c>
      <c r="AE247" s="6">
        <f>IF((E244&lt;&gt;"")*(E248=""),IF((E244&lt;=$B$443)*((E245&gt;=$C$443)+(E245&lt;2/24)),1,0),0)</f>
        <v>0</v>
      </c>
      <c r="AF247" s="6">
        <f>IF((F244&lt;&gt;"")*(F248=""),IF((F244&lt;=$B$443)*((F245&gt;=$C$443)+(F245&lt;2/24)),1,0),0)</f>
        <v>0</v>
      </c>
      <c r="AG247" s="6">
        <f>IF((G244&lt;&gt;"")*(G248=""),IF((G244&lt;=$B$443)*((G245&gt;=$C$443)+(G245&lt;2/24)),1,0),0)</f>
        <v>0</v>
      </c>
      <c r="AH247" s="6">
        <f>IF((H244&lt;&gt;"")*(H248=""),IF((H244&lt;=$B$443)*((H245&gt;=$C$443)+(H245&lt;2/24)),1,0),0)</f>
        <v>0</v>
      </c>
      <c r="AI247" s="6">
        <f>IF((I244&lt;&gt;"")*(I248=""),IF((I244&lt;=$B$443)*((I245&gt;=$C$443)+(I245&lt;2/24)),1,0),0)</f>
        <v>0</v>
      </c>
      <c r="AJ247" s="6">
        <f>IF((J244&lt;&gt;"")*(J248=""),IF((J244&lt;=$B$443)*((J245&gt;=$C$443)+(J245&lt;2/24)),1,0),0)</f>
        <v>0</v>
      </c>
    </row>
    <row r="248" spans="1:36" ht="13.5" hidden="1" thickBot="1" x14ac:dyDescent="0.25">
      <c r="A248" s="39"/>
      <c r="B248" s="40"/>
      <c r="C248" s="32" t="s">
        <v>4</v>
      </c>
      <c r="D248" s="33"/>
      <c r="E248" s="33"/>
      <c r="F248" s="33"/>
      <c r="G248" s="33"/>
      <c r="H248" s="33"/>
      <c r="I248" s="33"/>
      <c r="J248" s="33"/>
      <c r="K248" s="17"/>
      <c r="L248" s="6"/>
      <c r="M248" s="25"/>
      <c r="N248" s="6"/>
      <c r="O248" s="6"/>
      <c r="P248" s="6"/>
      <c r="Q248" s="6"/>
      <c r="R248" s="6"/>
      <c r="S248" s="6"/>
      <c r="T248" s="6"/>
      <c r="U248" s="6"/>
      <c r="V248" s="20"/>
      <c r="W248" s="20"/>
      <c r="X248" s="20"/>
      <c r="Y248" s="20"/>
      <c r="Z248" s="20"/>
      <c r="AA248" s="20"/>
      <c r="AB248" s="20"/>
      <c r="AD248" s="6">
        <f>IF((D244&lt;&gt;"")*(D248=""),IF((D244&lt;=$B$444)*((D245&gt;=$C$444)+(D245&lt;2/24)),1,0),0)</f>
        <v>0</v>
      </c>
      <c r="AE248" s="6">
        <f>IF((E244&lt;&gt;"")*(E248=""),IF((E244&lt;=$B$444)*((E245&gt;=$C$444)+(E245&lt;2/24)),1,0),0)</f>
        <v>0</v>
      </c>
      <c r="AF248" s="6">
        <f>IF((F244&lt;&gt;"")*(F248=""),IF((F244&lt;=$B$444)*((F245&gt;=$C$444)+(F245&lt;2/24)),1,0),0)</f>
        <v>0</v>
      </c>
      <c r="AG248" s="6">
        <f>IF((G244&lt;&gt;"")*(G248=""),IF((G244&lt;=$B$444)*((G245&gt;=$C$444)+(G245&lt;2/24)),1,0),0)</f>
        <v>0</v>
      </c>
      <c r="AH248" s="6">
        <f>IF((H244&lt;&gt;"")*(H248=""),IF((H244&lt;=$B$444)*((H245&gt;=$C$444)+(H245&lt;2/24)),1,0),0)</f>
        <v>0</v>
      </c>
      <c r="AI248" s="6">
        <f>IF((I244&lt;&gt;"")*(I248=""),IF((I244&lt;=$B$444)*((I245&gt;=$C$444)+(I245&lt;2/24)),1,0),0)</f>
        <v>0</v>
      </c>
      <c r="AJ248" s="6">
        <f>IF((J244&lt;&gt;"")*(J248=""),IF((J244&lt;=$B$444)*((J245&gt;=$C$444)+(J245&lt;2/24)),1,0),0)</f>
        <v>0</v>
      </c>
    </row>
    <row r="249" spans="1:36" ht="13.5" hidden="1" thickBot="1" x14ac:dyDescent="0.25">
      <c r="A249" s="41"/>
      <c r="B249" s="42"/>
      <c r="C249" s="35" t="s">
        <v>28</v>
      </c>
      <c r="D249" s="36"/>
      <c r="E249" s="36"/>
      <c r="F249" s="36"/>
      <c r="G249" s="36"/>
      <c r="H249" s="36"/>
      <c r="I249" s="36"/>
      <c r="J249" s="36"/>
      <c r="K249" s="34"/>
      <c r="L249" s="6"/>
      <c r="M249" s="25"/>
      <c r="N249" s="6"/>
      <c r="O249" s="6"/>
      <c r="P249" s="6"/>
      <c r="Q249" s="6"/>
      <c r="R249" s="6"/>
      <c r="S249" s="6"/>
      <c r="T249" s="6"/>
      <c r="U249" s="6"/>
      <c r="V249" s="20"/>
      <c r="W249" s="20"/>
      <c r="X249" s="20"/>
      <c r="Y249" s="20"/>
      <c r="Z249" s="20"/>
      <c r="AA249" s="20"/>
      <c r="AB249" s="20"/>
      <c r="AD249" s="6"/>
      <c r="AE249" s="6"/>
      <c r="AF249" s="6"/>
      <c r="AG249" s="6"/>
      <c r="AH249" s="6"/>
      <c r="AI249" s="6"/>
      <c r="AJ249" s="6"/>
    </row>
    <row r="250" spans="1:36" ht="13.5" hidden="1" thickBot="1" x14ac:dyDescent="0.25">
      <c r="A250" s="37" t="s">
        <v>29</v>
      </c>
      <c r="B250" s="38" t="s">
        <v>30</v>
      </c>
      <c r="C250" s="14" t="s">
        <v>0</v>
      </c>
      <c r="D250" s="26"/>
      <c r="E250" s="26"/>
      <c r="F250" s="26"/>
      <c r="G250" s="26"/>
      <c r="H250" s="26"/>
      <c r="I250" s="26"/>
      <c r="J250" s="26"/>
      <c r="K250" s="16"/>
      <c r="L250" s="6"/>
      <c r="M250" s="21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D250" s="6">
        <f>IF((D250&lt;&gt;"")*(D254=""),IF((D250&lt;=$B$440)*((D251&gt;=$C$440)+(D251&lt;2/24)),1,0),0)</f>
        <v>0</v>
      </c>
      <c r="AE250" s="6">
        <f>IF((E250&lt;&gt;"")*(E254=""),IF((E250&lt;=$B$440)*((E251&gt;=$C$440)+(E251&lt;2/24)),1,0),0)</f>
        <v>0</v>
      </c>
      <c r="AF250" s="6">
        <f>IF((F250&lt;&gt;"")*(F254=""),IF((F250&lt;=$B$440)*((F251&gt;=$C$440)+(F251&lt;2/24)),1,0),0)</f>
        <v>0</v>
      </c>
      <c r="AG250" s="6">
        <f>IF((G250&lt;&gt;"")*(G254=""),IF((G250&lt;=$B$440)*((G251&gt;=$C$440)+(G251&lt;2/24)),1,0),0)</f>
        <v>0</v>
      </c>
      <c r="AH250" s="6">
        <f>IF((H250&lt;&gt;"")*(H254=""),IF((H250&lt;=$B$440)*((H251&gt;=$C$440)+(H251&lt;2/24)),1,0),0)</f>
        <v>0</v>
      </c>
      <c r="AI250" s="6">
        <f>IF((I250&lt;&gt;"")*(I254=""),IF((I250&lt;=$B$440)*((I251&gt;=$C$440)+(I251&lt;2/24)),1,0),0)</f>
        <v>0</v>
      </c>
      <c r="AJ250" s="6">
        <f>IF((J250&lt;&gt;"")*(J254=""),IF((J250&lt;=$B$440)*((J251&gt;=$C$440)+(J251&lt;2/24)),1,0),0)</f>
        <v>0</v>
      </c>
    </row>
    <row r="251" spans="1:36" ht="13.5" hidden="1" thickBot="1" x14ac:dyDescent="0.25">
      <c r="A251" s="39"/>
      <c r="B251" s="40"/>
      <c r="C251" s="15" t="s">
        <v>1</v>
      </c>
      <c r="D251" s="27"/>
      <c r="E251" s="27"/>
      <c r="F251" s="27"/>
      <c r="G251" s="27"/>
      <c r="H251" s="27"/>
      <c r="I251" s="27"/>
      <c r="J251" s="27"/>
      <c r="K251" s="17"/>
      <c r="L251" s="6"/>
      <c r="M251" s="21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D251" s="6">
        <f>IF((D250&lt;&gt;"")*(D254=""),IF((D250&lt;=$B$441)*((D251&gt;=$C$441)+(D251&lt;2/24)),1,0),0)</f>
        <v>0</v>
      </c>
      <c r="AE251" s="6">
        <f>IF((E250&lt;&gt;"")*(E254=""),IF((E250&lt;=$B$441)*((E251&gt;=$C$441)+(E251&lt;2/24)),1,0),0)</f>
        <v>0</v>
      </c>
      <c r="AF251" s="6">
        <f>IF((F250&lt;&gt;"")*(F254=""),IF((F250&lt;=$B$441)*((F251&gt;=$C$441)+(F251&lt;2/24)),1,0),0)</f>
        <v>0</v>
      </c>
      <c r="AG251" s="6">
        <f>IF((G250&lt;&gt;"")*(G254=""),IF((G250&lt;=$B$441)*((G251&gt;=$C$441)+(G251&lt;2/24)),1,0),0)</f>
        <v>0</v>
      </c>
      <c r="AH251" s="6">
        <f>IF((H250&lt;&gt;"")*(H254=""),IF((H250&lt;=$B$441)*((H251&gt;=$C$441)+(H251&lt;2/24)),1,0),0)</f>
        <v>0</v>
      </c>
      <c r="AI251" s="6">
        <f>IF((I250&lt;&gt;"")*(I254=""),IF((I250&lt;=$B$441)*((I251&gt;=$C$441)+(I251&lt;2/24)),1,0),0)</f>
        <v>0</v>
      </c>
      <c r="AJ251" s="6">
        <f>IF((J250&lt;&gt;"")*(J254=""),IF((J250&lt;=$B$441)*((J251&gt;=$C$441)+(J251&lt;2/24)),1,0),0)</f>
        <v>0</v>
      </c>
    </row>
    <row r="252" spans="1:36" ht="13.5" hidden="1" thickBot="1" x14ac:dyDescent="0.25">
      <c r="A252" s="39"/>
      <c r="B252" s="40"/>
      <c r="C252" s="15" t="s">
        <v>2</v>
      </c>
      <c r="D252" s="4"/>
      <c r="E252" s="4"/>
      <c r="F252" s="4"/>
      <c r="G252" s="4"/>
      <c r="H252" s="4"/>
      <c r="I252" s="4"/>
      <c r="J252" s="4"/>
      <c r="K252" s="17"/>
      <c r="L252" s="6"/>
      <c r="M252" s="21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D252" s="6">
        <f>IF((D250&lt;&gt;"")*(D254=""),IF((D250&lt;=$B$442)*((D251&gt;=$C$442)+(D251&lt;2/24)),1,0),0)</f>
        <v>0</v>
      </c>
      <c r="AE252" s="6">
        <f>IF((E250&lt;&gt;"")*(E254=""),IF((E250&lt;=$B$442)*((E251&gt;=$C$442)+(E251&lt;2/24)),1,0),0)</f>
        <v>0</v>
      </c>
      <c r="AF252" s="6">
        <f>IF((F250&lt;&gt;"")*(F254=""),IF((F250&lt;=$B$442)*((F251&gt;=$C$442)+(F251&lt;2/24)),1,0),0)</f>
        <v>0</v>
      </c>
      <c r="AG252" s="6">
        <f>IF((G250&lt;&gt;"")*(G254=""),IF((G250&lt;=$B$442)*((G251&gt;=$C$442)+(G251&lt;2/24)),1,0),0)</f>
        <v>0</v>
      </c>
      <c r="AH252" s="6">
        <f>IF((H250&lt;&gt;"")*(H254=""),IF((H250&lt;=$B$442)*((H251&gt;=$C$442)+(H251&lt;2/24)),1,0),0)</f>
        <v>0</v>
      </c>
      <c r="AI252" s="6">
        <f>IF((I250&lt;&gt;"")*(I254=""),IF((I250&lt;=$B$442)*((I251&gt;=$C$442)+(I251&lt;2/24)),1,0),0)</f>
        <v>0</v>
      </c>
      <c r="AJ252" s="6">
        <f>IF((J250&lt;&gt;"")*(J254=""),IF((J250&lt;=$B$442)*((J251&gt;=$C$442)+(J251&lt;2/24)),1,0),0)</f>
        <v>0</v>
      </c>
    </row>
    <row r="253" spans="1:36" ht="13.5" hidden="1" thickBot="1" x14ac:dyDescent="0.25">
      <c r="A253" s="39"/>
      <c r="B253" s="40"/>
      <c r="C253" s="15" t="s">
        <v>3</v>
      </c>
      <c r="D253" s="43"/>
      <c r="E253" s="43"/>
      <c r="F253" s="43"/>
      <c r="G253" s="43"/>
      <c r="H253" s="43"/>
      <c r="I253" s="43"/>
      <c r="J253" s="44"/>
      <c r="K253" s="18">
        <f>SUMIF(D254:J254,"",D253:J253)</f>
        <v>0</v>
      </c>
      <c r="L253" s="12">
        <f>SUM(D253:J253)</f>
        <v>0</v>
      </c>
      <c r="M253" s="24"/>
      <c r="N253" s="10">
        <f t="shared" ref="N253:T253" si="130">IF(D254="",D253,0)</f>
        <v>0</v>
      </c>
      <c r="O253" s="10">
        <f t="shared" si="130"/>
        <v>0</v>
      </c>
      <c r="P253" s="10">
        <f t="shared" si="130"/>
        <v>0</v>
      </c>
      <c r="Q253" s="10">
        <f t="shared" si="130"/>
        <v>0</v>
      </c>
      <c r="R253" s="10">
        <f t="shared" si="130"/>
        <v>0</v>
      </c>
      <c r="S253" s="10">
        <f t="shared" si="130"/>
        <v>0</v>
      </c>
      <c r="T253" s="10">
        <f t="shared" si="130"/>
        <v>0</v>
      </c>
      <c r="U253" s="10"/>
      <c r="V253" s="10">
        <f t="shared" ref="V253:AB253" si="131">D253</f>
        <v>0</v>
      </c>
      <c r="W253" s="10">
        <f t="shared" si="131"/>
        <v>0</v>
      </c>
      <c r="X253" s="10">
        <f t="shared" si="131"/>
        <v>0</v>
      </c>
      <c r="Y253" s="10">
        <f t="shared" si="131"/>
        <v>0</v>
      </c>
      <c r="Z253" s="10">
        <f t="shared" si="131"/>
        <v>0</v>
      </c>
      <c r="AA253" s="10">
        <f t="shared" si="131"/>
        <v>0</v>
      </c>
      <c r="AB253" s="10">
        <f t="shared" si="131"/>
        <v>0</v>
      </c>
      <c r="AD253" s="6">
        <f>IF((D250&lt;&gt;"")*(D254=""),IF((D250&lt;=$B$443)*((D251&gt;=$C$443)+(D251&lt;2/24)),1,0),0)</f>
        <v>0</v>
      </c>
      <c r="AE253" s="6">
        <f>IF((E250&lt;&gt;"")*(E254=""),IF((E250&lt;=$B$443)*((E251&gt;=$C$443)+(E251&lt;2/24)),1,0),0)</f>
        <v>0</v>
      </c>
      <c r="AF253" s="6">
        <f>IF((F250&lt;&gt;"")*(F254=""),IF((F250&lt;=$B$443)*((F251&gt;=$C$443)+(F251&lt;2/24)),1,0),0)</f>
        <v>0</v>
      </c>
      <c r="AG253" s="6">
        <f>IF((G250&lt;&gt;"")*(G254=""),IF((G250&lt;=$B$443)*((G251&gt;=$C$443)+(G251&lt;2/24)),1,0),0)</f>
        <v>0</v>
      </c>
      <c r="AH253" s="6">
        <f>IF((H250&lt;&gt;"")*(H254=""),IF((H250&lt;=$B$443)*((H251&gt;=$C$443)+(H251&lt;2/24)),1,0),0)</f>
        <v>0</v>
      </c>
      <c r="AI253" s="6">
        <f>IF((I250&lt;&gt;"")*(I254=""),IF((I250&lt;=$B$443)*((I251&gt;=$C$443)+(I251&lt;2/24)),1,0),0)</f>
        <v>0</v>
      </c>
      <c r="AJ253" s="6">
        <f>IF((J250&lt;&gt;"")*(J254=""),IF((J250&lt;=$B$443)*((J251&gt;=$C$443)+(J251&lt;2/24)),1,0),0)</f>
        <v>0</v>
      </c>
    </row>
    <row r="254" spans="1:36" ht="13.5" hidden="1" thickBot="1" x14ac:dyDescent="0.25">
      <c r="A254" s="39"/>
      <c r="B254" s="40"/>
      <c r="C254" s="32" t="s">
        <v>4</v>
      </c>
      <c r="D254" s="33"/>
      <c r="E254" s="33"/>
      <c r="F254" s="33"/>
      <c r="G254" s="33"/>
      <c r="H254" s="33"/>
      <c r="I254" s="33"/>
      <c r="J254" s="33"/>
      <c r="K254" s="17"/>
      <c r="L254" s="6"/>
      <c r="M254" s="25"/>
      <c r="N254" s="6"/>
      <c r="O254" s="6"/>
      <c r="P254" s="6"/>
      <c r="Q254" s="6"/>
      <c r="R254" s="6"/>
      <c r="S254" s="6"/>
      <c r="T254" s="6"/>
      <c r="U254" s="6"/>
      <c r="V254" s="20"/>
      <c r="W254" s="20"/>
      <c r="X254" s="20"/>
      <c r="Y254" s="20"/>
      <c r="Z254" s="20"/>
      <c r="AA254" s="20"/>
      <c r="AB254" s="20"/>
      <c r="AD254" s="6">
        <f>IF((D250&lt;&gt;"")*(D254=""),IF((D250&lt;=$B$444)*((D251&gt;=$C$444)+(D251&lt;2/24)),1,0),0)</f>
        <v>0</v>
      </c>
      <c r="AE254" s="6">
        <f>IF((E250&lt;&gt;"")*(E254=""),IF((E250&lt;=$B$444)*((E251&gt;=$C$444)+(E251&lt;2/24)),1,0),0)</f>
        <v>0</v>
      </c>
      <c r="AF254" s="6">
        <f>IF((F250&lt;&gt;"")*(F254=""),IF((F250&lt;=$B$444)*((F251&gt;=$C$444)+(F251&lt;2/24)),1,0),0)</f>
        <v>0</v>
      </c>
      <c r="AG254" s="6">
        <f>IF((G250&lt;&gt;"")*(G254=""),IF((G250&lt;=$B$444)*((G251&gt;=$C$444)+(G251&lt;2/24)),1,0),0)</f>
        <v>0</v>
      </c>
      <c r="AH254" s="6">
        <f>IF((H250&lt;&gt;"")*(H254=""),IF((H250&lt;=$B$444)*((H251&gt;=$C$444)+(H251&lt;2/24)),1,0),0)</f>
        <v>0</v>
      </c>
      <c r="AI254" s="6">
        <f>IF((I250&lt;&gt;"")*(I254=""),IF((I250&lt;=$B$444)*((I251&gt;=$C$444)+(I251&lt;2/24)),1,0),0)</f>
        <v>0</v>
      </c>
      <c r="AJ254" s="6">
        <f>IF((J250&lt;&gt;"")*(J254=""),IF((J250&lt;=$B$444)*((J251&gt;=$C$444)+(J251&lt;2/24)),1,0),0)</f>
        <v>0</v>
      </c>
    </row>
    <row r="255" spans="1:36" ht="13.5" hidden="1" thickBot="1" x14ac:dyDescent="0.25">
      <c r="A255" s="41"/>
      <c r="B255" s="42"/>
      <c r="C255" s="35" t="s">
        <v>28</v>
      </c>
      <c r="D255" s="36"/>
      <c r="E255" s="36"/>
      <c r="F255" s="36"/>
      <c r="G255" s="36"/>
      <c r="H255" s="36"/>
      <c r="I255" s="36"/>
      <c r="J255" s="36"/>
      <c r="K255" s="34"/>
      <c r="L255" s="6"/>
      <c r="M255" s="25"/>
      <c r="N255" s="6"/>
      <c r="O255" s="6"/>
      <c r="P255" s="6"/>
      <c r="Q255" s="6"/>
      <c r="R255" s="6"/>
      <c r="S255" s="6"/>
      <c r="T255" s="6"/>
      <c r="U255" s="6"/>
      <c r="V255" s="20"/>
      <c r="W255" s="20"/>
      <c r="X255" s="20"/>
      <c r="Y255" s="20"/>
      <c r="Z255" s="20"/>
      <c r="AA255" s="20"/>
      <c r="AB255" s="20"/>
      <c r="AD255" s="6"/>
      <c r="AE255" s="6"/>
      <c r="AF255" s="6"/>
      <c r="AG255" s="6"/>
      <c r="AH255" s="6"/>
      <c r="AI255" s="6"/>
      <c r="AJ255" s="6"/>
    </row>
    <row r="256" spans="1:36" ht="13.5" hidden="1" thickBot="1" x14ac:dyDescent="0.25">
      <c r="A256" s="37" t="s">
        <v>29</v>
      </c>
      <c r="B256" s="38" t="s">
        <v>30</v>
      </c>
      <c r="C256" s="14" t="s">
        <v>0</v>
      </c>
      <c r="D256" s="26"/>
      <c r="E256" s="26"/>
      <c r="F256" s="26"/>
      <c r="G256" s="26"/>
      <c r="H256" s="26"/>
      <c r="I256" s="26"/>
      <c r="J256" s="26"/>
      <c r="K256" s="16"/>
      <c r="L256" s="6"/>
      <c r="M256" s="21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D256" s="6">
        <f>IF((D256&lt;&gt;"")*(D260=""),IF((D256&lt;=$B$440)*((D257&gt;=$C$440)+(D257&lt;2/24)),1,0),0)</f>
        <v>0</v>
      </c>
      <c r="AE256" s="6">
        <f>IF((E256&lt;&gt;"")*(E260=""),IF((E256&lt;=$B$440)*((E257&gt;=$C$440)+(E257&lt;2/24)),1,0),0)</f>
        <v>0</v>
      </c>
      <c r="AF256" s="6">
        <f>IF((F256&lt;&gt;"")*(F260=""),IF((F256&lt;=$B$440)*((F257&gt;=$C$440)+(F257&lt;2/24)),1,0),0)</f>
        <v>0</v>
      </c>
      <c r="AG256" s="6">
        <f>IF((G256&lt;&gt;"")*(G260=""),IF((G256&lt;=$B$440)*((G257&gt;=$C$440)+(G257&lt;2/24)),1,0),0)</f>
        <v>0</v>
      </c>
      <c r="AH256" s="6">
        <f>IF((H256&lt;&gt;"")*(H260=""),IF((H256&lt;=$B$440)*((H257&gt;=$C$440)+(H257&lt;2/24)),1,0),0)</f>
        <v>0</v>
      </c>
      <c r="AI256" s="6">
        <f>IF((I256&lt;&gt;"")*(I260=""),IF((I256&lt;=$B$440)*((I257&gt;=$C$440)+(I257&lt;2/24)),1,0),0)</f>
        <v>0</v>
      </c>
      <c r="AJ256" s="6">
        <f>IF((J256&lt;&gt;"")*(J260=""),IF((J256&lt;=$B$440)*((J257&gt;=$C$440)+(J257&lt;2/24)),1,0),0)</f>
        <v>0</v>
      </c>
    </row>
    <row r="257" spans="1:36" ht="13.5" hidden="1" thickBot="1" x14ac:dyDescent="0.25">
      <c r="A257" s="39"/>
      <c r="B257" s="40"/>
      <c r="C257" s="15" t="s">
        <v>1</v>
      </c>
      <c r="D257" s="27"/>
      <c r="E257" s="27"/>
      <c r="F257" s="27"/>
      <c r="G257" s="27"/>
      <c r="H257" s="27"/>
      <c r="I257" s="27"/>
      <c r="J257" s="27"/>
      <c r="K257" s="17"/>
      <c r="L257" s="6"/>
      <c r="M257" s="21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D257" s="6">
        <f>IF((D256&lt;&gt;"")*(D260=""),IF((D256&lt;=$B$441)*((D257&gt;=$C$441)+(D257&lt;2/24)),1,0),0)</f>
        <v>0</v>
      </c>
      <c r="AE257" s="6">
        <f>IF((E256&lt;&gt;"")*(E260=""),IF((E256&lt;=$B$441)*((E257&gt;=$C$441)+(E257&lt;2/24)),1,0),0)</f>
        <v>0</v>
      </c>
      <c r="AF257" s="6">
        <f>IF((F256&lt;&gt;"")*(F260=""),IF((F256&lt;=$B$441)*((F257&gt;=$C$441)+(F257&lt;2/24)),1,0),0)</f>
        <v>0</v>
      </c>
      <c r="AG257" s="6">
        <f>IF((G256&lt;&gt;"")*(G260=""),IF((G256&lt;=$B$441)*((G257&gt;=$C$441)+(G257&lt;2/24)),1,0),0)</f>
        <v>0</v>
      </c>
      <c r="AH257" s="6">
        <f>IF((H256&lt;&gt;"")*(H260=""),IF((H256&lt;=$B$441)*((H257&gt;=$C$441)+(H257&lt;2/24)),1,0),0)</f>
        <v>0</v>
      </c>
      <c r="AI257" s="6">
        <f>IF((I256&lt;&gt;"")*(I260=""),IF((I256&lt;=$B$441)*((I257&gt;=$C$441)+(I257&lt;2/24)),1,0),0)</f>
        <v>0</v>
      </c>
      <c r="AJ257" s="6">
        <f>IF((J256&lt;&gt;"")*(J260=""),IF((J256&lt;=$B$441)*((J257&gt;=$C$441)+(J257&lt;2/24)),1,0),0)</f>
        <v>0</v>
      </c>
    </row>
    <row r="258" spans="1:36" ht="13.5" hidden="1" thickBot="1" x14ac:dyDescent="0.25">
      <c r="A258" s="39"/>
      <c r="B258" s="40"/>
      <c r="C258" s="15" t="s">
        <v>2</v>
      </c>
      <c r="D258" s="4"/>
      <c r="E258" s="4"/>
      <c r="F258" s="4"/>
      <c r="G258" s="4"/>
      <c r="H258" s="4"/>
      <c r="I258" s="4"/>
      <c r="J258" s="4"/>
      <c r="K258" s="17"/>
      <c r="L258" s="6"/>
      <c r="M258" s="21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D258" s="6">
        <f>IF((D256&lt;&gt;"")*(D260=""),IF((D256&lt;=$B$442)*((D257&gt;=$C$442)+(D257&lt;2/24)),1,0),0)</f>
        <v>0</v>
      </c>
      <c r="AE258" s="6">
        <f>IF((E256&lt;&gt;"")*(E260=""),IF((E256&lt;=$B$442)*((E257&gt;=$C$442)+(E257&lt;2/24)),1,0),0)</f>
        <v>0</v>
      </c>
      <c r="AF258" s="6">
        <f>IF((F256&lt;&gt;"")*(F260=""),IF((F256&lt;=$B$442)*((F257&gt;=$C$442)+(F257&lt;2/24)),1,0),0)</f>
        <v>0</v>
      </c>
      <c r="AG258" s="6">
        <f>IF((G256&lt;&gt;"")*(G260=""),IF((G256&lt;=$B$442)*((G257&gt;=$C$442)+(G257&lt;2/24)),1,0),0)</f>
        <v>0</v>
      </c>
      <c r="AH258" s="6">
        <f>IF((H256&lt;&gt;"")*(H260=""),IF((H256&lt;=$B$442)*((H257&gt;=$C$442)+(H257&lt;2/24)),1,0),0)</f>
        <v>0</v>
      </c>
      <c r="AI258" s="6">
        <f>IF((I256&lt;&gt;"")*(I260=""),IF((I256&lt;=$B$442)*((I257&gt;=$C$442)+(I257&lt;2/24)),1,0),0)</f>
        <v>0</v>
      </c>
      <c r="AJ258" s="6">
        <f>IF((J256&lt;&gt;"")*(J260=""),IF((J256&lt;=$B$442)*((J257&gt;=$C$442)+(J257&lt;2/24)),1,0),0)</f>
        <v>0</v>
      </c>
    </row>
    <row r="259" spans="1:36" ht="13.5" hidden="1" thickBot="1" x14ac:dyDescent="0.25">
      <c r="A259" s="39"/>
      <c r="B259" s="40"/>
      <c r="C259" s="15" t="s">
        <v>3</v>
      </c>
      <c r="D259" s="43"/>
      <c r="E259" s="43"/>
      <c r="F259" s="43"/>
      <c r="G259" s="43"/>
      <c r="H259" s="43"/>
      <c r="I259" s="43"/>
      <c r="J259" s="44"/>
      <c r="K259" s="18">
        <f>SUMIF(D260:J260,"",D259:J259)</f>
        <v>0</v>
      </c>
      <c r="L259" s="12">
        <f>SUM(D259:J259)</f>
        <v>0</v>
      </c>
      <c r="M259" s="24"/>
      <c r="N259" s="10">
        <f t="shared" ref="N259:T259" si="132">IF(D260="",D259,0)</f>
        <v>0</v>
      </c>
      <c r="O259" s="10">
        <f t="shared" si="132"/>
        <v>0</v>
      </c>
      <c r="P259" s="10">
        <f t="shared" si="132"/>
        <v>0</v>
      </c>
      <c r="Q259" s="10">
        <f t="shared" si="132"/>
        <v>0</v>
      </c>
      <c r="R259" s="10">
        <f t="shared" si="132"/>
        <v>0</v>
      </c>
      <c r="S259" s="10">
        <f t="shared" si="132"/>
        <v>0</v>
      </c>
      <c r="T259" s="10">
        <f t="shared" si="132"/>
        <v>0</v>
      </c>
      <c r="U259" s="10"/>
      <c r="V259" s="10">
        <f t="shared" ref="V259:AB259" si="133">D259</f>
        <v>0</v>
      </c>
      <c r="W259" s="10">
        <f t="shared" si="133"/>
        <v>0</v>
      </c>
      <c r="X259" s="10">
        <f t="shared" si="133"/>
        <v>0</v>
      </c>
      <c r="Y259" s="10">
        <f t="shared" si="133"/>
        <v>0</v>
      </c>
      <c r="Z259" s="10">
        <f t="shared" si="133"/>
        <v>0</v>
      </c>
      <c r="AA259" s="10">
        <f t="shared" si="133"/>
        <v>0</v>
      </c>
      <c r="AB259" s="10">
        <f t="shared" si="133"/>
        <v>0</v>
      </c>
      <c r="AD259" s="6">
        <f>IF((D256&lt;&gt;"")*(D260=""),IF((D256&lt;=$B$443)*((D257&gt;=$C$443)+(D257&lt;2/24)),1,0),0)</f>
        <v>0</v>
      </c>
      <c r="AE259" s="6">
        <f>IF((E256&lt;&gt;"")*(E260=""),IF((E256&lt;=$B$443)*((E257&gt;=$C$443)+(E257&lt;2/24)),1,0),0)</f>
        <v>0</v>
      </c>
      <c r="AF259" s="6">
        <f>IF((F256&lt;&gt;"")*(F260=""),IF((F256&lt;=$B$443)*((F257&gt;=$C$443)+(F257&lt;2/24)),1,0),0)</f>
        <v>0</v>
      </c>
      <c r="AG259" s="6">
        <f>IF((G256&lt;&gt;"")*(G260=""),IF((G256&lt;=$B$443)*((G257&gt;=$C$443)+(G257&lt;2/24)),1,0),0)</f>
        <v>0</v>
      </c>
      <c r="AH259" s="6">
        <f>IF((H256&lt;&gt;"")*(H260=""),IF((H256&lt;=$B$443)*((H257&gt;=$C$443)+(H257&lt;2/24)),1,0),0)</f>
        <v>0</v>
      </c>
      <c r="AI259" s="6">
        <f>IF((I256&lt;&gt;"")*(I260=""),IF((I256&lt;=$B$443)*((I257&gt;=$C$443)+(I257&lt;2/24)),1,0),0)</f>
        <v>0</v>
      </c>
      <c r="AJ259" s="6">
        <f>IF((J256&lt;&gt;"")*(J260=""),IF((J256&lt;=$B$443)*((J257&gt;=$C$443)+(J257&lt;2/24)),1,0),0)</f>
        <v>0</v>
      </c>
    </row>
    <row r="260" spans="1:36" ht="13.5" hidden="1" thickBot="1" x14ac:dyDescent="0.25">
      <c r="A260" s="39"/>
      <c r="B260" s="40"/>
      <c r="C260" s="32" t="s">
        <v>4</v>
      </c>
      <c r="D260" s="33"/>
      <c r="E260" s="33"/>
      <c r="F260" s="33"/>
      <c r="G260" s="33"/>
      <c r="H260" s="33"/>
      <c r="I260" s="33"/>
      <c r="J260" s="33"/>
      <c r="K260" s="17"/>
      <c r="L260" s="6"/>
      <c r="M260" s="25"/>
      <c r="N260" s="6"/>
      <c r="O260" s="6"/>
      <c r="P260" s="6"/>
      <c r="Q260" s="6"/>
      <c r="R260" s="6"/>
      <c r="S260" s="6"/>
      <c r="T260" s="6"/>
      <c r="U260" s="6"/>
      <c r="V260" s="20"/>
      <c r="W260" s="20"/>
      <c r="X260" s="20"/>
      <c r="Y260" s="20"/>
      <c r="Z260" s="20"/>
      <c r="AA260" s="20"/>
      <c r="AB260" s="20"/>
      <c r="AD260" s="6">
        <f>IF((D256&lt;&gt;"")*(D260=""),IF((D256&lt;=$B$444)*((D257&gt;=$C$444)+(D257&lt;2/24)),1,0),0)</f>
        <v>0</v>
      </c>
      <c r="AE260" s="6">
        <f>IF((E256&lt;&gt;"")*(E260=""),IF((E256&lt;=$B$444)*((E257&gt;=$C$444)+(E257&lt;2/24)),1,0),0)</f>
        <v>0</v>
      </c>
      <c r="AF260" s="6">
        <f>IF((F256&lt;&gt;"")*(F260=""),IF((F256&lt;=$B$444)*((F257&gt;=$C$444)+(F257&lt;2/24)),1,0),0)</f>
        <v>0</v>
      </c>
      <c r="AG260" s="6">
        <f>IF((G256&lt;&gt;"")*(G260=""),IF((G256&lt;=$B$444)*((G257&gt;=$C$444)+(G257&lt;2/24)),1,0),0)</f>
        <v>0</v>
      </c>
      <c r="AH260" s="6">
        <f>IF((H256&lt;&gt;"")*(H260=""),IF((H256&lt;=$B$444)*((H257&gt;=$C$444)+(H257&lt;2/24)),1,0),0)</f>
        <v>0</v>
      </c>
      <c r="AI260" s="6">
        <f>IF((I256&lt;&gt;"")*(I260=""),IF((I256&lt;=$B$444)*((I257&gt;=$C$444)+(I257&lt;2/24)),1,0),0)</f>
        <v>0</v>
      </c>
      <c r="AJ260" s="6">
        <f>IF((J256&lt;&gt;"")*(J260=""),IF((J256&lt;=$B$444)*((J257&gt;=$C$444)+(J257&lt;2/24)),1,0),0)</f>
        <v>0</v>
      </c>
    </row>
    <row r="261" spans="1:36" ht="13.5" hidden="1" thickBot="1" x14ac:dyDescent="0.25">
      <c r="A261" s="41"/>
      <c r="B261" s="42"/>
      <c r="C261" s="35" t="s">
        <v>28</v>
      </c>
      <c r="D261" s="36"/>
      <c r="E261" s="36"/>
      <c r="F261" s="36"/>
      <c r="G261" s="36"/>
      <c r="H261" s="36"/>
      <c r="I261" s="36"/>
      <c r="J261" s="36"/>
      <c r="K261" s="34"/>
      <c r="L261" s="6"/>
      <c r="M261" s="25"/>
      <c r="N261" s="6"/>
      <c r="O261" s="6"/>
      <c r="P261" s="6"/>
      <c r="Q261" s="6"/>
      <c r="R261" s="6"/>
      <c r="S261" s="6"/>
      <c r="T261" s="6"/>
      <c r="U261" s="6"/>
      <c r="V261" s="20"/>
      <c r="W261" s="20"/>
      <c r="X261" s="20"/>
      <c r="Y261" s="20"/>
      <c r="Z261" s="20"/>
      <c r="AA261" s="20"/>
      <c r="AB261" s="20"/>
      <c r="AD261" s="6"/>
      <c r="AE261" s="6"/>
      <c r="AF261" s="6"/>
      <c r="AG261" s="6"/>
      <c r="AH261" s="6"/>
      <c r="AI261" s="6"/>
      <c r="AJ261" s="6"/>
    </row>
    <row r="262" spans="1:36" x14ac:dyDescent="0.2">
      <c r="A262" s="37" t="s">
        <v>80</v>
      </c>
      <c r="B262" s="38" t="s">
        <v>81</v>
      </c>
      <c r="C262" s="14" t="s">
        <v>0</v>
      </c>
      <c r="D262" s="26"/>
      <c r="E262" s="26"/>
      <c r="F262" s="26"/>
      <c r="G262" s="26"/>
      <c r="H262" s="26"/>
      <c r="I262" s="26"/>
      <c r="J262" s="26">
        <v>0.77083333333333337</v>
      </c>
      <c r="K262" s="16"/>
      <c r="L262" s="6"/>
      <c r="M262" s="21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D262" s="6">
        <f>IF((D262&lt;&gt;"")*(D266=""),IF((D262&lt;=$B$434)*((D263&gt;=$C$434)+(D263&lt;2/24)),1,0),0)</f>
        <v>0</v>
      </c>
      <c r="AE262" s="6">
        <f>IF((E262&lt;&gt;"")*(E266=""),IF((E262&lt;=$B$434)*((E263&gt;=$C$434)+(E263&lt;2/24)),1,0),0)</f>
        <v>0</v>
      </c>
      <c r="AF262" s="6">
        <f>IF((F262&lt;&gt;"")*(F266=""),IF((F262&lt;=$B$434)*((F263&gt;=$C$434)+(F263&lt;2/24)),1,0),0)</f>
        <v>0</v>
      </c>
      <c r="AG262" s="6">
        <f>IF((G262&lt;&gt;"")*(G266=""),IF((G262&lt;=$B$434)*((G263&gt;=$C$434)+(G263&lt;2/24)),1,0),0)</f>
        <v>0</v>
      </c>
      <c r="AH262" s="6">
        <f>IF((H262&lt;&gt;"")*(H266=""),IF((H262&lt;=$B$434)*((H263&gt;=$C$434)+(H263&lt;2/24)),1,0),0)</f>
        <v>0</v>
      </c>
      <c r="AI262" s="6">
        <f>IF((I262&lt;&gt;"")*(I266=""),IF((I262&lt;=$B$434)*((I263&gt;=$C$434)+(I263&lt;2/24)),1,0),0)</f>
        <v>0</v>
      </c>
      <c r="AJ262" s="6">
        <f>IF((J262&lt;&gt;"")*(J266=""),IF((J262&lt;=$B$434)*((J263&gt;=$C$434)+(J263&lt;2/24)),1,0),0)</f>
        <v>0</v>
      </c>
    </row>
    <row r="263" spans="1:36" x14ac:dyDescent="0.2">
      <c r="A263" s="39"/>
      <c r="B263" s="40"/>
      <c r="C263" s="15" t="s">
        <v>1</v>
      </c>
      <c r="D263" s="27"/>
      <c r="E263" s="27"/>
      <c r="F263" s="27"/>
      <c r="G263" s="27"/>
      <c r="H263" s="27"/>
      <c r="I263" s="27"/>
      <c r="J263" s="27">
        <v>0.95833333333333337</v>
      </c>
      <c r="K263" s="17"/>
      <c r="L263" s="6"/>
      <c r="M263" s="21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D263" s="6">
        <f>IF((D262&lt;&gt;"")*(D266=""),IF((D262&lt;=$B$435)*((D263&gt;=$C$435)+(D263&lt;2/24)),1,0),0)</f>
        <v>0</v>
      </c>
      <c r="AE263" s="6">
        <f>IF((E262&lt;&gt;"")*(E266=""),IF((E262&lt;=$B$435)*((E263&gt;=$C$435)+(E263&lt;2/24)),1,0),0)</f>
        <v>0</v>
      </c>
      <c r="AF263" s="6">
        <f>IF((F262&lt;&gt;"")*(F266=""),IF((F262&lt;=$B$435)*((F263&gt;=$C$435)+(F263&lt;2/24)),1,0),0)</f>
        <v>0</v>
      </c>
      <c r="AG263" s="6">
        <f>IF((G262&lt;&gt;"")*(G266=""),IF((G262&lt;=$B$435)*((G263&gt;=$C$435)+(G263&lt;2/24)),1,0),0)</f>
        <v>0</v>
      </c>
      <c r="AH263" s="6">
        <f>IF((H262&lt;&gt;"")*(H266=""),IF((H262&lt;=$B$435)*((H263&gt;=$C$435)+(H263&lt;2/24)),1,0),0)</f>
        <v>0</v>
      </c>
      <c r="AI263" s="6">
        <f>IF((I262&lt;&gt;"")*(I266=""),IF((I262&lt;=$B$435)*((I263&gt;=$C$435)+(I263&lt;2/24)),1,0),0)</f>
        <v>0</v>
      </c>
      <c r="AJ263" s="6">
        <f>IF((J262&lt;&gt;"")*(J266=""),IF((J262&lt;=$B$435)*((J263&gt;=$C$435)+(J263&lt;2/24)),1,0),0)</f>
        <v>0</v>
      </c>
    </row>
    <row r="264" spans="1:36" x14ac:dyDescent="0.2">
      <c r="A264" s="39"/>
      <c r="B264" s="40"/>
      <c r="C264" s="15" t="s">
        <v>2</v>
      </c>
      <c r="D264" s="4"/>
      <c r="E264" s="4"/>
      <c r="F264" s="4"/>
      <c r="G264" s="4"/>
      <c r="H264" s="4"/>
      <c r="I264" s="4"/>
      <c r="J264" s="4"/>
      <c r="K264" s="17"/>
      <c r="L264" s="6"/>
      <c r="M264" s="21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D264" s="6">
        <f>IF((D262&lt;&gt;"")*(D266=""),IF((D262&lt;=$B$436)*((D263&gt;=$C$436)+(D263&lt;2/24)),1,0),0)</f>
        <v>0</v>
      </c>
      <c r="AE264" s="6">
        <f>IF((E262&lt;&gt;"")*(E266=""),IF((E262&lt;=$B$436)*((E263&gt;=$C$436)+(E263&lt;2/24)),1,0),0)</f>
        <v>0</v>
      </c>
      <c r="AF264" s="6">
        <f>IF((F262&lt;&gt;"")*(F266=""),IF((F262&lt;=$B$436)*((F263&gt;=$C$436)+(F263&lt;2/24)),1,0),0)</f>
        <v>0</v>
      </c>
      <c r="AG264" s="6">
        <f>IF((G262&lt;&gt;"")*(G266=""),IF((G262&lt;=$B$436)*((G263&gt;=$C$436)+(G263&lt;2/24)),1,0),0)</f>
        <v>0</v>
      </c>
      <c r="AH264" s="6">
        <f>IF((H262&lt;&gt;"")*(H266=""),IF((H262&lt;=$B$436)*((H263&gt;=$C$436)+(H263&lt;2/24)),1,0),0)</f>
        <v>0</v>
      </c>
      <c r="AI264" s="6">
        <f>IF((I262&lt;&gt;"")*(I266=""),IF((I262&lt;=$B$436)*((I263&gt;=$C$436)+(I263&lt;2/24)),1,0),0)</f>
        <v>0</v>
      </c>
      <c r="AJ264" s="6">
        <f>IF((J262&lt;&gt;"")*(J266=""),IF((J262&lt;=$B$436)*((J263&gt;=$C$436)+(J263&lt;2/24)),1,0),0)</f>
        <v>0</v>
      </c>
    </row>
    <row r="265" spans="1:36" x14ac:dyDescent="0.2">
      <c r="A265" s="39"/>
      <c r="B265" s="40"/>
      <c r="C265" s="15" t="s">
        <v>3</v>
      </c>
      <c r="D265" s="43" t="str">
        <f t="shared" ref="D265:J265" si="134">IF(D262="","",IF(D263&gt;D262,(D263-D262-D264)*24,(1-D262-D264+D263)*24))</f>
        <v/>
      </c>
      <c r="E265" s="43" t="str">
        <f t="shared" si="134"/>
        <v/>
      </c>
      <c r="F265" s="43" t="str">
        <f t="shared" si="134"/>
        <v/>
      </c>
      <c r="G265" s="43" t="str">
        <f t="shared" si="134"/>
        <v/>
      </c>
      <c r="H265" s="43" t="str">
        <f t="shared" si="134"/>
        <v/>
      </c>
      <c r="I265" s="43" t="str">
        <f t="shared" si="134"/>
        <v/>
      </c>
      <c r="J265" s="44">
        <f t="shared" si="134"/>
        <v>4.5</v>
      </c>
      <c r="K265" s="18">
        <f>SUMIF(D266:J266,"",D265:J265)</f>
        <v>4.5</v>
      </c>
      <c r="L265" s="12">
        <f>SUM(D265:J265)</f>
        <v>4.5</v>
      </c>
      <c r="M265" s="24"/>
      <c r="N265" s="10" t="str">
        <f t="shared" ref="N265" si="135">IF(D266="",D265,0)</f>
        <v/>
      </c>
      <c r="O265" s="10" t="str">
        <f t="shared" ref="O265" si="136">IF(E266="",E265,0)</f>
        <v/>
      </c>
      <c r="P265" s="10" t="str">
        <f t="shared" ref="P265" si="137">IF(F266="",F265,0)</f>
        <v/>
      </c>
      <c r="Q265" s="10" t="str">
        <f t="shared" ref="Q265" si="138">IF(G266="",G265,0)</f>
        <v/>
      </c>
      <c r="R265" s="10" t="str">
        <f t="shared" ref="R265" si="139">IF(H266="",H265,0)</f>
        <v/>
      </c>
      <c r="S265" s="10" t="str">
        <f t="shared" ref="S265" si="140">IF(I266="",I265,0)</f>
        <v/>
      </c>
      <c r="T265" s="10">
        <f t="shared" ref="T265" si="141">IF(J266="",J265,0)</f>
        <v>4.5</v>
      </c>
      <c r="U265" s="10"/>
      <c r="V265" s="10" t="str">
        <f t="shared" ref="V265" si="142">D265</f>
        <v/>
      </c>
      <c r="W265" s="10" t="str">
        <f t="shared" ref="W265" si="143">E265</f>
        <v/>
      </c>
      <c r="X265" s="10" t="str">
        <f t="shared" ref="X265" si="144">F265</f>
        <v/>
      </c>
      <c r="Y265" s="10" t="str">
        <f t="shared" ref="Y265" si="145">G265</f>
        <v/>
      </c>
      <c r="Z265" s="10" t="str">
        <f t="shared" ref="Z265" si="146">H265</f>
        <v/>
      </c>
      <c r="AA265" s="10" t="str">
        <f t="shared" ref="AA265" si="147">I265</f>
        <v/>
      </c>
      <c r="AB265" s="10">
        <f t="shared" ref="AB265" si="148">J265</f>
        <v>4.5</v>
      </c>
      <c r="AD265" s="6">
        <f>IF((D262&lt;&gt;"")*(D266=""),IF((D262&lt;=$B$437)*((D263&gt;=$C$437)+(D263&lt;2/24)),1,0),0)</f>
        <v>0</v>
      </c>
      <c r="AE265" s="6">
        <f>IF((E262&lt;&gt;"")*(E266=""),IF((E262&lt;=$B$437)*((E263&gt;=$C$437)+(E263&lt;2/24)),1,0),0)</f>
        <v>0</v>
      </c>
      <c r="AF265" s="6">
        <f>IF((F262&lt;&gt;"")*(F266=""),IF((F262&lt;=$B$437)*((F263&gt;=$C$437)+(F263&lt;2/24)),1,0),0)</f>
        <v>0</v>
      </c>
      <c r="AG265" s="6">
        <f>IF((G262&lt;&gt;"")*(G266=""),IF((G262&lt;=$B$437)*((G263&gt;=$C$437)+(G263&lt;2/24)),1,0),0)</f>
        <v>0</v>
      </c>
      <c r="AH265" s="6">
        <f>IF((H262&lt;&gt;"")*(H266=""),IF((H262&lt;=$B$437)*((H263&gt;=$C$437)+(H263&lt;2/24)),1,0),0)</f>
        <v>0</v>
      </c>
      <c r="AI265" s="6">
        <f>IF((I262&lt;&gt;"")*(I266=""),IF((I262&lt;=$B$437)*((I263&gt;=$C$437)+(I263&lt;2/24)),1,0),0)</f>
        <v>0</v>
      </c>
      <c r="AJ265" s="6">
        <f>IF((J262&lt;&gt;"")*(J266=""),IF((J262&lt;=$B$437)*((J263&gt;=$C$437)+(J263&lt;2/24)),1,0),0)</f>
        <v>0</v>
      </c>
    </row>
    <row r="266" spans="1:36" x14ac:dyDescent="0.2">
      <c r="A266" s="39"/>
      <c r="B266" s="40"/>
      <c r="C266" s="32" t="s">
        <v>4</v>
      </c>
      <c r="D266" s="33"/>
      <c r="E266" s="33"/>
      <c r="F266" s="33"/>
      <c r="G266" s="33"/>
      <c r="H266" s="33"/>
      <c r="I266" s="33"/>
      <c r="J266" s="33"/>
      <c r="K266" s="17"/>
      <c r="L266" s="6"/>
      <c r="M266" s="25"/>
      <c r="N266" s="6"/>
      <c r="O266" s="6"/>
      <c r="P266" s="6"/>
      <c r="Q266" s="6"/>
      <c r="R266" s="6"/>
      <c r="S266" s="6"/>
      <c r="T266" s="6"/>
      <c r="U266" s="6"/>
      <c r="V266" s="20"/>
      <c r="W266" s="20"/>
      <c r="X266" s="20"/>
      <c r="Y266" s="20"/>
      <c r="Z266" s="20"/>
      <c r="AA266" s="20"/>
      <c r="AB266" s="20"/>
      <c r="AD266" s="6">
        <f>IF((D262&lt;&gt;"")*(D266=""),IF((D262&lt;=$B$438)*((D263&gt;=$C$438)+(D263&lt;2/24)),1,0),0)</f>
        <v>0</v>
      </c>
      <c r="AE266" s="6">
        <f>IF((E262&lt;&gt;"")*(E266=""),IF((E262&lt;=$B$438)*((E263&gt;=$C$438)+(E263&lt;2/24)),1,0),0)</f>
        <v>0</v>
      </c>
      <c r="AF266" s="6">
        <f>IF((F262&lt;&gt;"")*(F266=""),IF((F262&lt;=$B$438)*((F263&gt;=$C$438)+(F263&lt;2/24)),1,0),0)</f>
        <v>0</v>
      </c>
      <c r="AG266" s="6">
        <f>IF((G262&lt;&gt;"")*(G266=""),IF((G262&lt;=$B$438)*((G263&gt;=$C$438)+(G263&lt;2/24)),1,0),0)</f>
        <v>0</v>
      </c>
      <c r="AH266" s="6">
        <f>IF((H262&lt;&gt;"")*(H266=""),IF((H262&lt;=$B$438)*((H263&gt;=$C$438)+(H263&lt;2/24)),1,0),0)</f>
        <v>0</v>
      </c>
      <c r="AI266" s="6">
        <f>IF((I262&lt;&gt;"")*(I266=""),IF((I262&lt;=$B$438)*((I263&gt;=$C$438)+(I263&lt;2/24)),1,0),0)</f>
        <v>0</v>
      </c>
      <c r="AJ266" s="6">
        <f>IF((J262&lt;&gt;"")*(J266=""),IF((J262&lt;=$B$438)*((J263&gt;=$C$438)+(J263&lt;2/24)),1,0),0)</f>
        <v>0</v>
      </c>
    </row>
    <row r="267" spans="1:36" ht="13.5" thickBot="1" x14ac:dyDescent="0.25">
      <c r="A267" s="41"/>
      <c r="B267" s="42"/>
      <c r="C267" s="35" t="s">
        <v>28</v>
      </c>
      <c r="D267" s="36"/>
      <c r="E267" s="36"/>
      <c r="F267" s="36"/>
      <c r="G267" s="36"/>
      <c r="H267" s="36"/>
      <c r="I267" s="36"/>
      <c r="J267" s="36"/>
      <c r="K267" s="34"/>
      <c r="L267" s="6"/>
      <c r="M267" s="25"/>
      <c r="N267" s="6"/>
      <c r="O267" s="6"/>
      <c r="P267" s="6"/>
      <c r="Q267" s="6"/>
      <c r="R267" s="6"/>
      <c r="S267" s="6"/>
      <c r="T267" s="6"/>
      <c r="U267" s="6"/>
      <c r="V267" s="20"/>
      <c r="W267" s="20"/>
      <c r="X267" s="20"/>
      <c r="Y267" s="20"/>
      <c r="Z267" s="20"/>
      <c r="AA267" s="20"/>
      <c r="AB267" s="20"/>
      <c r="AD267" s="6"/>
      <c r="AE267" s="6"/>
      <c r="AF267" s="6"/>
      <c r="AG267" s="6"/>
      <c r="AH267" s="6"/>
      <c r="AI267" s="6"/>
      <c r="AJ267" s="6"/>
    </row>
    <row r="268" spans="1:36" x14ac:dyDescent="0.2">
      <c r="A268" s="37" t="s">
        <v>53</v>
      </c>
      <c r="B268" s="38" t="s">
        <v>54</v>
      </c>
      <c r="C268" s="14" t="s">
        <v>0</v>
      </c>
      <c r="D268" s="26"/>
      <c r="E268" s="26">
        <v>0.54166666666666663</v>
      </c>
      <c r="F268" s="26"/>
      <c r="G268" s="26"/>
      <c r="H268" s="26"/>
      <c r="I268" s="26"/>
      <c r="J268" s="26"/>
      <c r="K268" s="16"/>
      <c r="L268" s="6"/>
      <c r="M268" s="21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D268" s="6">
        <f>IF((D268&lt;&gt;"")*(D272=""),IF((D268&lt;=$B$440)*((D269&gt;=$C$440)+(D269&lt;2/24)),1,0),0)</f>
        <v>0</v>
      </c>
      <c r="AE268" s="6">
        <f>IF((E268&lt;&gt;"")*(E272=""),IF((E268&lt;=$B$440)*((E269&gt;=$C$440)+(E269&lt;2/24)),1,0),0)</f>
        <v>0</v>
      </c>
      <c r="AF268" s="6">
        <f>IF((F268&lt;&gt;"")*(F272=""),IF((F268&lt;=$B$440)*((F269&gt;=$C$440)+(F269&lt;2/24)),1,0),0)</f>
        <v>0</v>
      </c>
      <c r="AG268" s="6">
        <f>IF((G268&lt;&gt;"")*(G272=""),IF((G268&lt;=$B$440)*((G269&gt;=$C$440)+(G269&lt;2/24)),1,0),0)</f>
        <v>0</v>
      </c>
      <c r="AH268" s="6">
        <f>IF((H268&lt;&gt;"")*(H272=""),IF((H268&lt;=$B$440)*((H269&gt;=$C$440)+(H269&lt;2/24)),1,0),0)</f>
        <v>0</v>
      </c>
      <c r="AI268" s="6">
        <f>IF((I268&lt;&gt;"")*(I272=""),IF((I268&lt;=$B$440)*((I269&gt;=$C$440)+(I269&lt;2/24)),1,0),0)</f>
        <v>0</v>
      </c>
      <c r="AJ268" s="6">
        <f>IF((J268&lt;&gt;"")*(J272=""),IF((J268&lt;=$B$440)*((J269&gt;=$C$440)+(J269&lt;2/24)),1,0),0)</f>
        <v>0</v>
      </c>
    </row>
    <row r="269" spans="1:36" x14ac:dyDescent="0.2">
      <c r="A269" s="39"/>
      <c r="B269" s="40"/>
      <c r="C269" s="15" t="s">
        <v>1</v>
      </c>
      <c r="D269" s="27"/>
      <c r="E269" s="27">
        <v>0.75</v>
      </c>
      <c r="F269" s="27"/>
      <c r="G269" s="27"/>
      <c r="H269" s="27"/>
      <c r="I269" s="27"/>
      <c r="J269" s="27"/>
      <c r="K269" s="17"/>
      <c r="L269" s="6"/>
      <c r="M269" s="21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D269" s="6">
        <f>IF((D268&lt;&gt;"")*(D272=""),IF((D268&lt;=$B$441)*((D269&gt;=$C$441)+(D269&lt;2/24)),1,0),0)</f>
        <v>0</v>
      </c>
      <c r="AE269" s="6">
        <f>IF((E268&lt;&gt;"")*(E272=""),IF((E268&lt;=$B$441)*((E269&gt;=$C$441)+(E269&lt;2/24)),1,0),0)</f>
        <v>1</v>
      </c>
      <c r="AF269" s="6">
        <f>IF((F268&lt;&gt;"")*(F272=""),IF((F268&lt;=$B$441)*((F269&gt;=$C$441)+(F269&lt;2/24)),1,0),0)</f>
        <v>0</v>
      </c>
      <c r="AG269" s="6">
        <f>IF((G268&lt;&gt;"")*(G272=""),IF((G268&lt;=$B$441)*((G269&gt;=$C$441)+(G269&lt;2/24)),1,0),0)</f>
        <v>0</v>
      </c>
      <c r="AH269" s="6">
        <f>IF((H268&lt;&gt;"")*(H272=""),IF((H268&lt;=$B$441)*((H269&gt;=$C$441)+(H269&lt;2/24)),1,0),0)</f>
        <v>0</v>
      </c>
      <c r="AI269" s="6">
        <f>IF((I268&lt;&gt;"")*(I272=""),IF((I268&lt;=$B$441)*((I269&gt;=$C$441)+(I269&lt;2/24)),1,0),0)</f>
        <v>0</v>
      </c>
      <c r="AJ269" s="6">
        <f>IF((J268&lt;&gt;"")*(J272=""),IF((J268&lt;=$B$441)*((J269&gt;=$C$441)+(J269&lt;2/24)),1,0),0)</f>
        <v>0</v>
      </c>
    </row>
    <row r="270" spans="1:36" x14ac:dyDescent="0.2">
      <c r="A270" s="39"/>
      <c r="B270" s="40"/>
      <c r="C270" s="15" t="s">
        <v>2</v>
      </c>
      <c r="D270" s="4"/>
      <c r="E270" s="4"/>
      <c r="F270" s="4"/>
      <c r="G270" s="4"/>
      <c r="H270" s="4"/>
      <c r="I270" s="4"/>
      <c r="J270" s="4"/>
      <c r="K270" s="17"/>
      <c r="L270" s="6"/>
      <c r="M270" s="21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D270" s="6">
        <f>IF((D268&lt;&gt;"")*(D272=""),IF((D268&lt;=$B$442)*((D269&gt;=$C$442)+(D269&lt;2/24)),1,0),0)</f>
        <v>0</v>
      </c>
      <c r="AE270" s="6">
        <f>IF((E268&lt;&gt;"")*(E272=""),IF((E268&lt;=$B$442)*((E269&gt;=$C$442)+(E269&lt;2/24)),1,0),0)</f>
        <v>1</v>
      </c>
      <c r="AF270" s="6">
        <f>IF((F268&lt;&gt;"")*(F272=""),IF((F268&lt;=$B$442)*((F269&gt;=$C$442)+(F269&lt;2/24)),1,0),0)</f>
        <v>0</v>
      </c>
      <c r="AG270" s="6">
        <f>IF((G268&lt;&gt;"")*(G272=""),IF((G268&lt;=$B$442)*((G269&gt;=$C$442)+(G269&lt;2/24)),1,0),0)</f>
        <v>0</v>
      </c>
      <c r="AH270" s="6">
        <f>IF((H268&lt;&gt;"")*(H272=""),IF((H268&lt;=$B$442)*((H269&gt;=$C$442)+(H269&lt;2/24)),1,0),0)</f>
        <v>0</v>
      </c>
      <c r="AI270" s="6">
        <f>IF((I268&lt;&gt;"")*(I272=""),IF((I268&lt;=$B$442)*((I269&gt;=$C$442)+(I269&lt;2/24)),1,0),0)</f>
        <v>0</v>
      </c>
      <c r="AJ270" s="6">
        <f>IF((J268&lt;&gt;"")*(J272=""),IF((J268&lt;=$B$442)*((J269&gt;=$C$442)+(J269&lt;2/24)),1,0),0)</f>
        <v>0</v>
      </c>
    </row>
    <row r="271" spans="1:36" x14ac:dyDescent="0.2">
      <c r="A271" s="39"/>
      <c r="B271" s="40"/>
      <c r="C271" s="15" t="s">
        <v>3</v>
      </c>
      <c r="D271" s="43" t="str">
        <f t="shared" ref="D271:J271" si="149">IF(D268="","",IF(D269&gt;D268,(D269-D268-D270)*24,(1-D268-D270+D269)*24))</f>
        <v/>
      </c>
      <c r="E271" s="43">
        <f t="shared" si="149"/>
        <v>5.0000000000000009</v>
      </c>
      <c r="F271" s="43" t="str">
        <f t="shared" si="149"/>
        <v/>
      </c>
      <c r="G271" s="43" t="str">
        <f t="shared" si="149"/>
        <v/>
      </c>
      <c r="H271" s="43" t="str">
        <f t="shared" si="149"/>
        <v/>
      </c>
      <c r="I271" s="43" t="str">
        <f t="shared" si="149"/>
        <v/>
      </c>
      <c r="J271" s="44" t="str">
        <f t="shared" si="149"/>
        <v/>
      </c>
      <c r="K271" s="18">
        <f>SUMIF(D272:J272,"",D271:J271)</f>
        <v>5.0000000000000009</v>
      </c>
      <c r="L271" s="12">
        <f>SUM(D271:J271)</f>
        <v>5.0000000000000009</v>
      </c>
      <c r="M271" s="24"/>
      <c r="N271" s="10" t="str">
        <f t="shared" ref="N271:T271" si="150">IF(D272="",D271,0)</f>
        <v/>
      </c>
      <c r="O271" s="10">
        <f t="shared" si="150"/>
        <v>5.0000000000000009</v>
      </c>
      <c r="P271" s="10" t="str">
        <f t="shared" si="150"/>
        <v/>
      </c>
      <c r="Q271" s="10" t="str">
        <f t="shared" si="150"/>
        <v/>
      </c>
      <c r="R271" s="10" t="str">
        <f t="shared" si="150"/>
        <v/>
      </c>
      <c r="S271" s="10" t="str">
        <f t="shared" si="150"/>
        <v/>
      </c>
      <c r="T271" s="10" t="str">
        <f t="shared" si="150"/>
        <v/>
      </c>
      <c r="U271" s="10"/>
      <c r="V271" s="10" t="str">
        <f t="shared" ref="V271:AB271" si="151">D271</f>
        <v/>
      </c>
      <c r="W271" s="10">
        <f t="shared" si="151"/>
        <v>5.0000000000000009</v>
      </c>
      <c r="X271" s="10" t="str">
        <f t="shared" si="151"/>
        <v/>
      </c>
      <c r="Y271" s="10" t="str">
        <f t="shared" si="151"/>
        <v/>
      </c>
      <c r="Z271" s="10" t="str">
        <f t="shared" si="151"/>
        <v/>
      </c>
      <c r="AA271" s="10" t="str">
        <f t="shared" si="151"/>
        <v/>
      </c>
      <c r="AB271" s="10" t="str">
        <f t="shared" si="151"/>
        <v/>
      </c>
      <c r="AD271" s="6">
        <f>IF((D268&lt;&gt;"")*(D272=""),IF((D268&lt;=$B$443)*((D269&gt;=$C$443)+(D269&lt;2/24)),1,0),0)</f>
        <v>0</v>
      </c>
      <c r="AE271" s="6">
        <f>IF((E268&lt;&gt;"")*(E272=""),IF((E268&lt;=$B$443)*((E269&gt;=$C$443)+(E269&lt;2/24)),1,0),0)</f>
        <v>0</v>
      </c>
      <c r="AF271" s="6">
        <f>IF((F268&lt;&gt;"")*(F272=""),IF((F268&lt;=$B$443)*((F269&gt;=$C$443)+(F269&lt;2/24)),1,0),0)</f>
        <v>0</v>
      </c>
      <c r="AG271" s="6">
        <f>IF((G268&lt;&gt;"")*(G272=""),IF((G268&lt;=$B$443)*((G269&gt;=$C$443)+(G269&lt;2/24)),1,0),0)</f>
        <v>0</v>
      </c>
      <c r="AH271" s="6">
        <f>IF((H268&lt;&gt;"")*(H272=""),IF((H268&lt;=$B$443)*((H269&gt;=$C$443)+(H269&lt;2/24)),1,0),0)</f>
        <v>0</v>
      </c>
      <c r="AI271" s="6">
        <f>IF((I268&lt;&gt;"")*(I272=""),IF((I268&lt;=$B$443)*((I269&gt;=$C$443)+(I269&lt;2/24)),1,0),0)</f>
        <v>0</v>
      </c>
      <c r="AJ271" s="6">
        <f>IF((J268&lt;&gt;"")*(J272=""),IF((J268&lt;=$B$443)*((J269&gt;=$C$443)+(J269&lt;2/24)),1,0),0)</f>
        <v>0</v>
      </c>
    </row>
    <row r="272" spans="1:36" x14ac:dyDescent="0.2">
      <c r="A272" s="39"/>
      <c r="B272" s="40"/>
      <c r="C272" s="32" t="s">
        <v>4</v>
      </c>
      <c r="D272" s="33"/>
      <c r="E272" s="33"/>
      <c r="F272" s="33"/>
      <c r="G272" s="33"/>
      <c r="H272" s="33"/>
      <c r="I272" s="33"/>
      <c r="J272" s="33"/>
      <c r="K272" s="17"/>
      <c r="L272" s="6"/>
      <c r="M272" s="25"/>
      <c r="N272" s="6"/>
      <c r="O272" s="6"/>
      <c r="P272" s="6"/>
      <c r="Q272" s="6"/>
      <c r="R272" s="6"/>
      <c r="S272" s="6"/>
      <c r="T272" s="6"/>
      <c r="U272" s="6"/>
      <c r="V272" s="20"/>
      <c r="W272" s="20"/>
      <c r="X272" s="20"/>
      <c r="Y272" s="20"/>
      <c r="Z272" s="20"/>
      <c r="AA272" s="20"/>
      <c r="AB272" s="20"/>
      <c r="AD272" s="6">
        <f>IF((D268&lt;&gt;"")*(D272=""),IF((D268&lt;=$B$444)*((D269&gt;=$C$444)+(D269&lt;2/24)),1,0),0)</f>
        <v>0</v>
      </c>
      <c r="AE272" s="6">
        <f>IF((E268&lt;&gt;"")*(E272=""),IF((E268&lt;=$B$444)*((E269&gt;=$C$444)+(E269&lt;2/24)),1,0),0)</f>
        <v>0</v>
      </c>
      <c r="AF272" s="6">
        <f>IF((F268&lt;&gt;"")*(F272=""),IF((F268&lt;=$B$444)*((F269&gt;=$C$444)+(F269&lt;2/24)),1,0),0)</f>
        <v>0</v>
      </c>
      <c r="AG272" s="6">
        <f>IF((G268&lt;&gt;"")*(G272=""),IF((G268&lt;=$B$444)*((G269&gt;=$C$444)+(G269&lt;2/24)),1,0),0)</f>
        <v>0</v>
      </c>
      <c r="AH272" s="6">
        <f>IF((H268&lt;&gt;"")*(H272=""),IF((H268&lt;=$B$444)*((H269&gt;=$C$444)+(H269&lt;2/24)),1,0),0)</f>
        <v>0</v>
      </c>
      <c r="AI272" s="6">
        <f>IF((I268&lt;&gt;"")*(I272=""),IF((I268&lt;=$B$444)*((I269&gt;=$C$444)+(I269&lt;2/24)),1,0),0)</f>
        <v>0</v>
      </c>
      <c r="AJ272" s="6">
        <f>IF((J268&lt;&gt;"")*(J272=""),IF((J268&lt;=$B$444)*((J269&gt;=$C$444)+(J269&lt;2/24)),1,0),0)</f>
        <v>0</v>
      </c>
    </row>
    <row r="273" spans="1:36" ht="13.5" thickBot="1" x14ac:dyDescent="0.25">
      <c r="A273" s="41"/>
      <c r="B273" s="42"/>
      <c r="C273" s="35" t="s">
        <v>28</v>
      </c>
      <c r="D273" s="36"/>
      <c r="E273" s="36"/>
      <c r="F273" s="36"/>
      <c r="G273" s="36"/>
      <c r="H273" s="36"/>
      <c r="I273" s="36"/>
      <c r="J273" s="36"/>
      <c r="K273" s="34"/>
      <c r="L273" s="6"/>
      <c r="M273" s="25"/>
      <c r="N273" s="6"/>
      <c r="O273" s="6"/>
      <c r="P273" s="6"/>
      <c r="Q273" s="6"/>
      <c r="R273" s="6"/>
      <c r="S273" s="6"/>
      <c r="T273" s="6"/>
      <c r="U273" s="6"/>
      <c r="V273" s="20"/>
      <c r="W273" s="20"/>
      <c r="X273" s="20"/>
      <c r="Y273" s="20"/>
      <c r="Z273" s="20"/>
      <c r="AA273" s="20"/>
      <c r="AB273" s="20"/>
      <c r="AD273" s="6"/>
      <c r="AE273" s="6"/>
      <c r="AF273" s="6"/>
      <c r="AG273" s="6"/>
      <c r="AH273" s="6"/>
      <c r="AI273" s="6"/>
      <c r="AJ273" s="6"/>
    </row>
    <row r="274" spans="1:36" x14ac:dyDescent="0.2">
      <c r="A274" s="37" t="s">
        <v>84</v>
      </c>
      <c r="B274" s="38" t="s">
        <v>85</v>
      </c>
      <c r="C274" s="14" t="s">
        <v>0</v>
      </c>
      <c r="D274" s="26"/>
      <c r="E274" s="26"/>
      <c r="F274" s="26"/>
      <c r="G274" s="26">
        <v>0.54166666666666663</v>
      </c>
      <c r="H274" s="26">
        <v>0.54166666666666663</v>
      </c>
      <c r="I274" s="26"/>
      <c r="J274" s="26"/>
      <c r="K274" s="16"/>
      <c r="L274" s="6"/>
      <c r="M274" s="21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D274" s="6">
        <f>IF((D274&lt;&gt;"")*(D278=""),IF((D274&lt;=#REF!)*((D275&gt;=#REF!)+(D275&lt;2/24)),1,0),0)</f>
        <v>0</v>
      </c>
      <c r="AE274" s="6">
        <f>IF((E274&lt;&gt;"")*(E278=""),IF((E274&lt;=#REF!)*((E275&gt;=#REF!)+(E275&lt;2/24)),1,0),0)</f>
        <v>0</v>
      </c>
      <c r="AF274" s="6">
        <f>IF((F274&lt;&gt;"")*(F278=""),IF((F274&lt;=#REF!)*((F275&gt;=#REF!)+(F275&lt;2/24)),1,0),0)</f>
        <v>0</v>
      </c>
      <c r="AG274" s="6" t="e">
        <f>IF((G274&lt;&gt;"")*(G278=""),IF((G274&lt;=#REF!)*((G275&gt;=#REF!)+(G275&lt;2/24)),1,0),0)</f>
        <v>#REF!</v>
      </c>
      <c r="AH274" s="6" t="e">
        <f>IF((H274&lt;&gt;"")*(H278=""),IF((H274&lt;=#REF!)*((H275&gt;=#REF!)+(H275&lt;2/24)),1,0),0)</f>
        <v>#REF!</v>
      </c>
      <c r="AI274" s="6">
        <f>IF((I274&lt;&gt;"")*(I278=""),IF((I274&lt;=#REF!)*((I275&gt;=#REF!)+(I275&lt;2/24)),1,0),0)</f>
        <v>0</v>
      </c>
      <c r="AJ274" s="6">
        <f>IF((J274&lt;&gt;"")*(J278=""),IF((J274&lt;=#REF!)*((J275&gt;=#REF!)+(J275&lt;2/24)),1,0),0)</f>
        <v>0</v>
      </c>
    </row>
    <row r="275" spans="1:36" x14ac:dyDescent="0.2">
      <c r="A275" s="39"/>
      <c r="B275" s="40"/>
      <c r="C275" s="15" t="s">
        <v>1</v>
      </c>
      <c r="D275" s="27"/>
      <c r="E275" s="27"/>
      <c r="F275" s="27"/>
      <c r="G275" s="27">
        <v>0.95833333333333337</v>
      </c>
      <c r="H275" s="27">
        <v>0.75</v>
      </c>
      <c r="I275" s="27"/>
      <c r="J275" s="27"/>
      <c r="K275" s="17"/>
      <c r="L275" s="6"/>
      <c r="M275" s="21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D275" s="6">
        <f>IF((D274&lt;&gt;"")*(D278=""),IF((D274&lt;=#REF!)*((D275&gt;=#REF!)+(D275&lt;2/24)),1,0),0)</f>
        <v>0</v>
      </c>
      <c r="AE275" s="6">
        <f>IF((E274&lt;&gt;"")*(E278=""),IF((E274&lt;=#REF!)*((E275&gt;=#REF!)+(E275&lt;2/24)),1,0),0)</f>
        <v>0</v>
      </c>
      <c r="AF275" s="6">
        <f>IF((F274&lt;&gt;"")*(F278=""),IF((F274&lt;=#REF!)*((F275&gt;=#REF!)+(F275&lt;2/24)),1,0),0)</f>
        <v>0</v>
      </c>
      <c r="AG275" s="6" t="e">
        <f>IF((G274&lt;&gt;"")*(G278=""),IF((G274&lt;=#REF!)*((G275&gt;=#REF!)+(G275&lt;2/24)),1,0),0)</f>
        <v>#REF!</v>
      </c>
      <c r="AH275" s="6" t="e">
        <f>IF((H274&lt;&gt;"")*(H278=""),IF((H274&lt;=#REF!)*((H275&gt;=#REF!)+(H275&lt;2/24)),1,0),0)</f>
        <v>#REF!</v>
      </c>
      <c r="AI275" s="6">
        <f>IF((I274&lt;&gt;"")*(I278=""),IF((I274&lt;=#REF!)*((I275&gt;=#REF!)+(I275&lt;2/24)),1,0),0)</f>
        <v>0</v>
      </c>
      <c r="AJ275" s="6">
        <f>IF((J274&lt;&gt;"")*(J278=""),IF((J274&lt;=#REF!)*((J275&gt;=#REF!)+(J275&lt;2/24)),1,0),0)</f>
        <v>0</v>
      </c>
    </row>
    <row r="276" spans="1:36" x14ac:dyDescent="0.2">
      <c r="A276" s="39"/>
      <c r="B276" s="40"/>
      <c r="C276" s="15" t="s">
        <v>2</v>
      </c>
      <c r="D276" s="4"/>
      <c r="E276" s="4"/>
      <c r="F276" s="4"/>
      <c r="G276" s="58">
        <v>4.1666666666666664E-2</v>
      </c>
      <c r="H276" s="4"/>
      <c r="I276" s="4"/>
      <c r="J276" s="4"/>
      <c r="K276" s="17"/>
      <c r="L276" s="6"/>
      <c r="M276" s="21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D276" s="6">
        <f>IF((D274&lt;&gt;"")*(D278=""),IF((D274&lt;=#REF!)*((D275&gt;=#REF!)+(D275&lt;2/24)),1,0),0)</f>
        <v>0</v>
      </c>
      <c r="AE276" s="6">
        <f>IF((E274&lt;&gt;"")*(E278=""),IF((E274&lt;=#REF!)*((E275&gt;=#REF!)+(E275&lt;2/24)),1,0),0)</f>
        <v>0</v>
      </c>
      <c r="AF276" s="6">
        <f>IF((F274&lt;&gt;"")*(F278=""),IF((F274&lt;=#REF!)*((F275&gt;=#REF!)+(F275&lt;2/24)),1,0),0)</f>
        <v>0</v>
      </c>
      <c r="AG276" s="6" t="e">
        <f>IF((G274&lt;&gt;"")*(G278=""),IF((G274&lt;=#REF!)*((G275&gt;=#REF!)+(G275&lt;2/24)),1,0),0)</f>
        <v>#REF!</v>
      </c>
      <c r="AH276" s="6" t="e">
        <f>IF((H274&lt;&gt;"")*(H278=""),IF((H274&lt;=#REF!)*((H275&gt;=#REF!)+(H275&lt;2/24)),1,0),0)</f>
        <v>#REF!</v>
      </c>
      <c r="AI276" s="6">
        <f>IF((I274&lt;&gt;"")*(I278=""),IF((I274&lt;=#REF!)*((I275&gt;=#REF!)+(I275&lt;2/24)),1,0),0)</f>
        <v>0</v>
      </c>
      <c r="AJ276" s="6">
        <f>IF((J274&lt;&gt;"")*(J278=""),IF((J274&lt;=#REF!)*((J275&gt;=#REF!)+(J275&lt;2/24)),1,0),0)</f>
        <v>0</v>
      </c>
    </row>
    <row r="277" spans="1:36" x14ac:dyDescent="0.2">
      <c r="A277" s="39"/>
      <c r="B277" s="40"/>
      <c r="C277" s="15" t="s">
        <v>3</v>
      </c>
      <c r="D277" s="43" t="str">
        <f t="shared" ref="D277:J277" si="152">IF(D274="","",IF(D275&gt;D274,(D275-D274-D276)*24,(1-D274-D276+D275)*24))</f>
        <v/>
      </c>
      <c r="E277" s="43" t="str">
        <f t="shared" si="152"/>
        <v/>
      </c>
      <c r="F277" s="43" t="str">
        <f t="shared" si="152"/>
        <v/>
      </c>
      <c r="G277" s="55">
        <f t="shared" si="152"/>
        <v>9.0000000000000018</v>
      </c>
      <c r="H277" s="55">
        <f t="shared" si="152"/>
        <v>5.0000000000000009</v>
      </c>
      <c r="I277" s="43" t="str">
        <f t="shared" si="152"/>
        <v/>
      </c>
      <c r="J277" s="44" t="str">
        <f t="shared" si="152"/>
        <v/>
      </c>
      <c r="K277" s="18">
        <f>SUMIF(D278:J278,"",D277:J277)</f>
        <v>14.000000000000004</v>
      </c>
      <c r="L277" s="12">
        <f>SUM(D277:J277)</f>
        <v>14.000000000000004</v>
      </c>
      <c r="M277" s="24"/>
      <c r="N277" s="10" t="str">
        <f t="shared" ref="N277" si="153">IF(D278="",D277,0)</f>
        <v/>
      </c>
      <c r="O277" s="10" t="str">
        <f t="shared" ref="O277" si="154">IF(E278="",E277,0)</f>
        <v/>
      </c>
      <c r="P277" s="10" t="str">
        <f t="shared" ref="P277" si="155">IF(F278="",F277,0)</f>
        <v/>
      </c>
      <c r="Q277" s="10">
        <f t="shared" ref="Q277" si="156">IF(G278="",G277,0)</f>
        <v>9.0000000000000018</v>
      </c>
      <c r="R277" s="10">
        <f t="shared" ref="R277" si="157">IF(H278="",H277,0)</f>
        <v>5.0000000000000009</v>
      </c>
      <c r="S277" s="10" t="str">
        <f t="shared" ref="S277" si="158">IF(I278="",I277,0)</f>
        <v/>
      </c>
      <c r="T277" s="10" t="str">
        <f t="shared" ref="T277" si="159">IF(J278="",J277,0)</f>
        <v/>
      </c>
      <c r="U277" s="10"/>
      <c r="V277" s="10" t="str">
        <f t="shared" ref="V277" si="160">D277</f>
        <v/>
      </c>
      <c r="W277" s="10" t="str">
        <f t="shared" ref="W277" si="161">E277</f>
        <v/>
      </c>
      <c r="X277" s="10" t="str">
        <f t="shared" ref="X277" si="162">F277</f>
        <v/>
      </c>
      <c r="Y277" s="10">
        <f t="shared" ref="Y277" si="163">G277</f>
        <v>9.0000000000000018</v>
      </c>
      <c r="Z277" s="10">
        <f t="shared" ref="Z277" si="164">H277</f>
        <v>5.0000000000000009</v>
      </c>
      <c r="AA277" s="10" t="str">
        <f t="shared" ref="AA277" si="165">I277</f>
        <v/>
      </c>
      <c r="AB277" s="10" t="str">
        <f t="shared" ref="AB277" si="166">J277</f>
        <v/>
      </c>
      <c r="AD277" s="6">
        <f>IF((D274&lt;&gt;"")*(D278=""),IF((D274&lt;=#REF!)*((D275&gt;=#REF!)+(D275&lt;2/24)),1,0),0)</f>
        <v>0</v>
      </c>
      <c r="AE277" s="6">
        <f>IF((E274&lt;&gt;"")*(E278=""),IF((E274&lt;=#REF!)*((E275&gt;=#REF!)+(E275&lt;2/24)),1,0),0)</f>
        <v>0</v>
      </c>
      <c r="AF277" s="6">
        <f>IF((F274&lt;&gt;"")*(F278=""),IF((F274&lt;=#REF!)*((F275&gt;=#REF!)+(F275&lt;2/24)),1,0),0)</f>
        <v>0</v>
      </c>
      <c r="AG277" s="6" t="e">
        <f>IF((G274&lt;&gt;"")*(G278=""),IF((G274&lt;=#REF!)*((G275&gt;=#REF!)+(G275&lt;2/24)),1,0),0)</f>
        <v>#REF!</v>
      </c>
      <c r="AH277" s="6" t="e">
        <f>IF((H274&lt;&gt;"")*(H278=""),IF((H274&lt;=#REF!)*((H275&gt;=#REF!)+(H275&lt;2/24)),1,0),0)</f>
        <v>#REF!</v>
      </c>
      <c r="AI277" s="6">
        <f>IF((I274&lt;&gt;"")*(I278=""),IF((I274&lt;=#REF!)*((I275&gt;=#REF!)+(I275&lt;2/24)),1,0),0)</f>
        <v>0</v>
      </c>
      <c r="AJ277" s="6">
        <f>IF((J274&lt;&gt;"")*(J278=""),IF((J274&lt;=#REF!)*((J275&gt;=#REF!)+(J275&lt;2/24)),1,0),0)</f>
        <v>0</v>
      </c>
    </row>
    <row r="278" spans="1:36" x14ac:dyDescent="0.2">
      <c r="A278" s="39"/>
      <c r="B278" s="40"/>
      <c r="C278" s="32" t="s">
        <v>4</v>
      </c>
      <c r="D278" s="33"/>
      <c r="E278" s="33"/>
      <c r="F278" s="33"/>
      <c r="G278" s="33"/>
      <c r="H278" s="33"/>
      <c r="I278" s="33"/>
      <c r="J278" s="33"/>
      <c r="K278" s="17"/>
      <c r="L278" s="6"/>
      <c r="M278" s="25"/>
      <c r="N278" s="6"/>
      <c r="O278" s="6"/>
      <c r="P278" s="6"/>
      <c r="Q278" s="6"/>
      <c r="R278" s="6"/>
      <c r="S278" s="6"/>
      <c r="T278" s="6"/>
      <c r="U278" s="6"/>
      <c r="V278" s="20"/>
      <c r="W278" s="20"/>
      <c r="X278" s="20"/>
      <c r="Y278" s="20"/>
      <c r="Z278" s="20"/>
      <c r="AA278" s="20"/>
      <c r="AB278" s="20"/>
      <c r="AD278" s="6">
        <f>IF((D274&lt;&gt;"")*(D278=""),IF((D274&lt;=#REF!)*((D275&gt;=#REF!)+(D275&lt;2/24)),1,0),0)</f>
        <v>0</v>
      </c>
      <c r="AE278" s="6">
        <f>IF((E274&lt;&gt;"")*(E278=""),IF((E274&lt;=#REF!)*((E275&gt;=#REF!)+(E275&lt;2/24)),1,0),0)</f>
        <v>0</v>
      </c>
      <c r="AF278" s="6">
        <f>IF((F274&lt;&gt;"")*(F278=""),IF((F274&lt;=#REF!)*((F275&gt;=#REF!)+(F275&lt;2/24)),1,0),0)</f>
        <v>0</v>
      </c>
      <c r="AG278" s="6" t="e">
        <f>IF((G274&lt;&gt;"")*(G278=""),IF((G274&lt;=#REF!)*((G275&gt;=#REF!)+(G275&lt;2/24)),1,0),0)</f>
        <v>#REF!</v>
      </c>
      <c r="AH278" s="6" t="e">
        <f>IF((H274&lt;&gt;"")*(H278=""),IF((H274&lt;=#REF!)*((H275&gt;=#REF!)+(H275&lt;2/24)),1,0),0)</f>
        <v>#REF!</v>
      </c>
      <c r="AI278" s="6">
        <f>IF((I274&lt;&gt;"")*(I278=""),IF((I274&lt;=#REF!)*((I275&gt;=#REF!)+(I275&lt;2/24)),1,0),0)</f>
        <v>0</v>
      </c>
      <c r="AJ278" s="6">
        <f>IF((J274&lt;&gt;"")*(J278=""),IF((J274&lt;=#REF!)*((J275&gt;=#REF!)+(J275&lt;2/24)),1,0),0)</f>
        <v>0</v>
      </c>
    </row>
    <row r="279" spans="1:36" ht="13.5" thickBot="1" x14ac:dyDescent="0.25">
      <c r="A279" s="41"/>
      <c r="B279" s="42"/>
      <c r="C279" s="35" t="s">
        <v>28</v>
      </c>
      <c r="D279" s="36"/>
      <c r="E279" s="36"/>
      <c r="F279" s="36"/>
      <c r="G279" s="36" t="s">
        <v>160</v>
      </c>
      <c r="H279" s="36"/>
      <c r="I279" s="36"/>
      <c r="J279" s="36"/>
      <c r="K279" s="34"/>
      <c r="L279" s="6"/>
      <c r="M279" s="25"/>
      <c r="N279" s="6"/>
      <c r="O279" s="6"/>
      <c r="P279" s="6"/>
      <c r="Q279" s="6"/>
      <c r="R279" s="6"/>
      <c r="S279" s="6"/>
      <c r="T279" s="6"/>
      <c r="U279" s="6"/>
      <c r="V279" s="20"/>
      <c r="W279" s="20"/>
      <c r="X279" s="20"/>
      <c r="Y279" s="20"/>
      <c r="Z279" s="20"/>
      <c r="AA279" s="20"/>
      <c r="AB279" s="20"/>
      <c r="AD279" s="6"/>
      <c r="AE279" s="6"/>
      <c r="AF279" s="6"/>
      <c r="AG279" s="6"/>
      <c r="AH279" s="6"/>
      <c r="AI279" s="6"/>
      <c r="AJ279" s="6"/>
    </row>
    <row r="280" spans="1:36" x14ac:dyDescent="0.2">
      <c r="A280" s="37" t="s">
        <v>95</v>
      </c>
      <c r="B280" s="38" t="s">
        <v>96</v>
      </c>
      <c r="C280" s="14" t="s">
        <v>0</v>
      </c>
      <c r="D280" s="26"/>
      <c r="E280" s="26"/>
      <c r="F280" s="26"/>
      <c r="G280" s="26"/>
      <c r="H280" s="26"/>
      <c r="I280" s="26"/>
      <c r="J280" s="26"/>
      <c r="K280" s="16"/>
      <c r="L280" s="6"/>
      <c r="M280" s="21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D280" s="6">
        <f>IF((D280&lt;&gt;"")*(D284=""),IF((D280&lt;=#REF!)*((D281&gt;=#REF!)+(D281&lt;2/24)),1,0),0)</f>
        <v>0</v>
      </c>
      <c r="AE280" s="6">
        <f>IF((E280&lt;&gt;"")*(E284=""),IF((E280&lt;=#REF!)*((E281&gt;=#REF!)+(E281&lt;2/24)),1,0),0)</f>
        <v>0</v>
      </c>
      <c r="AF280" s="6">
        <f>IF((F280&lt;&gt;"")*(F284=""),IF((F280&lt;=#REF!)*((F281&gt;=#REF!)+(F281&lt;2/24)),1,0),0)</f>
        <v>0</v>
      </c>
      <c r="AG280" s="6">
        <f>IF((G280&lt;&gt;"")*(G284=""),IF((G280&lt;=#REF!)*((G281&gt;=#REF!)+(G281&lt;2/24)),1,0),0)</f>
        <v>0</v>
      </c>
      <c r="AH280" s="6">
        <f>IF((H280&lt;&gt;"")*(H284=""),IF((H280&lt;=#REF!)*((H281&gt;=#REF!)+(H281&lt;2/24)),1,0),0)</f>
        <v>0</v>
      </c>
      <c r="AI280" s="6">
        <f>IF((I280&lt;&gt;"")*(I284=""),IF((I280&lt;=#REF!)*((I281&gt;=#REF!)+(I281&lt;2/24)),1,0),0)</f>
        <v>0</v>
      </c>
      <c r="AJ280" s="6">
        <f>IF((J280&lt;&gt;"")*(J284=""),IF((J280&lt;=#REF!)*((J281&gt;=#REF!)+(J281&lt;2/24)),1,0),0)</f>
        <v>0</v>
      </c>
    </row>
    <row r="281" spans="1:36" x14ac:dyDescent="0.2">
      <c r="A281" s="39"/>
      <c r="B281" s="40"/>
      <c r="C281" s="15" t="s">
        <v>1</v>
      </c>
      <c r="D281" s="27"/>
      <c r="E281" s="27"/>
      <c r="F281" s="27"/>
      <c r="G281" s="27"/>
      <c r="H281" s="27"/>
      <c r="I281" s="27"/>
      <c r="J281" s="27"/>
      <c r="K281" s="17"/>
      <c r="L281" s="6"/>
      <c r="M281" s="21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D281" s="6">
        <f>IF((D280&lt;&gt;"")*(D284=""),IF((D280&lt;=#REF!)*((D281&gt;=#REF!)+(D281&lt;2/24)),1,0),0)</f>
        <v>0</v>
      </c>
      <c r="AE281" s="6">
        <f>IF((E280&lt;&gt;"")*(E284=""),IF((E280&lt;=#REF!)*((E281&gt;=#REF!)+(E281&lt;2/24)),1,0),0)</f>
        <v>0</v>
      </c>
      <c r="AF281" s="6">
        <f>IF((F280&lt;&gt;"")*(F284=""),IF((F280&lt;=#REF!)*((F281&gt;=#REF!)+(F281&lt;2/24)),1,0),0)</f>
        <v>0</v>
      </c>
      <c r="AG281" s="6">
        <f>IF((G280&lt;&gt;"")*(G284=""),IF((G280&lt;=#REF!)*((G281&gt;=#REF!)+(G281&lt;2/24)),1,0),0)</f>
        <v>0</v>
      </c>
      <c r="AH281" s="6">
        <f>IF((H280&lt;&gt;"")*(H284=""),IF((H280&lt;=#REF!)*((H281&gt;=#REF!)+(H281&lt;2/24)),1,0),0)</f>
        <v>0</v>
      </c>
      <c r="AI281" s="6">
        <f>IF((I280&lt;&gt;"")*(I284=""),IF((I280&lt;=#REF!)*((I281&gt;=#REF!)+(I281&lt;2/24)),1,0),0)</f>
        <v>0</v>
      </c>
      <c r="AJ281" s="6">
        <f>IF((J280&lt;&gt;"")*(J284=""),IF((J280&lt;=#REF!)*((J281&gt;=#REF!)+(J281&lt;2/24)),1,0),0)</f>
        <v>0</v>
      </c>
    </row>
    <row r="282" spans="1:36" x14ac:dyDescent="0.2">
      <c r="A282" s="39"/>
      <c r="B282" s="40"/>
      <c r="C282" s="15" t="s">
        <v>2</v>
      </c>
      <c r="D282" s="4"/>
      <c r="E282" s="4"/>
      <c r="F282" s="4"/>
      <c r="G282" s="58"/>
      <c r="H282" s="4"/>
      <c r="I282" s="4"/>
      <c r="J282" s="4"/>
      <c r="K282" s="17"/>
      <c r="L282" s="6"/>
      <c r="M282" s="21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D282" s="6">
        <f>IF((D280&lt;&gt;"")*(D284=""),IF((D280&lt;=#REF!)*((D281&gt;=#REF!)+(D281&lt;2/24)),1,0),0)</f>
        <v>0</v>
      </c>
      <c r="AE282" s="6">
        <f>IF((E280&lt;&gt;"")*(E284=""),IF((E280&lt;=#REF!)*((E281&gt;=#REF!)+(E281&lt;2/24)),1,0),0)</f>
        <v>0</v>
      </c>
      <c r="AF282" s="6">
        <f>IF((F280&lt;&gt;"")*(F284=""),IF((F280&lt;=#REF!)*((F281&gt;=#REF!)+(F281&lt;2/24)),1,0),0)</f>
        <v>0</v>
      </c>
      <c r="AG282" s="6">
        <f>IF((G280&lt;&gt;"")*(G284=""),IF((G280&lt;=#REF!)*((G281&gt;=#REF!)+(G281&lt;2/24)),1,0),0)</f>
        <v>0</v>
      </c>
      <c r="AH282" s="6">
        <f>IF((H280&lt;&gt;"")*(H284=""),IF((H280&lt;=#REF!)*((H281&gt;=#REF!)+(H281&lt;2/24)),1,0),0)</f>
        <v>0</v>
      </c>
      <c r="AI282" s="6">
        <f>IF((I280&lt;&gt;"")*(I284=""),IF((I280&lt;=#REF!)*((I281&gt;=#REF!)+(I281&lt;2/24)),1,0),0)</f>
        <v>0</v>
      </c>
      <c r="AJ282" s="6">
        <f>IF((J280&lt;&gt;"")*(J284=""),IF((J280&lt;=#REF!)*((J281&gt;=#REF!)+(J281&lt;2/24)),1,0),0)</f>
        <v>0</v>
      </c>
    </row>
    <row r="283" spans="1:36" x14ac:dyDescent="0.2">
      <c r="A283" s="39"/>
      <c r="B283" s="40"/>
      <c r="C283" s="15" t="s">
        <v>3</v>
      </c>
      <c r="D283" s="43"/>
      <c r="E283" s="43" t="str">
        <f t="shared" ref="E283:J283" si="167">IF(E280="","",IF(E281&gt;E280,(E281-E280-E282)*24,(1-E280-E282+E281)*24))</f>
        <v/>
      </c>
      <c r="F283" s="43" t="str">
        <f t="shared" si="167"/>
        <v/>
      </c>
      <c r="G283" s="55" t="str">
        <f t="shared" si="167"/>
        <v/>
      </c>
      <c r="H283" s="55" t="str">
        <f t="shared" si="167"/>
        <v/>
      </c>
      <c r="I283" s="43" t="str">
        <f t="shared" si="167"/>
        <v/>
      </c>
      <c r="J283" s="44" t="str">
        <f t="shared" si="167"/>
        <v/>
      </c>
      <c r="K283" s="18">
        <f>SUMIF(D284:J284,"",D283:J283)</f>
        <v>0</v>
      </c>
      <c r="L283" s="12">
        <f>SUM(D283:J283)</f>
        <v>0</v>
      </c>
      <c r="M283" s="24"/>
      <c r="N283" s="10">
        <f t="shared" ref="N283" si="168">IF(D284="",D283,0)</f>
        <v>0</v>
      </c>
      <c r="O283" s="10" t="str">
        <f t="shared" ref="O283" si="169">IF(E284="",E283,0)</f>
        <v/>
      </c>
      <c r="P283" s="10" t="str">
        <f t="shared" ref="P283" si="170">IF(F284="",F283,0)</f>
        <v/>
      </c>
      <c r="Q283" s="10" t="str">
        <f t="shared" ref="Q283" si="171">IF(G284="",G283,0)</f>
        <v/>
      </c>
      <c r="R283" s="10" t="str">
        <f t="shared" ref="R283" si="172">IF(H284="",H283,0)</f>
        <v/>
      </c>
      <c r="S283" s="10" t="str">
        <f t="shared" ref="S283" si="173">IF(I284="",I283,0)</f>
        <v/>
      </c>
      <c r="T283" s="10" t="str">
        <f t="shared" ref="T283" si="174">IF(J284="",J283,0)</f>
        <v/>
      </c>
      <c r="U283" s="10"/>
      <c r="V283" s="10">
        <f t="shared" ref="V283" si="175">D283</f>
        <v>0</v>
      </c>
      <c r="W283" s="10" t="str">
        <f t="shared" ref="W283" si="176">E283</f>
        <v/>
      </c>
      <c r="X283" s="10" t="str">
        <f t="shared" ref="X283" si="177">F283</f>
        <v/>
      </c>
      <c r="Y283" s="10" t="str">
        <f t="shared" ref="Y283" si="178">G283</f>
        <v/>
      </c>
      <c r="Z283" s="10" t="str">
        <f t="shared" ref="Z283" si="179">H283</f>
        <v/>
      </c>
      <c r="AA283" s="10" t="str">
        <f t="shared" ref="AA283" si="180">I283</f>
        <v/>
      </c>
      <c r="AB283" s="10" t="str">
        <f t="shared" ref="AB283" si="181">J283</f>
        <v/>
      </c>
      <c r="AD283" s="6">
        <f>IF((D280&lt;&gt;"")*(D284=""),IF((D280&lt;=#REF!)*((D281&gt;=#REF!)+(D281&lt;2/24)),1,0),0)</f>
        <v>0</v>
      </c>
      <c r="AE283" s="6">
        <f>IF((E280&lt;&gt;"")*(E284=""),IF((E280&lt;=#REF!)*((E281&gt;=#REF!)+(E281&lt;2/24)),1,0),0)</f>
        <v>0</v>
      </c>
      <c r="AF283" s="6">
        <f>IF((F280&lt;&gt;"")*(F284=""),IF((F280&lt;=#REF!)*((F281&gt;=#REF!)+(F281&lt;2/24)),1,0),0)</f>
        <v>0</v>
      </c>
      <c r="AG283" s="6">
        <f>IF((G280&lt;&gt;"")*(G284=""),IF((G280&lt;=#REF!)*((G281&gt;=#REF!)+(G281&lt;2/24)),1,0),0)</f>
        <v>0</v>
      </c>
      <c r="AH283" s="6">
        <f>IF((H280&lt;&gt;"")*(H284=""),IF((H280&lt;=#REF!)*((H281&gt;=#REF!)+(H281&lt;2/24)),1,0),0)</f>
        <v>0</v>
      </c>
      <c r="AI283" s="6">
        <f>IF((I280&lt;&gt;"")*(I284=""),IF((I280&lt;=#REF!)*((I281&gt;=#REF!)+(I281&lt;2/24)),1,0),0)</f>
        <v>0</v>
      </c>
      <c r="AJ283" s="6">
        <f>IF((J280&lt;&gt;"")*(J284=""),IF((J280&lt;=#REF!)*((J281&gt;=#REF!)+(J281&lt;2/24)),1,0),0)</f>
        <v>0</v>
      </c>
    </row>
    <row r="284" spans="1:36" x14ac:dyDescent="0.2">
      <c r="A284" s="39"/>
      <c r="B284" s="40"/>
      <c r="C284" s="32" t="s">
        <v>4</v>
      </c>
      <c r="D284" s="33"/>
      <c r="E284" s="33"/>
      <c r="F284" s="33"/>
      <c r="G284" s="33"/>
      <c r="H284" s="33"/>
      <c r="I284" s="33"/>
      <c r="J284" s="33"/>
      <c r="K284" s="17"/>
      <c r="L284" s="6"/>
      <c r="M284" s="25"/>
      <c r="N284" s="6"/>
      <c r="O284" s="6"/>
      <c r="P284" s="6"/>
      <c r="Q284" s="6"/>
      <c r="R284" s="6"/>
      <c r="S284" s="6"/>
      <c r="T284" s="6"/>
      <c r="U284" s="6"/>
      <c r="V284" s="20"/>
      <c r="W284" s="20"/>
      <c r="X284" s="20"/>
      <c r="Y284" s="20"/>
      <c r="Z284" s="20"/>
      <c r="AA284" s="20"/>
      <c r="AB284" s="20"/>
      <c r="AD284" s="6">
        <f>IF((D280&lt;&gt;"")*(D284=""),IF((D280&lt;=#REF!)*((D281&gt;=#REF!)+(D281&lt;2/24)),1,0),0)</f>
        <v>0</v>
      </c>
      <c r="AE284" s="6">
        <f>IF((E280&lt;&gt;"")*(E284=""),IF((E280&lt;=#REF!)*((E281&gt;=#REF!)+(E281&lt;2/24)),1,0),0)</f>
        <v>0</v>
      </c>
      <c r="AF284" s="6">
        <f>IF((F280&lt;&gt;"")*(F284=""),IF((F280&lt;=#REF!)*((F281&gt;=#REF!)+(F281&lt;2/24)),1,0),0)</f>
        <v>0</v>
      </c>
      <c r="AG284" s="6">
        <f>IF((G280&lt;&gt;"")*(G284=""),IF((G280&lt;=#REF!)*((G281&gt;=#REF!)+(G281&lt;2/24)),1,0),0)</f>
        <v>0</v>
      </c>
      <c r="AH284" s="6">
        <f>IF((H280&lt;&gt;"")*(H284=""),IF((H280&lt;=#REF!)*((H281&gt;=#REF!)+(H281&lt;2/24)),1,0),0)</f>
        <v>0</v>
      </c>
      <c r="AI284" s="6">
        <f>IF((I280&lt;&gt;"")*(I284=""),IF((I280&lt;=#REF!)*((I281&gt;=#REF!)+(I281&lt;2/24)),1,0),0)</f>
        <v>0</v>
      </c>
      <c r="AJ284" s="6">
        <f>IF((J280&lt;&gt;"")*(J284=""),IF((J280&lt;=#REF!)*((J281&gt;=#REF!)+(J281&lt;2/24)),1,0),0)</f>
        <v>0</v>
      </c>
    </row>
    <row r="285" spans="1:36" ht="13.5" thickBot="1" x14ac:dyDescent="0.25">
      <c r="A285" s="41"/>
      <c r="B285" s="42"/>
      <c r="C285" s="35" t="s">
        <v>28</v>
      </c>
      <c r="D285" s="93"/>
      <c r="E285" s="93"/>
      <c r="F285" s="93"/>
      <c r="G285" s="93"/>
      <c r="H285" s="93"/>
      <c r="I285" s="93"/>
      <c r="J285" s="93"/>
      <c r="K285" s="94"/>
      <c r="L285" s="6"/>
      <c r="M285" s="25"/>
      <c r="N285" s="6"/>
      <c r="O285" s="6"/>
      <c r="P285" s="6"/>
      <c r="Q285" s="6"/>
      <c r="R285" s="6"/>
      <c r="S285" s="6"/>
      <c r="T285" s="6"/>
      <c r="U285" s="6"/>
      <c r="V285" s="20"/>
      <c r="W285" s="20"/>
      <c r="X285" s="20"/>
      <c r="Y285" s="20"/>
      <c r="Z285" s="20"/>
      <c r="AA285" s="20"/>
      <c r="AB285" s="20"/>
      <c r="AD285" s="6"/>
      <c r="AE285" s="6"/>
      <c r="AF285" s="6"/>
      <c r="AG285" s="6"/>
      <c r="AH285" s="6"/>
      <c r="AI285" s="6"/>
      <c r="AJ285" s="6"/>
    </row>
    <row r="286" spans="1:36" x14ac:dyDescent="0.2">
      <c r="A286" s="37" t="s">
        <v>173</v>
      </c>
      <c r="B286" s="38" t="s">
        <v>104</v>
      </c>
      <c r="C286" s="14" t="s">
        <v>0</v>
      </c>
      <c r="D286" s="26"/>
      <c r="E286" s="26"/>
      <c r="F286" s="26"/>
      <c r="G286" s="26"/>
      <c r="H286" s="26"/>
      <c r="I286" s="26"/>
      <c r="J286" s="26"/>
      <c r="K286" s="16"/>
      <c r="L286" s="6"/>
      <c r="M286" s="25"/>
      <c r="N286" s="6"/>
      <c r="O286" s="6"/>
      <c r="P286" s="6"/>
      <c r="Q286" s="6"/>
      <c r="R286" s="6"/>
      <c r="S286" s="6"/>
      <c r="T286" s="6"/>
      <c r="U286" s="6"/>
      <c r="V286" s="20"/>
      <c r="W286" s="20"/>
      <c r="X286" s="20"/>
      <c r="Y286" s="20"/>
      <c r="Z286" s="20"/>
      <c r="AA286" s="20"/>
      <c r="AB286" s="20"/>
      <c r="AD286" s="6"/>
      <c r="AE286" s="6"/>
      <c r="AF286" s="6"/>
      <c r="AG286" s="6"/>
      <c r="AH286" s="6"/>
      <c r="AI286" s="6"/>
      <c r="AJ286" s="6"/>
    </row>
    <row r="287" spans="1:36" x14ac:dyDescent="0.2">
      <c r="A287" s="39"/>
      <c r="B287" s="40"/>
      <c r="C287" s="15" t="s">
        <v>1</v>
      </c>
      <c r="D287" s="27"/>
      <c r="E287" s="27"/>
      <c r="F287" s="27"/>
      <c r="G287" s="27"/>
      <c r="H287" s="27"/>
      <c r="I287" s="27"/>
      <c r="J287" s="27"/>
      <c r="K287" s="17"/>
      <c r="L287" s="6"/>
      <c r="M287" s="25"/>
      <c r="N287" s="6"/>
      <c r="O287" s="6"/>
      <c r="P287" s="6"/>
      <c r="Q287" s="6"/>
      <c r="R287" s="6"/>
      <c r="S287" s="6"/>
      <c r="T287" s="6"/>
      <c r="U287" s="6"/>
      <c r="V287" s="20"/>
      <c r="W287" s="20"/>
      <c r="X287" s="20"/>
      <c r="Y287" s="20"/>
      <c r="Z287" s="20"/>
      <c r="AA287" s="20"/>
      <c r="AB287" s="20"/>
      <c r="AD287" s="6"/>
      <c r="AE287" s="6"/>
      <c r="AF287" s="6"/>
      <c r="AG287" s="6"/>
      <c r="AH287" s="6"/>
      <c r="AI287" s="6"/>
      <c r="AJ287" s="6"/>
    </row>
    <row r="288" spans="1:36" x14ac:dyDescent="0.2">
      <c r="A288" s="39"/>
      <c r="B288" s="40"/>
      <c r="C288" s="15" t="s">
        <v>2</v>
      </c>
      <c r="D288" s="4"/>
      <c r="E288" s="4"/>
      <c r="F288" s="4"/>
      <c r="G288" s="58"/>
      <c r="H288" s="4"/>
      <c r="I288" s="4"/>
      <c r="J288" s="4"/>
      <c r="K288" s="17"/>
      <c r="L288" s="6"/>
      <c r="M288" s="25"/>
      <c r="N288" s="6"/>
      <c r="O288" s="6"/>
      <c r="P288" s="6"/>
      <c r="Q288" s="6"/>
      <c r="R288" s="6"/>
      <c r="S288" s="6"/>
      <c r="T288" s="6"/>
      <c r="U288" s="6"/>
      <c r="V288" s="20"/>
      <c r="W288" s="20"/>
      <c r="X288" s="20"/>
      <c r="Y288" s="20"/>
      <c r="Z288" s="20"/>
      <c r="AA288" s="20"/>
      <c r="AB288" s="20"/>
      <c r="AD288" s="6"/>
      <c r="AE288" s="6"/>
      <c r="AF288" s="6"/>
      <c r="AG288" s="6"/>
      <c r="AH288" s="6"/>
      <c r="AI288" s="6"/>
      <c r="AJ288" s="6"/>
    </row>
    <row r="289" spans="1:36" x14ac:dyDescent="0.2">
      <c r="A289" s="39"/>
      <c r="B289" s="40"/>
      <c r="C289" s="15" t="s">
        <v>3</v>
      </c>
      <c r="D289" s="43"/>
      <c r="E289" s="43" t="str">
        <f t="shared" ref="E289:J289" si="182">IF(E286="","",IF(E287&gt;E286,(E287-E286-E288)*24,(1-E286-E288+E287)*24))</f>
        <v/>
      </c>
      <c r="F289" s="43" t="str">
        <f t="shared" si="182"/>
        <v/>
      </c>
      <c r="G289" s="55" t="str">
        <f t="shared" si="182"/>
        <v/>
      </c>
      <c r="H289" s="55" t="str">
        <f t="shared" si="182"/>
        <v/>
      </c>
      <c r="I289" s="43" t="str">
        <f t="shared" si="182"/>
        <v/>
      </c>
      <c r="J289" s="44" t="str">
        <f t="shared" si="182"/>
        <v/>
      </c>
      <c r="K289" s="18">
        <f>SUMIF(D290:J290,"",D289:J289)</f>
        <v>0</v>
      </c>
      <c r="L289" s="12">
        <f>SUM(D289:J289)</f>
        <v>0</v>
      </c>
      <c r="M289" s="25"/>
      <c r="N289" s="6"/>
      <c r="O289" s="6"/>
      <c r="P289" s="6"/>
      <c r="Q289" s="6"/>
      <c r="R289" s="6"/>
      <c r="S289" s="6"/>
      <c r="T289" s="6"/>
      <c r="U289" s="6"/>
      <c r="V289" s="20"/>
      <c r="W289" s="20"/>
      <c r="X289" s="20"/>
      <c r="Y289" s="20"/>
      <c r="Z289" s="20"/>
      <c r="AA289" s="20"/>
      <c r="AB289" s="20"/>
      <c r="AD289" s="6"/>
      <c r="AE289" s="6"/>
      <c r="AF289" s="6"/>
      <c r="AG289" s="6"/>
      <c r="AH289" s="6"/>
      <c r="AI289" s="6"/>
      <c r="AJ289" s="6"/>
    </row>
    <row r="290" spans="1:36" x14ac:dyDescent="0.2">
      <c r="A290" s="39"/>
      <c r="B290" s="40"/>
      <c r="C290" s="32" t="s">
        <v>4</v>
      </c>
      <c r="D290" s="33"/>
      <c r="E290" s="33"/>
      <c r="F290" s="33"/>
      <c r="G290" s="33"/>
      <c r="H290" s="33"/>
      <c r="I290" s="33"/>
      <c r="J290" s="33"/>
      <c r="K290" s="17"/>
      <c r="L290" s="6"/>
      <c r="M290" s="25"/>
      <c r="N290" s="6"/>
      <c r="O290" s="6"/>
      <c r="P290" s="6"/>
      <c r="Q290" s="6"/>
      <c r="R290" s="6"/>
      <c r="S290" s="6"/>
      <c r="T290" s="6"/>
      <c r="U290" s="6"/>
      <c r="V290" s="20"/>
      <c r="W290" s="20"/>
      <c r="X290" s="20"/>
      <c r="Y290" s="20"/>
      <c r="Z290" s="20"/>
      <c r="AA290" s="20"/>
      <c r="AB290" s="20"/>
      <c r="AD290" s="6"/>
      <c r="AE290" s="6"/>
      <c r="AF290" s="6"/>
      <c r="AG290" s="6"/>
      <c r="AH290" s="6"/>
      <c r="AI290" s="6"/>
      <c r="AJ290" s="6"/>
    </row>
    <row r="291" spans="1:36" ht="13.5" thickBot="1" x14ac:dyDescent="0.25">
      <c r="A291" s="41"/>
      <c r="B291" s="42"/>
      <c r="C291" s="35" t="s">
        <v>28</v>
      </c>
      <c r="D291" s="93"/>
      <c r="E291" s="93"/>
      <c r="F291" s="93"/>
      <c r="G291" s="93"/>
      <c r="H291" s="93"/>
      <c r="I291" s="93"/>
      <c r="J291" s="93"/>
      <c r="K291" s="94"/>
      <c r="L291" s="6"/>
      <c r="M291" s="25"/>
      <c r="N291" s="6"/>
      <c r="O291" s="6"/>
      <c r="P291" s="6"/>
      <c r="Q291" s="6"/>
      <c r="R291" s="6"/>
      <c r="S291" s="6"/>
      <c r="T291" s="6"/>
      <c r="U291" s="6"/>
      <c r="V291" s="20"/>
      <c r="W291" s="20"/>
      <c r="X291" s="20"/>
      <c r="Y291" s="20"/>
      <c r="Z291" s="20"/>
      <c r="AA291" s="20"/>
      <c r="AB291" s="20"/>
      <c r="AD291" s="6"/>
      <c r="AE291" s="6"/>
      <c r="AF291" s="6"/>
      <c r="AG291" s="6"/>
      <c r="AH291" s="6"/>
      <c r="AI291" s="6"/>
      <c r="AJ291" s="6"/>
    </row>
    <row r="292" spans="1:36" x14ac:dyDescent="0.2">
      <c r="A292" s="37" t="s">
        <v>46</v>
      </c>
      <c r="B292" s="38" t="s">
        <v>47</v>
      </c>
      <c r="C292" s="14" t="s">
        <v>0</v>
      </c>
      <c r="D292" s="26"/>
      <c r="E292" s="26"/>
      <c r="F292" s="26">
        <v>0.77083333333333337</v>
      </c>
      <c r="G292" s="26"/>
      <c r="H292" s="26"/>
      <c r="I292" s="26">
        <v>0.77083333333333337</v>
      </c>
      <c r="J292" s="26"/>
      <c r="K292" s="16"/>
      <c r="L292" s="6"/>
      <c r="M292" s="21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D292" s="6">
        <f>IF((D292&lt;&gt;"")*(D296=""),IF((D292&lt;=#REF!)*((D293&gt;=#REF!)+(D293&lt;2/24)),1,0),0)</f>
        <v>0</v>
      </c>
      <c r="AE292" s="6">
        <f>IF((E292&lt;&gt;"")*(E296=""),IF((E292&lt;=#REF!)*((E293&gt;=#REF!)+(E293&lt;2/24)),1,0),0)</f>
        <v>0</v>
      </c>
      <c r="AF292" s="6" t="e">
        <f>IF((F292&lt;&gt;"")*(F296=""),IF((F292&lt;=#REF!)*((F293&gt;=#REF!)+(F293&lt;2/24)),1,0),0)</f>
        <v>#REF!</v>
      </c>
      <c r="AG292" s="6">
        <f>IF((G292&lt;&gt;"")*(G296=""),IF((G292&lt;=#REF!)*((G293&gt;=#REF!)+(G293&lt;2/24)),1,0),0)</f>
        <v>0</v>
      </c>
      <c r="AH292" s="6">
        <f>IF((H292&lt;&gt;"")*(H296=""),IF((H292&lt;=#REF!)*((H293&gt;=#REF!)+(H293&lt;2/24)),1,0),0)</f>
        <v>0</v>
      </c>
      <c r="AI292" s="6" t="e">
        <f>IF((I292&lt;&gt;"")*(I296=""),IF((I292&lt;=#REF!)*((I293&gt;=#REF!)+(I293&lt;2/24)),1,0),0)</f>
        <v>#REF!</v>
      </c>
      <c r="AJ292" s="6">
        <f>IF((J292&lt;&gt;"")*(J296=""),IF((J292&lt;=#REF!)*((J293&gt;=#REF!)+(J293&lt;2/24)),1,0),0)</f>
        <v>0</v>
      </c>
    </row>
    <row r="293" spans="1:36" x14ac:dyDescent="0.2">
      <c r="A293" s="39"/>
      <c r="B293" s="40"/>
      <c r="C293" s="15" t="s">
        <v>1</v>
      </c>
      <c r="D293" s="27"/>
      <c r="E293" s="27"/>
      <c r="F293" s="27">
        <v>0.95833333333333337</v>
      </c>
      <c r="G293" s="27"/>
      <c r="H293" s="27"/>
      <c r="I293" s="27">
        <v>0.95833333333333337</v>
      </c>
      <c r="J293" s="27"/>
      <c r="K293" s="17"/>
      <c r="L293" s="6"/>
      <c r="M293" s="21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D293" s="6">
        <f>IF((D292&lt;&gt;"")*(D296=""),IF((D292&lt;=#REF!)*((D293&gt;=#REF!)+(D293&lt;2/24)),1,0),0)</f>
        <v>0</v>
      </c>
      <c r="AE293" s="6">
        <f>IF((E292&lt;&gt;"")*(E296=""),IF((E292&lt;=#REF!)*((E293&gt;=#REF!)+(E293&lt;2/24)),1,0),0)</f>
        <v>0</v>
      </c>
      <c r="AF293" s="6" t="e">
        <f>IF((F292&lt;&gt;"")*(F296=""),IF((F292&lt;=#REF!)*((F293&gt;=#REF!)+(F293&lt;2/24)),1,0),0)</f>
        <v>#REF!</v>
      </c>
      <c r="AG293" s="6">
        <f>IF((G292&lt;&gt;"")*(G296=""),IF((G292&lt;=#REF!)*((G293&gt;=#REF!)+(G293&lt;2/24)),1,0),0)</f>
        <v>0</v>
      </c>
      <c r="AH293" s="6">
        <f>IF((H292&lt;&gt;"")*(H296=""),IF((H292&lt;=#REF!)*((H293&gt;=#REF!)+(H293&lt;2/24)),1,0),0)</f>
        <v>0</v>
      </c>
      <c r="AI293" s="6" t="e">
        <f>IF((I292&lt;&gt;"")*(I296=""),IF((I292&lt;=#REF!)*((I293&gt;=#REF!)+(I293&lt;2/24)),1,0),0)</f>
        <v>#REF!</v>
      </c>
      <c r="AJ293" s="6">
        <f>IF((J292&lt;&gt;"")*(J296=""),IF((J292&lt;=#REF!)*((J293&gt;=#REF!)+(J293&lt;2/24)),1,0),0)</f>
        <v>0</v>
      </c>
    </row>
    <row r="294" spans="1:36" x14ac:dyDescent="0.2">
      <c r="A294" s="39"/>
      <c r="B294" s="40"/>
      <c r="C294" s="15" t="s">
        <v>2</v>
      </c>
      <c r="D294" s="4"/>
      <c r="E294" s="4"/>
      <c r="F294" s="4"/>
      <c r="G294" s="58"/>
      <c r="H294" s="4"/>
      <c r="I294" s="4"/>
      <c r="J294" s="4"/>
      <c r="K294" s="17"/>
      <c r="L294" s="6"/>
      <c r="M294" s="21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D294" s="6">
        <f>IF((D292&lt;&gt;"")*(D296=""),IF((D292&lt;=#REF!)*((D293&gt;=#REF!)+(D293&lt;2/24)),1,0),0)</f>
        <v>0</v>
      </c>
      <c r="AE294" s="6">
        <f>IF((E292&lt;&gt;"")*(E296=""),IF((E292&lt;=#REF!)*((E293&gt;=#REF!)+(E293&lt;2/24)),1,0),0)</f>
        <v>0</v>
      </c>
      <c r="AF294" s="6" t="e">
        <f>IF((F292&lt;&gt;"")*(F296=""),IF((F292&lt;=#REF!)*((F293&gt;=#REF!)+(F293&lt;2/24)),1,0),0)</f>
        <v>#REF!</v>
      </c>
      <c r="AG294" s="6">
        <f>IF((G292&lt;&gt;"")*(G296=""),IF((G292&lt;=#REF!)*((G293&gt;=#REF!)+(G293&lt;2/24)),1,0),0)</f>
        <v>0</v>
      </c>
      <c r="AH294" s="6">
        <f>IF((H292&lt;&gt;"")*(H296=""),IF((H292&lt;=#REF!)*((H293&gt;=#REF!)+(H293&lt;2/24)),1,0),0)</f>
        <v>0</v>
      </c>
      <c r="AI294" s="6" t="e">
        <f>IF((I292&lt;&gt;"")*(I296=""),IF((I292&lt;=#REF!)*((I293&gt;=#REF!)+(I293&lt;2/24)),1,0),0)</f>
        <v>#REF!</v>
      </c>
      <c r="AJ294" s="6">
        <f>IF((J292&lt;&gt;"")*(J296=""),IF((J292&lt;=#REF!)*((J293&gt;=#REF!)+(J293&lt;2/24)),1,0),0)</f>
        <v>0</v>
      </c>
    </row>
    <row r="295" spans="1:36" x14ac:dyDescent="0.2">
      <c r="A295" s="39"/>
      <c r="B295" s="40"/>
      <c r="C295" s="15" t="s">
        <v>3</v>
      </c>
      <c r="D295" s="43" t="str">
        <f t="shared" ref="D295:J295" si="183">IF(D292="","",IF(D293&gt;D292,(D293-D292-D294)*24,(1-D292-D294+D293)*24))</f>
        <v/>
      </c>
      <c r="E295" s="43" t="str">
        <f t="shared" si="183"/>
        <v/>
      </c>
      <c r="F295" s="43">
        <f t="shared" si="183"/>
        <v>4.5</v>
      </c>
      <c r="G295" s="55" t="str">
        <f t="shared" si="183"/>
        <v/>
      </c>
      <c r="H295" s="55"/>
      <c r="I295" s="43">
        <f t="shared" si="183"/>
        <v>4.5</v>
      </c>
      <c r="J295" s="44" t="str">
        <f t="shared" si="183"/>
        <v/>
      </c>
      <c r="K295" s="18">
        <f>SUMIF(D296:J296,"",D295:J295)</f>
        <v>9</v>
      </c>
      <c r="L295" s="12">
        <f>SUM(D295:J295)</f>
        <v>9</v>
      </c>
      <c r="M295" s="24"/>
      <c r="N295" s="10" t="str">
        <f t="shared" ref="N295" si="184">IF(D296="",D295,0)</f>
        <v/>
      </c>
      <c r="O295" s="10" t="str">
        <f t="shared" ref="O295" si="185">IF(E296="",E295,0)</f>
        <v/>
      </c>
      <c r="P295" s="10">
        <f t="shared" ref="P295" si="186">IF(F296="",F295,0)</f>
        <v>4.5</v>
      </c>
      <c r="Q295" s="10" t="str">
        <f t="shared" ref="Q295" si="187">IF(G296="",G295,0)</f>
        <v/>
      </c>
      <c r="R295" s="10">
        <f t="shared" ref="R295" si="188">IF(H296="",H295,0)</f>
        <v>0</v>
      </c>
      <c r="S295" s="10">
        <f t="shared" ref="S295" si="189">IF(I296="",I295,0)</f>
        <v>4.5</v>
      </c>
      <c r="T295" s="10" t="str">
        <f t="shared" ref="T295" si="190">IF(J296="",J295,0)</f>
        <v/>
      </c>
      <c r="U295" s="10"/>
      <c r="V295" s="10" t="str">
        <f t="shared" ref="V295" si="191">D295</f>
        <v/>
      </c>
      <c r="W295" s="10" t="str">
        <f t="shared" ref="W295" si="192">E295</f>
        <v/>
      </c>
      <c r="X295" s="10">
        <f t="shared" ref="X295" si="193">F295</f>
        <v>4.5</v>
      </c>
      <c r="Y295" s="10" t="str">
        <f t="shared" ref="Y295" si="194">G295</f>
        <v/>
      </c>
      <c r="Z295" s="10">
        <f t="shared" ref="Z295" si="195">H295</f>
        <v>0</v>
      </c>
      <c r="AA295" s="10">
        <f t="shared" ref="AA295" si="196">I295</f>
        <v>4.5</v>
      </c>
      <c r="AB295" s="10" t="str">
        <f t="shared" ref="AB295" si="197">J295</f>
        <v/>
      </c>
      <c r="AD295" s="6">
        <f>IF((D292&lt;&gt;"")*(D296=""),IF((D292&lt;=#REF!)*((D293&gt;=#REF!)+(D293&lt;2/24)),1,0),0)</f>
        <v>0</v>
      </c>
      <c r="AE295" s="6">
        <f>IF((E292&lt;&gt;"")*(E296=""),IF((E292&lt;=#REF!)*((E293&gt;=#REF!)+(E293&lt;2/24)),1,0),0)</f>
        <v>0</v>
      </c>
      <c r="AF295" s="6" t="e">
        <f>IF((F292&lt;&gt;"")*(F296=""),IF((F292&lt;=#REF!)*((F293&gt;=#REF!)+(F293&lt;2/24)),1,0),0)</f>
        <v>#REF!</v>
      </c>
      <c r="AG295" s="6">
        <f>IF((G292&lt;&gt;"")*(G296=""),IF((G292&lt;=#REF!)*((G293&gt;=#REF!)+(G293&lt;2/24)),1,0),0)</f>
        <v>0</v>
      </c>
      <c r="AH295" s="6">
        <f>IF((H292&lt;&gt;"")*(H296=""),IF((H292&lt;=#REF!)*((H293&gt;=#REF!)+(H293&lt;2/24)),1,0),0)</f>
        <v>0</v>
      </c>
      <c r="AI295" s="6" t="e">
        <f>IF((I292&lt;&gt;"")*(I296=""),IF((I292&lt;=#REF!)*((I293&gt;=#REF!)+(I293&lt;2/24)),1,0),0)</f>
        <v>#REF!</v>
      </c>
      <c r="AJ295" s="6">
        <f>IF((J292&lt;&gt;"")*(J296=""),IF((J292&lt;=#REF!)*((J293&gt;=#REF!)+(J293&lt;2/24)),1,0),0)</f>
        <v>0</v>
      </c>
    </row>
    <row r="296" spans="1:36" x14ac:dyDescent="0.2">
      <c r="A296" s="39"/>
      <c r="B296" s="40"/>
      <c r="C296" s="32" t="s">
        <v>4</v>
      </c>
      <c r="D296" s="33"/>
      <c r="E296" s="33"/>
      <c r="F296" s="33"/>
      <c r="G296" s="33"/>
      <c r="H296" s="33"/>
      <c r="I296" s="33"/>
      <c r="J296" s="33"/>
      <c r="K296" s="17"/>
      <c r="L296" s="6"/>
      <c r="M296" s="25"/>
      <c r="N296" s="6"/>
      <c r="O296" s="6"/>
      <c r="P296" s="6"/>
      <c r="Q296" s="6"/>
      <c r="R296" s="6"/>
      <c r="S296" s="6"/>
      <c r="T296" s="6"/>
      <c r="U296" s="6"/>
      <c r="V296" s="20"/>
      <c r="W296" s="20"/>
      <c r="X296" s="20"/>
      <c r="Y296" s="20"/>
      <c r="Z296" s="20"/>
      <c r="AA296" s="20"/>
      <c r="AB296" s="20"/>
      <c r="AD296" s="6">
        <f>IF((D292&lt;&gt;"")*(D296=""),IF((D292&lt;=#REF!)*((D293&gt;=#REF!)+(D293&lt;2/24)),1,0),0)</f>
        <v>0</v>
      </c>
      <c r="AE296" s="6">
        <f>IF((E292&lt;&gt;"")*(E296=""),IF((E292&lt;=#REF!)*((E293&gt;=#REF!)+(E293&lt;2/24)),1,0),0)</f>
        <v>0</v>
      </c>
      <c r="AF296" s="6" t="e">
        <f>IF((F292&lt;&gt;"")*(F296=""),IF((F292&lt;=#REF!)*((F293&gt;=#REF!)+(F293&lt;2/24)),1,0),0)</f>
        <v>#REF!</v>
      </c>
      <c r="AG296" s="6">
        <f>IF((G292&lt;&gt;"")*(G296=""),IF((G292&lt;=#REF!)*((G293&gt;=#REF!)+(G293&lt;2/24)),1,0),0)</f>
        <v>0</v>
      </c>
      <c r="AH296" s="6">
        <f>IF((H292&lt;&gt;"")*(H296=""),IF((H292&lt;=#REF!)*((H293&gt;=#REF!)+(H293&lt;2/24)),1,0),0)</f>
        <v>0</v>
      </c>
      <c r="AI296" s="6" t="e">
        <f>IF((I292&lt;&gt;"")*(I296=""),IF((I292&lt;=#REF!)*((I293&gt;=#REF!)+(I293&lt;2/24)),1,0),0)</f>
        <v>#REF!</v>
      </c>
      <c r="AJ296" s="6">
        <f>IF((J292&lt;&gt;"")*(J296=""),IF((J292&lt;=#REF!)*((J293&gt;=#REF!)+(J293&lt;2/24)),1,0),0)</f>
        <v>0</v>
      </c>
    </row>
    <row r="297" spans="1:36" ht="13.5" thickBot="1" x14ac:dyDescent="0.25">
      <c r="A297" s="41"/>
      <c r="B297" s="42"/>
      <c r="C297" s="35" t="s">
        <v>28</v>
      </c>
      <c r="D297" s="93"/>
      <c r="E297" s="93"/>
      <c r="F297" s="93"/>
      <c r="G297" s="93"/>
      <c r="H297" s="93"/>
      <c r="I297" s="93"/>
      <c r="J297" s="93"/>
      <c r="K297" s="94"/>
      <c r="L297" s="6"/>
      <c r="M297" s="25"/>
      <c r="N297" s="6"/>
      <c r="O297" s="6"/>
      <c r="P297" s="6"/>
      <c r="Q297" s="6"/>
      <c r="R297" s="6"/>
      <c r="S297" s="6"/>
      <c r="T297" s="6"/>
      <c r="U297" s="6"/>
      <c r="V297" s="20"/>
      <c r="W297" s="20"/>
      <c r="X297" s="20"/>
      <c r="Y297" s="20"/>
      <c r="Z297" s="20"/>
      <c r="AA297" s="20"/>
      <c r="AB297" s="20"/>
      <c r="AD297" s="6"/>
      <c r="AE297" s="6"/>
      <c r="AF297" s="6"/>
      <c r="AG297" s="6"/>
      <c r="AH297" s="6"/>
      <c r="AI297" s="6"/>
      <c r="AJ297" s="6"/>
    </row>
    <row r="298" spans="1:36" x14ac:dyDescent="0.2">
      <c r="A298" s="39" t="s">
        <v>159</v>
      </c>
      <c r="B298" s="40" t="s">
        <v>109</v>
      </c>
      <c r="C298" s="14" t="s">
        <v>0</v>
      </c>
      <c r="D298" s="26"/>
      <c r="E298" s="26">
        <v>0.54166666666666663</v>
      </c>
      <c r="F298" s="26">
        <v>0.77083333333333337</v>
      </c>
      <c r="G298" s="26"/>
      <c r="H298" s="26"/>
      <c r="I298" s="26"/>
      <c r="J298" s="26">
        <v>0.54166666666666663</v>
      </c>
      <c r="K298" s="16"/>
      <c r="L298" s="6"/>
      <c r="M298" s="25"/>
      <c r="N298" s="6"/>
      <c r="O298" s="6"/>
      <c r="P298" s="6"/>
      <c r="Q298" s="6"/>
      <c r="R298" s="6"/>
      <c r="S298" s="6"/>
      <c r="T298" s="6"/>
      <c r="U298" s="6"/>
      <c r="V298" s="20"/>
      <c r="W298" s="20"/>
      <c r="X298" s="20"/>
      <c r="Y298" s="20"/>
      <c r="Z298" s="20"/>
      <c r="AA298" s="20"/>
      <c r="AB298" s="20"/>
      <c r="AD298" s="6"/>
      <c r="AE298" s="6"/>
      <c r="AF298" s="6"/>
      <c r="AG298" s="6"/>
      <c r="AH298" s="6"/>
      <c r="AI298" s="6"/>
      <c r="AJ298" s="6"/>
    </row>
    <row r="299" spans="1:36" x14ac:dyDescent="0.2">
      <c r="A299" s="39"/>
      <c r="B299" s="40"/>
      <c r="C299" s="15" t="s">
        <v>1</v>
      </c>
      <c r="D299" s="27"/>
      <c r="E299" s="27">
        <v>0.75</v>
      </c>
      <c r="F299" s="27">
        <v>0.95833333333333337</v>
      </c>
      <c r="G299" s="27"/>
      <c r="H299" s="27"/>
      <c r="I299" s="27"/>
      <c r="J299" s="27">
        <v>0.75</v>
      </c>
      <c r="K299" s="17"/>
      <c r="L299" s="6"/>
      <c r="M299" s="25"/>
      <c r="N299" s="6"/>
      <c r="O299" s="6"/>
      <c r="P299" s="6"/>
      <c r="Q299" s="6"/>
      <c r="R299" s="6"/>
      <c r="S299" s="6"/>
      <c r="T299" s="6"/>
      <c r="U299" s="6"/>
      <c r="V299" s="20"/>
      <c r="W299" s="20"/>
      <c r="X299" s="20"/>
      <c r="Y299" s="20"/>
      <c r="Z299" s="20"/>
      <c r="AA299" s="20"/>
      <c r="AB299" s="20"/>
      <c r="AD299" s="6"/>
      <c r="AE299" s="6"/>
      <c r="AF299" s="6"/>
      <c r="AG299" s="6"/>
      <c r="AH299" s="6"/>
      <c r="AI299" s="6"/>
      <c r="AJ299" s="6"/>
    </row>
    <row r="300" spans="1:36" x14ac:dyDescent="0.2">
      <c r="A300" s="39"/>
      <c r="B300" s="40"/>
      <c r="C300" s="15" t="s">
        <v>2</v>
      </c>
      <c r="D300" s="4"/>
      <c r="E300" s="4"/>
      <c r="F300" s="4"/>
      <c r="G300" s="58"/>
      <c r="H300" s="4"/>
      <c r="I300" s="4"/>
      <c r="J300" s="4"/>
      <c r="K300" s="17"/>
      <c r="L300" s="6"/>
      <c r="M300" s="25"/>
      <c r="N300" s="6"/>
      <c r="O300" s="6"/>
      <c r="P300" s="6"/>
      <c r="Q300" s="6"/>
      <c r="R300" s="6"/>
      <c r="S300" s="6"/>
      <c r="T300" s="6"/>
      <c r="U300" s="6"/>
      <c r="V300" s="20"/>
      <c r="W300" s="20"/>
      <c r="X300" s="20"/>
      <c r="Y300" s="20"/>
      <c r="Z300" s="20"/>
      <c r="AA300" s="20"/>
      <c r="AB300" s="20"/>
      <c r="AD300" s="6"/>
      <c r="AE300" s="6"/>
      <c r="AF300" s="6"/>
      <c r="AG300" s="6"/>
      <c r="AH300" s="6"/>
      <c r="AI300" s="6"/>
      <c r="AJ300" s="6"/>
    </row>
    <row r="301" spans="1:36" x14ac:dyDescent="0.2">
      <c r="A301" s="39"/>
      <c r="B301" s="40"/>
      <c r="C301" s="15" t="s">
        <v>3</v>
      </c>
      <c r="D301" s="43" t="str">
        <f t="shared" ref="D301:G301" si="198">IF(D298="","",IF(D299&gt;D298,(D299-D298-D300)*24,(1-D298-D300+D299)*24))</f>
        <v/>
      </c>
      <c r="E301" s="43">
        <f t="shared" si="198"/>
        <v>5.0000000000000009</v>
      </c>
      <c r="F301" s="43">
        <f t="shared" si="198"/>
        <v>4.5</v>
      </c>
      <c r="G301" s="55" t="str">
        <f t="shared" si="198"/>
        <v/>
      </c>
      <c r="H301" s="55"/>
      <c r="I301" s="43" t="str">
        <f t="shared" ref="I301:J301" si="199">IF(I298="","",IF(I299&gt;I298,(I299-I298-I300)*24,(1-I298-I300+I299)*24))</f>
        <v/>
      </c>
      <c r="J301" s="44">
        <f t="shared" si="199"/>
        <v>5.0000000000000009</v>
      </c>
      <c r="K301" s="18">
        <f>SUMIF(D302:J302,"",D301:J301)</f>
        <v>14.5</v>
      </c>
      <c r="L301" s="12">
        <f>SUM(D301:J301)</f>
        <v>14.5</v>
      </c>
      <c r="M301" s="25"/>
      <c r="N301" s="6"/>
      <c r="O301" s="6"/>
      <c r="P301" s="6"/>
      <c r="Q301" s="6"/>
      <c r="R301" s="6"/>
      <c r="S301" s="6"/>
      <c r="T301" s="6"/>
      <c r="U301" s="6"/>
      <c r="V301" s="20"/>
      <c r="W301" s="20"/>
      <c r="X301" s="20"/>
      <c r="Y301" s="20"/>
      <c r="Z301" s="20"/>
      <c r="AA301" s="20"/>
      <c r="AB301" s="20"/>
      <c r="AD301" s="6"/>
      <c r="AE301" s="6"/>
      <c r="AF301" s="6"/>
      <c r="AG301" s="6"/>
      <c r="AH301" s="6"/>
      <c r="AI301" s="6"/>
      <c r="AJ301" s="6"/>
    </row>
    <row r="302" spans="1:36" x14ac:dyDescent="0.2">
      <c r="A302" s="39"/>
      <c r="B302" s="40"/>
      <c r="C302" s="32" t="s">
        <v>4</v>
      </c>
      <c r="D302" s="33"/>
      <c r="E302" s="33"/>
      <c r="F302" s="33"/>
      <c r="G302" s="33"/>
      <c r="H302" s="33"/>
      <c r="I302" s="33"/>
      <c r="J302" s="33"/>
      <c r="K302" s="17"/>
      <c r="L302" s="6"/>
      <c r="M302" s="25"/>
      <c r="N302" s="6"/>
      <c r="O302" s="6"/>
      <c r="P302" s="6"/>
      <c r="Q302" s="6"/>
      <c r="R302" s="6"/>
      <c r="S302" s="6"/>
      <c r="T302" s="6"/>
      <c r="U302" s="6"/>
      <c r="V302" s="20"/>
      <c r="W302" s="20"/>
      <c r="X302" s="20"/>
      <c r="Y302" s="20"/>
      <c r="Z302" s="20"/>
      <c r="AA302" s="20"/>
      <c r="AB302" s="20"/>
      <c r="AD302" s="6"/>
      <c r="AE302" s="6"/>
      <c r="AF302" s="6"/>
      <c r="AG302" s="6"/>
      <c r="AH302" s="6"/>
      <c r="AI302" s="6"/>
      <c r="AJ302" s="6"/>
    </row>
    <row r="303" spans="1:36" ht="13.5" thickBot="1" x14ac:dyDescent="0.25">
      <c r="A303" s="41"/>
      <c r="B303" s="42"/>
      <c r="C303" s="35" t="s">
        <v>28</v>
      </c>
      <c r="D303" s="93"/>
      <c r="E303" s="93"/>
      <c r="F303" s="93"/>
      <c r="G303" s="93"/>
      <c r="H303" s="93"/>
      <c r="I303" s="93"/>
      <c r="J303" s="93"/>
      <c r="K303" s="94"/>
      <c r="L303" s="6"/>
      <c r="M303" s="25"/>
      <c r="N303" s="6"/>
      <c r="O303" s="6"/>
      <c r="P303" s="6"/>
      <c r="Q303" s="6"/>
      <c r="R303" s="6"/>
      <c r="S303" s="6"/>
      <c r="T303" s="6"/>
      <c r="U303" s="6"/>
      <c r="V303" s="20"/>
      <c r="W303" s="20"/>
      <c r="X303" s="20"/>
      <c r="Y303" s="20"/>
      <c r="Z303" s="20"/>
      <c r="AA303" s="20"/>
      <c r="AB303" s="20"/>
      <c r="AD303" s="6"/>
      <c r="AE303" s="6"/>
      <c r="AF303" s="6"/>
      <c r="AG303" s="6"/>
      <c r="AH303" s="6"/>
      <c r="AI303" s="6"/>
      <c r="AJ303" s="6"/>
    </row>
    <row r="304" spans="1:36" x14ac:dyDescent="0.2">
      <c r="A304" s="37" t="s">
        <v>107</v>
      </c>
      <c r="B304" s="38" t="s">
        <v>113</v>
      </c>
      <c r="C304" s="14" t="s">
        <v>0</v>
      </c>
      <c r="D304" s="26">
        <v>0.54166666666666663</v>
      </c>
      <c r="E304" s="26"/>
      <c r="F304" s="26">
        <v>0.54166666666666663</v>
      </c>
      <c r="G304" s="26"/>
      <c r="H304" s="26">
        <v>0.77083333333333337</v>
      </c>
      <c r="I304" s="26"/>
      <c r="J304" s="26"/>
      <c r="K304" s="16"/>
      <c r="L304" s="6"/>
      <c r="M304" s="21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D304" s="6" t="e">
        <f>IF((D304&lt;&gt;"")*(D308=""),IF((D304&lt;=#REF!)*((D305&gt;=#REF!)+(D305&lt;2/24)),1,0),0)</f>
        <v>#REF!</v>
      </c>
      <c r="AE304" s="6">
        <f>IF((E304&lt;&gt;"")*(E308=""),IF((E304&lt;=#REF!)*((E305&gt;=#REF!)+(E305&lt;2/24)),1,0),0)</f>
        <v>0</v>
      </c>
      <c r="AF304" s="6" t="e">
        <f>IF((F304&lt;&gt;"")*(F308=""),IF((F304&lt;=#REF!)*((F305&gt;=#REF!)+(F305&lt;2/24)),1,0),0)</f>
        <v>#REF!</v>
      </c>
      <c r="AG304" s="6">
        <f>IF((G304&lt;&gt;"")*(G308=""),IF((G304&lt;=#REF!)*((G305&gt;=#REF!)+(G305&lt;2/24)),1,0),0)</f>
        <v>0</v>
      </c>
      <c r="AH304" s="6" t="e">
        <f>IF((H304&lt;&gt;"")*(H308=""),IF((H304&lt;=#REF!)*((H305&gt;=#REF!)+(H305&lt;2/24)),1,0),0)</f>
        <v>#REF!</v>
      </c>
      <c r="AI304" s="6">
        <f>IF((I304&lt;&gt;"")*(I308=""),IF((I304&lt;=#REF!)*((I305&gt;=#REF!)+(I305&lt;2/24)),1,0),0)</f>
        <v>0</v>
      </c>
      <c r="AJ304" s="6">
        <f>IF((J304&lt;&gt;"")*(J308=""),IF((J304&lt;=#REF!)*((J305&gt;=#REF!)+(J305&lt;2/24)),1,0),0)</f>
        <v>0</v>
      </c>
    </row>
    <row r="305" spans="1:36" x14ac:dyDescent="0.2">
      <c r="A305" s="39"/>
      <c r="B305" s="40"/>
      <c r="C305" s="15" t="s">
        <v>1</v>
      </c>
      <c r="D305" s="27">
        <v>0.75</v>
      </c>
      <c r="E305" s="27"/>
      <c r="F305" s="27">
        <v>0.75</v>
      </c>
      <c r="G305" s="27"/>
      <c r="H305" s="27">
        <v>0.95833333333333337</v>
      </c>
      <c r="I305" s="27"/>
      <c r="J305" s="27"/>
      <c r="K305" s="17"/>
      <c r="L305" s="6"/>
      <c r="M305" s="21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D305" s="6" t="e">
        <f>IF((D304&lt;&gt;"")*(D308=""),IF((D304&lt;=#REF!)*((D305&gt;=#REF!)+(D305&lt;2/24)),1,0),0)</f>
        <v>#REF!</v>
      </c>
      <c r="AE305" s="6">
        <f>IF((E304&lt;&gt;"")*(E308=""),IF((E304&lt;=#REF!)*((E305&gt;=#REF!)+(E305&lt;2/24)),1,0),0)</f>
        <v>0</v>
      </c>
      <c r="AF305" s="6" t="e">
        <f>IF((F304&lt;&gt;"")*(F308=""),IF((F304&lt;=#REF!)*((F305&gt;=#REF!)+(F305&lt;2/24)),1,0),0)</f>
        <v>#REF!</v>
      </c>
      <c r="AG305" s="6">
        <f>IF((G304&lt;&gt;"")*(G308=""),IF((G304&lt;=#REF!)*((G305&gt;=#REF!)+(G305&lt;2/24)),1,0),0)</f>
        <v>0</v>
      </c>
      <c r="AH305" s="6" t="e">
        <f>IF((H304&lt;&gt;"")*(H308=""),IF((H304&lt;=#REF!)*((H305&gt;=#REF!)+(H305&lt;2/24)),1,0),0)</f>
        <v>#REF!</v>
      </c>
      <c r="AI305" s="6">
        <f>IF((I304&lt;&gt;"")*(I308=""),IF((I304&lt;=#REF!)*((I305&gt;=#REF!)+(I305&lt;2/24)),1,0),0)</f>
        <v>0</v>
      </c>
      <c r="AJ305" s="6">
        <f>IF((J304&lt;&gt;"")*(J308=""),IF((J304&lt;=#REF!)*((J305&gt;=#REF!)+(J305&lt;2/24)),1,0),0)</f>
        <v>0</v>
      </c>
    </row>
    <row r="306" spans="1:36" x14ac:dyDescent="0.2">
      <c r="A306" s="39"/>
      <c r="B306" s="40"/>
      <c r="C306" s="15" t="s">
        <v>2</v>
      </c>
      <c r="D306" s="4"/>
      <c r="E306" s="4"/>
      <c r="F306" s="4"/>
      <c r="G306" s="58"/>
      <c r="H306" s="4"/>
      <c r="I306" s="4"/>
      <c r="J306" s="4"/>
      <c r="K306" s="17"/>
      <c r="L306" s="6"/>
      <c r="M306" s="21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D306" s="6" t="e">
        <f>IF((D304&lt;&gt;"")*(D308=""),IF((D304&lt;=#REF!)*((D305&gt;=#REF!)+(D305&lt;2/24)),1,0),0)</f>
        <v>#REF!</v>
      </c>
      <c r="AE306" s="6">
        <f>IF((E304&lt;&gt;"")*(E308=""),IF((E304&lt;=#REF!)*((E305&gt;=#REF!)+(E305&lt;2/24)),1,0),0)</f>
        <v>0</v>
      </c>
      <c r="AF306" s="6" t="e">
        <f>IF((F304&lt;&gt;"")*(F308=""),IF((F304&lt;=#REF!)*((F305&gt;=#REF!)+(F305&lt;2/24)),1,0),0)</f>
        <v>#REF!</v>
      </c>
      <c r="AG306" s="6">
        <f>IF((G304&lt;&gt;"")*(G308=""),IF((G304&lt;=#REF!)*((G305&gt;=#REF!)+(G305&lt;2/24)),1,0),0)</f>
        <v>0</v>
      </c>
      <c r="AH306" s="6" t="e">
        <f>IF((H304&lt;&gt;"")*(H308=""),IF((H304&lt;=#REF!)*((H305&gt;=#REF!)+(H305&lt;2/24)),1,0),0)</f>
        <v>#REF!</v>
      </c>
      <c r="AI306" s="6">
        <f>IF((I304&lt;&gt;"")*(I308=""),IF((I304&lt;=#REF!)*((I305&gt;=#REF!)+(I305&lt;2/24)),1,0),0)</f>
        <v>0</v>
      </c>
      <c r="AJ306" s="6">
        <f>IF((J304&lt;&gt;"")*(J308=""),IF((J304&lt;=#REF!)*((J305&gt;=#REF!)+(J305&lt;2/24)),1,0),0)</f>
        <v>0</v>
      </c>
    </row>
    <row r="307" spans="1:36" x14ac:dyDescent="0.2">
      <c r="A307" s="39"/>
      <c r="B307" s="40"/>
      <c r="C307" s="15" t="s">
        <v>3</v>
      </c>
      <c r="D307" s="43">
        <f t="shared" ref="D307" si="200">IF(D304="","",IF(D305&gt;D304,(D305-D304-D306)*24,(1-D304-D306+D305)*24))</f>
        <v>5.0000000000000009</v>
      </c>
      <c r="E307" s="43" t="str">
        <f t="shared" ref="D307:J307" si="201">IF(E304="","",IF(E305&gt;E304,(E305-E304-E306)*24,(1-E304-E306+E305)*24))</f>
        <v/>
      </c>
      <c r="F307" s="43">
        <f t="shared" si="201"/>
        <v>5.0000000000000009</v>
      </c>
      <c r="G307" s="55" t="str">
        <f t="shared" si="201"/>
        <v/>
      </c>
      <c r="H307" s="55">
        <v>4.5</v>
      </c>
      <c r="I307" s="43" t="str">
        <f t="shared" si="201"/>
        <v/>
      </c>
      <c r="J307" s="44" t="str">
        <f t="shared" si="201"/>
        <v/>
      </c>
      <c r="K307" s="18">
        <f>SUMIF(D308:J308,"",D307:J307)</f>
        <v>14.500000000000002</v>
      </c>
      <c r="L307" s="12">
        <f>SUM(D307:J307)</f>
        <v>14.500000000000002</v>
      </c>
      <c r="M307" s="24"/>
      <c r="N307" s="10">
        <f t="shared" ref="N307" si="202">IF(D308="",D307,0)</f>
        <v>5.0000000000000009</v>
      </c>
      <c r="O307" s="10" t="str">
        <f t="shared" ref="O307" si="203">IF(E308="",E307,0)</f>
        <v/>
      </c>
      <c r="P307" s="10">
        <f t="shared" ref="P307" si="204">IF(F308="",F307,0)</f>
        <v>5.0000000000000009</v>
      </c>
      <c r="Q307" s="10" t="str">
        <f t="shared" ref="Q307" si="205">IF(G308="",G307,0)</f>
        <v/>
      </c>
      <c r="R307" s="10">
        <f t="shared" ref="R307" si="206">IF(H308="",H307,0)</f>
        <v>4.5</v>
      </c>
      <c r="S307" s="10" t="str">
        <f t="shared" ref="S307" si="207">IF(I308="",I307,0)</f>
        <v/>
      </c>
      <c r="T307" s="10" t="str">
        <f t="shared" ref="T307" si="208">IF(J308="",J307,0)</f>
        <v/>
      </c>
      <c r="U307" s="10"/>
      <c r="V307" s="10">
        <f t="shared" ref="V307" si="209">D307</f>
        <v>5.0000000000000009</v>
      </c>
      <c r="W307" s="10" t="str">
        <f t="shared" ref="W307" si="210">E307</f>
        <v/>
      </c>
      <c r="X307" s="10">
        <f t="shared" ref="X307" si="211">F307</f>
        <v>5.0000000000000009</v>
      </c>
      <c r="Y307" s="10" t="str">
        <f t="shared" ref="Y307" si="212">G307</f>
        <v/>
      </c>
      <c r="Z307" s="10">
        <f t="shared" ref="Z307" si="213">H307</f>
        <v>4.5</v>
      </c>
      <c r="AA307" s="10" t="str">
        <f t="shared" ref="AA307" si="214">I307</f>
        <v/>
      </c>
      <c r="AB307" s="10" t="str">
        <f t="shared" ref="AB307" si="215">J307</f>
        <v/>
      </c>
      <c r="AD307" s="6" t="e">
        <f>IF((D304&lt;&gt;"")*(D308=""),IF((D304&lt;=#REF!)*((D305&gt;=#REF!)+(D305&lt;2/24)),1,0),0)</f>
        <v>#REF!</v>
      </c>
      <c r="AE307" s="6">
        <f>IF((E304&lt;&gt;"")*(E308=""),IF((E304&lt;=#REF!)*((E305&gt;=#REF!)+(E305&lt;2/24)),1,0),0)</f>
        <v>0</v>
      </c>
      <c r="AF307" s="6" t="e">
        <f>IF((F304&lt;&gt;"")*(F308=""),IF((F304&lt;=#REF!)*((F305&gt;=#REF!)+(F305&lt;2/24)),1,0),0)</f>
        <v>#REF!</v>
      </c>
      <c r="AG307" s="6">
        <f>IF((G304&lt;&gt;"")*(G308=""),IF((G304&lt;=#REF!)*((G305&gt;=#REF!)+(G305&lt;2/24)),1,0),0)</f>
        <v>0</v>
      </c>
      <c r="AH307" s="6" t="e">
        <f>IF((H304&lt;&gt;"")*(H308=""),IF((H304&lt;=#REF!)*((H305&gt;=#REF!)+(H305&lt;2/24)),1,0),0)</f>
        <v>#REF!</v>
      </c>
      <c r="AI307" s="6">
        <f>IF((I304&lt;&gt;"")*(I308=""),IF((I304&lt;=#REF!)*((I305&gt;=#REF!)+(I305&lt;2/24)),1,0),0)</f>
        <v>0</v>
      </c>
      <c r="AJ307" s="6">
        <f>IF((J304&lt;&gt;"")*(J308=""),IF((J304&lt;=#REF!)*((J305&gt;=#REF!)+(J305&lt;2/24)),1,0),0)</f>
        <v>0</v>
      </c>
    </row>
    <row r="308" spans="1:36" x14ac:dyDescent="0.2">
      <c r="A308" s="39"/>
      <c r="B308" s="40"/>
      <c r="C308" s="32" t="s">
        <v>4</v>
      </c>
      <c r="D308" s="33"/>
      <c r="E308" s="33"/>
      <c r="F308" s="33"/>
      <c r="G308" s="33"/>
      <c r="H308" s="33"/>
      <c r="I308" s="33"/>
      <c r="J308" s="33"/>
      <c r="K308" s="17"/>
      <c r="L308" s="6"/>
      <c r="M308" s="25"/>
      <c r="N308" s="6"/>
      <c r="O308" s="6"/>
      <c r="P308" s="6"/>
      <c r="Q308" s="6"/>
      <c r="R308" s="6"/>
      <c r="S308" s="6"/>
      <c r="T308" s="6"/>
      <c r="U308" s="6"/>
      <c r="V308" s="20"/>
      <c r="W308" s="20"/>
      <c r="X308" s="20"/>
      <c r="Y308" s="20"/>
      <c r="Z308" s="20"/>
      <c r="AA308" s="20"/>
      <c r="AB308" s="20"/>
      <c r="AD308" s="6" t="e">
        <f>IF((D304&lt;&gt;"")*(D308=""),IF((D304&lt;=#REF!)*((D305&gt;=#REF!)+(D305&lt;2/24)),1,0),0)</f>
        <v>#REF!</v>
      </c>
      <c r="AE308" s="6">
        <f>IF((E304&lt;&gt;"")*(E308=""),IF((E304&lt;=#REF!)*((E305&gt;=#REF!)+(E305&lt;2/24)),1,0),0)</f>
        <v>0</v>
      </c>
      <c r="AF308" s="6" t="e">
        <f>IF((F304&lt;&gt;"")*(F308=""),IF((F304&lt;=#REF!)*((F305&gt;=#REF!)+(F305&lt;2/24)),1,0),0)</f>
        <v>#REF!</v>
      </c>
      <c r="AG308" s="6">
        <f>IF((G304&lt;&gt;"")*(G308=""),IF((G304&lt;=#REF!)*((G305&gt;=#REF!)+(G305&lt;2/24)),1,0),0)</f>
        <v>0</v>
      </c>
      <c r="AH308" s="6" t="e">
        <f>IF((H304&lt;&gt;"")*(H308=""),IF((H304&lt;=#REF!)*((H305&gt;=#REF!)+(H305&lt;2/24)),1,0),0)</f>
        <v>#REF!</v>
      </c>
      <c r="AI308" s="6">
        <f>IF((I304&lt;&gt;"")*(I308=""),IF((I304&lt;=#REF!)*((I305&gt;=#REF!)+(I305&lt;2/24)),1,0),0)</f>
        <v>0</v>
      </c>
      <c r="AJ308" s="6">
        <f>IF((J304&lt;&gt;"")*(J308=""),IF((J304&lt;=#REF!)*((J305&gt;=#REF!)+(J305&lt;2/24)),1,0),0)</f>
        <v>0</v>
      </c>
    </row>
    <row r="309" spans="1:36" ht="13.5" thickBot="1" x14ac:dyDescent="0.25">
      <c r="A309" s="41"/>
      <c r="B309" s="42"/>
      <c r="C309" s="35" t="s">
        <v>28</v>
      </c>
      <c r="D309" s="36"/>
      <c r="E309" s="36"/>
      <c r="F309" s="36"/>
      <c r="G309" s="36"/>
      <c r="H309" s="36"/>
      <c r="I309" s="36"/>
      <c r="J309" s="36"/>
      <c r="K309" s="34"/>
      <c r="L309" s="6"/>
      <c r="M309" s="25"/>
      <c r="N309" s="6"/>
      <c r="O309" s="6"/>
      <c r="P309" s="6"/>
      <c r="Q309" s="6"/>
      <c r="R309" s="6"/>
      <c r="S309" s="6"/>
      <c r="T309" s="6"/>
      <c r="U309" s="6"/>
      <c r="V309" s="20"/>
      <c r="W309" s="20"/>
      <c r="X309" s="20"/>
      <c r="Y309" s="20"/>
      <c r="Z309" s="20"/>
      <c r="AA309" s="20"/>
      <c r="AB309" s="20"/>
      <c r="AD309" s="6"/>
      <c r="AE309" s="6"/>
      <c r="AF309" s="6"/>
      <c r="AG309" s="6"/>
      <c r="AH309" s="6"/>
      <c r="AI309" s="6"/>
      <c r="AJ309" s="6"/>
    </row>
    <row r="310" spans="1:36" ht="10.5" customHeight="1" x14ac:dyDescent="0.2">
      <c r="A310" s="37" t="s">
        <v>131</v>
      </c>
      <c r="B310" s="38" t="s">
        <v>132</v>
      </c>
      <c r="C310" s="14" t="s">
        <v>0</v>
      </c>
      <c r="D310" s="26"/>
      <c r="E310" s="26"/>
      <c r="F310" s="26"/>
      <c r="G310" s="26"/>
      <c r="H310" s="26"/>
      <c r="I310" s="26"/>
      <c r="J310" s="26"/>
      <c r="K310" s="16"/>
      <c r="L310" s="6"/>
      <c r="M310" s="21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D310" s="6">
        <f>IF((D310&lt;&gt;"")*(D314=""),IF((D310&lt;=#REF!)*((D311&gt;=#REF!)+(D311&lt;2/24)),1,0),0)</f>
        <v>0</v>
      </c>
      <c r="AE310" s="6">
        <f>IF((E310&lt;&gt;"")*(E314=""),IF((E310&lt;=#REF!)*((E311&gt;=#REF!)+(E311&lt;2/24)),1,0),0)</f>
        <v>0</v>
      </c>
      <c r="AF310" s="6">
        <f>IF((F310&lt;&gt;"")*(F314=""),IF((F310&lt;=#REF!)*((F311&gt;=#REF!)+(F311&lt;2/24)),1,0),0)</f>
        <v>0</v>
      </c>
      <c r="AG310" s="6">
        <f>IF((G310&lt;&gt;"")*(G314=""),IF((G310&lt;=#REF!)*((G311&gt;=#REF!)+(G311&lt;2/24)),1,0),0)</f>
        <v>0</v>
      </c>
      <c r="AH310" s="6">
        <f>IF((H310&lt;&gt;"")*(H314=""),IF((H310&lt;=#REF!)*((H311&gt;=#REF!)+(H311&lt;2/24)),1,0),0)</f>
        <v>0</v>
      </c>
      <c r="AI310" s="6">
        <f>IF((I310&lt;&gt;"")*(I314=""),IF((I310&lt;=#REF!)*((I311&gt;=#REF!)+(I311&lt;2/24)),1,0),0)</f>
        <v>0</v>
      </c>
      <c r="AJ310" s="6">
        <f>IF((J310&lt;&gt;"")*(J314=""),IF((J310&lt;=#REF!)*((J311&gt;=#REF!)+(J311&lt;2/24)),1,0),0)</f>
        <v>0</v>
      </c>
    </row>
    <row r="311" spans="1:36" x14ac:dyDescent="0.2">
      <c r="A311" s="39"/>
      <c r="B311" s="40"/>
      <c r="C311" s="15" t="s">
        <v>1</v>
      </c>
      <c r="D311" s="27"/>
      <c r="E311" s="27"/>
      <c r="F311" s="27"/>
      <c r="G311" s="27"/>
      <c r="H311" s="27"/>
      <c r="I311" s="27"/>
      <c r="J311" s="27"/>
      <c r="K311" s="17"/>
      <c r="L311" s="6"/>
      <c r="M311" s="21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D311" s="6">
        <f>IF((D310&lt;&gt;"")*(D314=""),IF((D310&lt;=#REF!)*((D311&gt;=#REF!)+(D311&lt;2/24)),1,0),0)</f>
        <v>0</v>
      </c>
      <c r="AE311" s="6">
        <f>IF((E310&lt;&gt;"")*(E314=""),IF((E310&lt;=#REF!)*((E311&gt;=#REF!)+(E311&lt;2/24)),1,0),0)</f>
        <v>0</v>
      </c>
      <c r="AF311" s="6">
        <f>IF((F310&lt;&gt;"")*(F314=""),IF((F310&lt;=#REF!)*((F311&gt;=#REF!)+(F311&lt;2/24)),1,0),0)</f>
        <v>0</v>
      </c>
      <c r="AG311" s="6">
        <f>IF((G310&lt;&gt;"")*(G314=""),IF((G310&lt;=#REF!)*((G311&gt;=#REF!)+(G311&lt;2/24)),1,0),0)</f>
        <v>0</v>
      </c>
      <c r="AH311" s="6">
        <f>IF((H310&lt;&gt;"")*(H314=""),IF((H310&lt;=#REF!)*((H311&gt;=#REF!)+(H311&lt;2/24)),1,0),0)</f>
        <v>0</v>
      </c>
      <c r="AI311" s="6">
        <f>IF((I310&lt;&gt;"")*(I314=""),IF((I310&lt;=#REF!)*((I311&gt;=#REF!)+(I311&lt;2/24)),1,0),0)</f>
        <v>0</v>
      </c>
      <c r="AJ311" s="6">
        <f>IF((J310&lt;&gt;"")*(J314=""),IF((J310&lt;=#REF!)*((J311&gt;=#REF!)+(J311&lt;2/24)),1,0),0)</f>
        <v>0</v>
      </c>
    </row>
    <row r="312" spans="1:36" x14ac:dyDescent="0.2">
      <c r="A312" s="39"/>
      <c r="B312" s="40"/>
      <c r="C312" s="15" t="s">
        <v>2</v>
      </c>
      <c r="D312" s="4"/>
      <c r="E312" s="4"/>
      <c r="F312" s="4"/>
      <c r="G312" s="58"/>
      <c r="H312" s="4"/>
      <c r="I312" s="4"/>
      <c r="J312" s="4"/>
      <c r="K312" s="17"/>
      <c r="L312" s="6"/>
      <c r="M312" s="21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D312" s="6">
        <f>IF((D310&lt;&gt;"")*(D314=""),IF((D310&lt;=#REF!)*((D311&gt;=#REF!)+(D311&lt;2/24)),1,0),0)</f>
        <v>0</v>
      </c>
      <c r="AE312" s="6">
        <f>IF((E310&lt;&gt;"")*(E314=""),IF((E310&lt;=#REF!)*((E311&gt;=#REF!)+(E311&lt;2/24)),1,0),0)</f>
        <v>0</v>
      </c>
      <c r="AF312" s="6">
        <f>IF((F310&lt;&gt;"")*(F314=""),IF((F310&lt;=#REF!)*((F311&gt;=#REF!)+(F311&lt;2/24)),1,0),0)</f>
        <v>0</v>
      </c>
      <c r="AG312" s="6">
        <f>IF((G310&lt;&gt;"")*(G314=""),IF((G310&lt;=#REF!)*((G311&gt;=#REF!)+(G311&lt;2/24)),1,0),0)</f>
        <v>0</v>
      </c>
      <c r="AH312" s="6">
        <f>IF((H310&lt;&gt;"")*(H314=""),IF((H310&lt;=#REF!)*((H311&gt;=#REF!)+(H311&lt;2/24)),1,0),0)</f>
        <v>0</v>
      </c>
      <c r="AI312" s="6">
        <f>IF((I310&lt;&gt;"")*(I314=""),IF((I310&lt;=#REF!)*((I311&gt;=#REF!)+(I311&lt;2/24)),1,0),0)</f>
        <v>0</v>
      </c>
      <c r="AJ312" s="6">
        <f>IF((J310&lt;&gt;"")*(J314=""),IF((J310&lt;=#REF!)*((J311&gt;=#REF!)+(J311&lt;2/24)),1,0),0)</f>
        <v>0</v>
      </c>
    </row>
    <row r="313" spans="1:36" x14ac:dyDescent="0.2">
      <c r="A313" s="39"/>
      <c r="B313" s="40"/>
      <c r="C313" s="15" t="s">
        <v>3</v>
      </c>
      <c r="D313" s="43" t="str">
        <f t="shared" ref="D313:J313" si="216">IF(D310="","",IF(D311&gt;D310,(D311-D310-D312)*24,(1-D310-D312+D311)*24))</f>
        <v/>
      </c>
      <c r="E313" s="43" t="str">
        <f t="shared" si="216"/>
        <v/>
      </c>
      <c r="F313" s="43" t="str">
        <f t="shared" si="216"/>
        <v/>
      </c>
      <c r="G313" s="55" t="str">
        <f t="shared" si="216"/>
        <v/>
      </c>
      <c r="H313" s="55" t="str">
        <f t="shared" si="216"/>
        <v/>
      </c>
      <c r="I313" s="43" t="str">
        <f t="shared" si="216"/>
        <v/>
      </c>
      <c r="J313" s="44" t="str">
        <f t="shared" si="216"/>
        <v/>
      </c>
      <c r="K313" s="18">
        <f>SUMIF(D314:J314,"",D313:J313)</f>
        <v>0</v>
      </c>
      <c r="L313" s="12">
        <f>SUM(D313:J313)</f>
        <v>0</v>
      </c>
      <c r="M313" s="24"/>
      <c r="N313" s="10" t="str">
        <f t="shared" ref="N313:T313" si="217">IF(D314="",D313,0)</f>
        <v/>
      </c>
      <c r="O313" s="10" t="str">
        <f t="shared" si="217"/>
        <v/>
      </c>
      <c r="P313" s="10" t="str">
        <f t="shared" si="217"/>
        <v/>
      </c>
      <c r="Q313" s="10" t="str">
        <f t="shared" si="217"/>
        <v/>
      </c>
      <c r="R313" s="10" t="str">
        <f t="shared" si="217"/>
        <v/>
      </c>
      <c r="S313" s="10" t="str">
        <f t="shared" si="217"/>
        <v/>
      </c>
      <c r="T313" s="10" t="str">
        <f t="shared" si="217"/>
        <v/>
      </c>
      <c r="U313" s="10"/>
      <c r="V313" s="10" t="str">
        <f t="shared" ref="V313:AB313" si="218">D313</f>
        <v/>
      </c>
      <c r="W313" s="10" t="str">
        <f t="shared" si="218"/>
        <v/>
      </c>
      <c r="X313" s="10" t="str">
        <f t="shared" si="218"/>
        <v/>
      </c>
      <c r="Y313" s="10" t="str">
        <f t="shared" si="218"/>
        <v/>
      </c>
      <c r="Z313" s="10" t="str">
        <f t="shared" si="218"/>
        <v/>
      </c>
      <c r="AA313" s="10" t="str">
        <f t="shared" si="218"/>
        <v/>
      </c>
      <c r="AB313" s="10" t="str">
        <f t="shared" si="218"/>
        <v/>
      </c>
      <c r="AD313" s="6">
        <f>IF((D310&lt;&gt;"")*(D314=""),IF((D310&lt;=#REF!)*((D311&gt;=#REF!)+(D311&lt;2/24)),1,0),0)</f>
        <v>0</v>
      </c>
      <c r="AE313" s="6">
        <f>IF((E310&lt;&gt;"")*(E314=""),IF((E310&lt;=#REF!)*((E311&gt;=#REF!)+(E311&lt;2/24)),1,0),0)</f>
        <v>0</v>
      </c>
      <c r="AF313" s="6">
        <f>IF((F310&lt;&gt;"")*(F314=""),IF((F310&lt;=#REF!)*((F311&gt;=#REF!)+(F311&lt;2/24)),1,0),0)</f>
        <v>0</v>
      </c>
      <c r="AG313" s="6">
        <f>IF((G310&lt;&gt;"")*(G314=""),IF((G310&lt;=#REF!)*((G311&gt;=#REF!)+(G311&lt;2/24)),1,0),0)</f>
        <v>0</v>
      </c>
      <c r="AH313" s="6">
        <f>IF((H310&lt;&gt;"")*(H314=""),IF((H310&lt;=#REF!)*((H311&gt;=#REF!)+(H311&lt;2/24)),1,0),0)</f>
        <v>0</v>
      </c>
      <c r="AI313" s="6">
        <f>IF((I310&lt;&gt;"")*(I314=""),IF((I310&lt;=#REF!)*((I311&gt;=#REF!)+(I311&lt;2/24)),1,0),0)</f>
        <v>0</v>
      </c>
      <c r="AJ313" s="6">
        <f>IF((J310&lt;&gt;"")*(J314=""),IF((J310&lt;=#REF!)*((J311&gt;=#REF!)+(J311&lt;2/24)),1,0),0)</f>
        <v>0</v>
      </c>
    </row>
    <row r="314" spans="1:36" x14ac:dyDescent="0.2">
      <c r="A314" s="39"/>
      <c r="B314" s="40"/>
      <c r="C314" s="32" t="s">
        <v>4</v>
      </c>
      <c r="D314" s="33"/>
      <c r="E314" s="33"/>
      <c r="F314" s="33"/>
      <c r="G314" s="33"/>
      <c r="H314" s="33"/>
      <c r="I314" s="33"/>
      <c r="J314" s="33"/>
      <c r="K314" s="17"/>
      <c r="L314" s="6"/>
      <c r="M314" s="25"/>
      <c r="N314" s="6"/>
      <c r="O314" s="6"/>
      <c r="P314" s="6"/>
      <c r="Q314" s="6"/>
      <c r="R314" s="6"/>
      <c r="S314" s="6"/>
      <c r="T314" s="6"/>
      <c r="U314" s="6"/>
      <c r="V314" s="20"/>
      <c r="W314" s="20"/>
      <c r="X314" s="20"/>
      <c r="Y314" s="20"/>
      <c r="Z314" s="20"/>
      <c r="AA314" s="20"/>
      <c r="AB314" s="20"/>
      <c r="AD314" s="6">
        <f>IF((D310&lt;&gt;"")*(D314=""),IF((D310&lt;=#REF!)*((D311&gt;=#REF!)+(D311&lt;2/24)),1,0),0)</f>
        <v>0</v>
      </c>
      <c r="AE314" s="6">
        <f>IF((E310&lt;&gt;"")*(E314=""),IF((E310&lt;=#REF!)*((E311&gt;=#REF!)+(E311&lt;2/24)),1,0),0)</f>
        <v>0</v>
      </c>
      <c r="AF314" s="6">
        <f>IF((F310&lt;&gt;"")*(F314=""),IF((F310&lt;=#REF!)*((F311&gt;=#REF!)+(F311&lt;2/24)),1,0),0)</f>
        <v>0</v>
      </c>
      <c r="AG314" s="6">
        <f>IF((G310&lt;&gt;"")*(G314=""),IF((G310&lt;=#REF!)*((G311&gt;=#REF!)+(G311&lt;2/24)),1,0),0)</f>
        <v>0</v>
      </c>
      <c r="AH314" s="6">
        <f>IF((H310&lt;&gt;"")*(H314=""),IF((H310&lt;=#REF!)*((H311&gt;=#REF!)+(H311&lt;2/24)),1,0),0)</f>
        <v>0</v>
      </c>
      <c r="AI314" s="6">
        <f>IF((I310&lt;&gt;"")*(I314=""),IF((I310&lt;=#REF!)*((I311&gt;=#REF!)+(I311&lt;2/24)),1,0),0)</f>
        <v>0</v>
      </c>
      <c r="AJ314" s="6">
        <f>IF((J310&lt;&gt;"")*(J314=""),IF((J310&lt;=#REF!)*((J311&gt;=#REF!)+(J311&lt;2/24)),1,0),0)</f>
        <v>0</v>
      </c>
    </row>
    <row r="315" spans="1:36" ht="13.5" thickBot="1" x14ac:dyDescent="0.25">
      <c r="A315" s="41"/>
      <c r="B315" s="42"/>
      <c r="C315" s="35" t="s">
        <v>28</v>
      </c>
      <c r="D315" s="36"/>
      <c r="E315" s="36"/>
      <c r="F315" s="36"/>
      <c r="G315" s="36"/>
      <c r="H315" s="36"/>
      <c r="I315" s="36"/>
      <c r="J315" s="36"/>
      <c r="K315" s="34"/>
      <c r="L315" s="6"/>
      <c r="M315" s="25"/>
      <c r="N315" s="6"/>
      <c r="O315" s="6"/>
      <c r="P315" s="6"/>
      <c r="Q315" s="6"/>
      <c r="R315" s="6"/>
      <c r="S315" s="6"/>
      <c r="T315" s="6"/>
      <c r="U315" s="6"/>
      <c r="V315" s="20"/>
      <c r="W315" s="20"/>
      <c r="X315" s="20"/>
      <c r="Y315" s="20"/>
      <c r="Z315" s="20"/>
      <c r="AA315" s="20"/>
      <c r="AB315" s="20"/>
      <c r="AD315" s="6"/>
      <c r="AE315" s="6"/>
      <c r="AF315" s="6"/>
      <c r="AG315" s="6"/>
      <c r="AH315" s="6"/>
      <c r="AI315" s="6"/>
      <c r="AJ315" s="6"/>
    </row>
    <row r="316" spans="1:36" ht="13.5" customHeight="1" x14ac:dyDescent="0.2">
      <c r="A316" s="37" t="s">
        <v>135</v>
      </c>
      <c r="B316" s="38" t="s">
        <v>136</v>
      </c>
      <c r="C316" s="14" t="s">
        <v>0</v>
      </c>
      <c r="D316" s="26">
        <v>0.54166666666666663</v>
      </c>
      <c r="E316" s="26">
        <v>0.77083333333333337</v>
      </c>
      <c r="F316" s="26"/>
      <c r="G316" s="26">
        <v>0.54166666666666663</v>
      </c>
      <c r="H316" s="26">
        <v>0.41666666666666669</v>
      </c>
      <c r="I316" s="26">
        <v>0.77083333333333337</v>
      </c>
      <c r="J316" s="26">
        <v>0.54166666666666663</v>
      </c>
      <c r="K316" s="16"/>
      <c r="L316" s="6"/>
      <c r="M316" s="21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D316" s="6" t="e">
        <f>IF((D316&lt;&gt;"")*(D320=""),IF((D316&lt;=#REF!)*((D318&gt;=#REF!)+(D318&lt;2/24)),1,0),0)</f>
        <v>#REF!</v>
      </c>
      <c r="AE316" s="6" t="e">
        <f>IF((E316&lt;&gt;"")*(E320=""),IF((E316&lt;=#REF!)*((E317&gt;=#REF!)+(E317&lt;2/24)),1,0),0)</f>
        <v>#REF!</v>
      </c>
      <c r="AF316" s="6">
        <f>IF((F316&lt;&gt;"")*(F320=""),IF((F316&lt;=#REF!)*((F317&gt;=#REF!)+(F317&lt;2/24)),1,0),0)</f>
        <v>0</v>
      </c>
      <c r="AG316" s="6" t="e">
        <f>IF((G316&lt;&gt;"")*(G320=""),IF((G316&lt;=#REF!)*((G317&gt;=#REF!)+(G317&lt;2/24)),1,0),0)</f>
        <v>#REF!</v>
      </c>
      <c r="AH316" s="6" t="e">
        <f>IF((H316&lt;&gt;"")*(H320=""),IF((H316&lt;=#REF!)*((H317&gt;=#REF!)+(H317&lt;2/24)),1,0),0)</f>
        <v>#REF!</v>
      </c>
      <c r="AI316" s="6" t="e">
        <f>IF((I316&lt;&gt;"")*(I320=""),IF((I316&lt;=#REF!)*((I317&gt;=#REF!)+(I317&lt;2/24)),1,0),0)</f>
        <v>#REF!</v>
      </c>
      <c r="AJ316" s="6" t="e">
        <f>IF((J316&lt;&gt;"")*(J320=""),IF((J316&lt;=#REF!)*((J317&gt;=#REF!)+(J317&lt;2/24)),1,0),0)</f>
        <v>#REF!</v>
      </c>
    </row>
    <row r="317" spans="1:36" x14ac:dyDescent="0.2">
      <c r="A317" s="39"/>
      <c r="B317" s="40"/>
      <c r="C317" s="15" t="s">
        <v>1</v>
      </c>
      <c r="D317" s="73">
        <v>0.75</v>
      </c>
      <c r="E317" s="27">
        <v>0.95833333333333337</v>
      </c>
      <c r="F317" s="27"/>
      <c r="G317" s="27">
        <v>0.75</v>
      </c>
      <c r="H317" s="27">
        <v>0.75</v>
      </c>
      <c r="I317" s="27">
        <v>0.95833333333333337</v>
      </c>
      <c r="J317" s="27">
        <v>0.75</v>
      </c>
      <c r="K317" s="17"/>
      <c r="L317" s="6"/>
      <c r="M317" s="21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D317" s="6" t="e">
        <f>IF((D316&lt;&gt;"")*(D320=""),IF((D316&lt;=#REF!)*((D318&gt;=#REF!)+(D318&lt;2/24)),1,0),0)</f>
        <v>#REF!</v>
      </c>
      <c r="AE317" s="6" t="e">
        <f>IF((E316&lt;&gt;"")*(E320=""),IF((E316&lt;=#REF!)*((E317&gt;=#REF!)+(E317&lt;2/24)),1,0),0)</f>
        <v>#REF!</v>
      </c>
      <c r="AF317" s="6">
        <f>IF((F316&lt;&gt;"")*(F320=""),IF((F316&lt;=#REF!)*((F317&gt;=#REF!)+(F317&lt;2/24)),1,0),0)</f>
        <v>0</v>
      </c>
      <c r="AG317" s="6" t="e">
        <f>IF((G316&lt;&gt;"")*(G320=""),IF((G316&lt;=#REF!)*((G317&gt;=#REF!)+(G317&lt;2/24)),1,0),0)</f>
        <v>#REF!</v>
      </c>
      <c r="AH317" s="6" t="e">
        <f>IF((H316&lt;&gt;"")*(H320=""),IF((H316&lt;=#REF!)*((H317&gt;=#REF!)+(H317&lt;2/24)),1,0),0)</f>
        <v>#REF!</v>
      </c>
      <c r="AI317" s="6" t="e">
        <f>IF((I316&lt;&gt;"")*(I320=""),IF((I316&lt;=#REF!)*((I317&gt;=#REF!)+(I317&lt;2/24)),1,0),0)</f>
        <v>#REF!</v>
      </c>
      <c r="AJ317" s="6" t="e">
        <f>IF((J316&lt;&gt;"")*(J320=""),IF((J316&lt;=#REF!)*((J317&gt;=#REF!)+(J317&lt;2/24)),1,0),0)</f>
        <v>#REF!</v>
      </c>
    </row>
    <row r="318" spans="1:36" x14ac:dyDescent="0.2">
      <c r="A318" s="39"/>
      <c r="B318" s="40"/>
      <c r="C318" s="15" t="s">
        <v>2</v>
      </c>
      <c r="D318" s="27"/>
      <c r="E318" s="4"/>
      <c r="F318" s="4"/>
      <c r="G318" s="58"/>
      <c r="H318" s="4">
        <v>4.1666666666666664E-2</v>
      </c>
      <c r="I318" s="4"/>
      <c r="J318" s="4"/>
      <c r="K318" s="17"/>
      <c r="L318" s="6"/>
      <c r="M318" s="21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D318" s="6" t="e">
        <f>IF((D316&lt;&gt;"")*(D320=""),IF((D316&lt;=#REF!)*((D318&gt;=#REF!)+(D318&lt;2/24)),1,0),0)</f>
        <v>#REF!</v>
      </c>
      <c r="AE318" s="6" t="e">
        <f>IF((E316&lt;&gt;"")*(E320=""),IF((E316&lt;=#REF!)*((E317&gt;=#REF!)+(E317&lt;2/24)),1,0),0)</f>
        <v>#REF!</v>
      </c>
      <c r="AF318" s="6">
        <f>IF((F316&lt;&gt;"")*(F320=""),IF((F316&lt;=#REF!)*((F317&gt;=#REF!)+(F317&lt;2/24)),1,0),0)</f>
        <v>0</v>
      </c>
      <c r="AG318" s="6" t="e">
        <f>IF((G316&lt;&gt;"")*(G320=""),IF((G316&lt;=#REF!)*((G317&gt;=#REF!)+(G317&lt;2/24)),1,0),0)</f>
        <v>#REF!</v>
      </c>
      <c r="AH318" s="6" t="e">
        <f>IF((H316&lt;&gt;"")*(H320=""),IF((H316&lt;=#REF!)*((H317&gt;=#REF!)+(H317&lt;2/24)),1,0),0)</f>
        <v>#REF!</v>
      </c>
      <c r="AI318" s="6" t="e">
        <f>IF((I316&lt;&gt;"")*(I320=""),IF((I316&lt;=#REF!)*((I317&gt;=#REF!)+(I317&lt;2/24)),1,0),0)</f>
        <v>#REF!</v>
      </c>
      <c r="AJ318" s="6" t="e">
        <f>IF((J316&lt;&gt;"")*(J320=""),IF((J316&lt;=#REF!)*((J317&gt;=#REF!)+(J317&lt;2/24)),1,0),0)</f>
        <v>#REF!</v>
      </c>
    </row>
    <row r="319" spans="1:36" x14ac:dyDescent="0.2">
      <c r="A319" s="39"/>
      <c r="B319" s="40"/>
      <c r="C319" s="15" t="s">
        <v>3</v>
      </c>
      <c r="D319" s="43">
        <v>5</v>
      </c>
      <c r="E319" s="43">
        <v>4.5</v>
      </c>
      <c r="F319" s="43" t="str">
        <f t="shared" ref="E319:J319" si="219">IF(F316="","",IF(F317&gt;F316,(F317-F316-F318)*24,(1-F316-F318+F317)*24))</f>
        <v/>
      </c>
      <c r="G319" s="55">
        <f t="shared" si="219"/>
        <v>5.0000000000000009</v>
      </c>
      <c r="H319" s="43">
        <v>7</v>
      </c>
      <c r="I319" s="43">
        <f t="shared" ref="I319" si="220">IF(I316="","",IF(I317&gt;I316,(I317-I316-I318)*24,(1-I316-I318+I317)*24))</f>
        <v>4.5</v>
      </c>
      <c r="J319" s="44">
        <f t="shared" si="219"/>
        <v>5.0000000000000009</v>
      </c>
      <c r="K319" s="18">
        <f>SUMIF(D320:J320,"",D319:J319)</f>
        <v>31</v>
      </c>
      <c r="L319" s="12">
        <f>SUM(D319:J319)</f>
        <v>31</v>
      </c>
      <c r="M319" s="24"/>
      <c r="N319" s="10">
        <f t="shared" ref="N319" si="221">IF(D320="",D319,0)</f>
        <v>5</v>
      </c>
      <c r="O319" s="10">
        <f t="shared" ref="O319" si="222">IF(E320="",E319,0)</f>
        <v>4.5</v>
      </c>
      <c r="P319" s="10" t="str">
        <f t="shared" ref="P319" si="223">IF(F320="",F319,0)</f>
        <v/>
      </c>
      <c r="Q319" s="10">
        <f t="shared" ref="Q319" si="224">IF(G320="",G319,0)</f>
        <v>5.0000000000000009</v>
      </c>
      <c r="R319" s="10">
        <f t="shared" ref="R319" si="225">IF(H320="",H319,0)</f>
        <v>7</v>
      </c>
      <c r="S319" s="10">
        <f t="shared" ref="S319" si="226">IF(I320="",I319,0)</f>
        <v>4.5</v>
      </c>
      <c r="T319" s="10">
        <f t="shared" ref="T319" si="227">IF(J320="",J319,0)</f>
        <v>5.0000000000000009</v>
      </c>
      <c r="U319" s="10"/>
      <c r="V319" s="10">
        <f t="shared" ref="V319" si="228">D319</f>
        <v>5</v>
      </c>
      <c r="W319" s="10">
        <f t="shared" ref="W319" si="229">E319</f>
        <v>4.5</v>
      </c>
      <c r="X319" s="10" t="str">
        <f t="shared" ref="X319" si="230">F319</f>
        <v/>
      </c>
      <c r="Y319" s="10">
        <f t="shared" ref="Y319" si="231">G319</f>
        <v>5.0000000000000009</v>
      </c>
      <c r="Z319" s="10">
        <f t="shared" ref="Z319" si="232">H319</f>
        <v>7</v>
      </c>
      <c r="AA319" s="10">
        <f t="shared" ref="AA319" si="233">I319</f>
        <v>4.5</v>
      </c>
      <c r="AB319" s="10">
        <f t="shared" ref="AB319" si="234">J319</f>
        <v>5.0000000000000009</v>
      </c>
      <c r="AD319" s="6" t="e">
        <f>IF((D316&lt;&gt;"")*(D320=""),IF((D316&lt;=#REF!)*((D318&gt;=#REF!)+(D318&lt;2/24)),1,0),0)</f>
        <v>#REF!</v>
      </c>
      <c r="AE319" s="6" t="e">
        <f>IF((E316&lt;&gt;"")*(E320=""),IF((E316&lt;=#REF!)*((E317&gt;=#REF!)+(E317&lt;2/24)),1,0),0)</f>
        <v>#REF!</v>
      </c>
      <c r="AF319" s="6">
        <f>IF((F316&lt;&gt;"")*(F320=""),IF((F316&lt;=#REF!)*((F317&gt;=#REF!)+(F317&lt;2/24)),1,0),0)</f>
        <v>0</v>
      </c>
      <c r="AG319" s="6" t="e">
        <f>IF((G316&lt;&gt;"")*(G320=""),IF((G316&lt;=#REF!)*((G317&gt;=#REF!)+(G317&lt;2/24)),1,0),0)</f>
        <v>#REF!</v>
      </c>
      <c r="AH319" s="6" t="e">
        <f>IF((H316&lt;&gt;"")*(H320=""),IF((H316&lt;=#REF!)*((H317&gt;=#REF!)+(H317&lt;2/24)),1,0),0)</f>
        <v>#REF!</v>
      </c>
      <c r="AI319" s="6" t="e">
        <f>IF((I316&lt;&gt;"")*(I320=""),IF((I316&lt;=#REF!)*((I317&gt;=#REF!)+(I317&lt;2/24)),1,0),0)</f>
        <v>#REF!</v>
      </c>
      <c r="AJ319" s="6" t="e">
        <f>IF((J316&lt;&gt;"")*(J320=""),IF((J316&lt;=#REF!)*((J317&gt;=#REF!)+(J317&lt;2/24)),1,0),0)</f>
        <v>#REF!</v>
      </c>
    </row>
    <row r="320" spans="1:36" x14ac:dyDescent="0.2">
      <c r="A320" s="39"/>
      <c r="B320" s="40"/>
      <c r="C320" s="32" t="s">
        <v>4</v>
      </c>
      <c r="D320" s="33"/>
      <c r="E320" s="33"/>
      <c r="F320" s="33"/>
      <c r="G320" s="33"/>
      <c r="H320" s="33"/>
      <c r="I320" s="33"/>
      <c r="J320" s="33"/>
      <c r="K320" s="17"/>
      <c r="L320" s="6"/>
      <c r="M320" s="25"/>
      <c r="N320" s="6"/>
      <c r="O320" s="6"/>
      <c r="P320" s="6"/>
      <c r="Q320" s="6"/>
      <c r="R320" s="6"/>
      <c r="S320" s="6"/>
      <c r="T320" s="6"/>
      <c r="U320" s="6"/>
      <c r="V320" s="20"/>
      <c r="W320" s="20"/>
      <c r="X320" s="20"/>
      <c r="Y320" s="20"/>
      <c r="Z320" s="20"/>
      <c r="AA320" s="20"/>
      <c r="AB320" s="20"/>
      <c r="AD320" s="6" t="e">
        <f>IF((D316&lt;&gt;"")*(D320=""),IF((D316&lt;=#REF!)*((D318&gt;=#REF!)+(D318&lt;2/24)),1,0),0)</f>
        <v>#REF!</v>
      </c>
      <c r="AE320" s="6" t="e">
        <f>IF((E316&lt;&gt;"")*(E320=""),IF((E316&lt;=#REF!)*((E317&gt;=#REF!)+(E317&lt;2/24)),1,0),0)</f>
        <v>#REF!</v>
      </c>
      <c r="AF320" s="6">
        <f>IF((F316&lt;&gt;"")*(F320=""),IF((F316&lt;=#REF!)*((F317&gt;=#REF!)+(F317&lt;2/24)),1,0),0)</f>
        <v>0</v>
      </c>
      <c r="AG320" s="6" t="e">
        <f>IF((G316&lt;&gt;"")*(G320=""),IF((G316&lt;=#REF!)*((G317&gt;=#REF!)+(G317&lt;2/24)),1,0),0)</f>
        <v>#REF!</v>
      </c>
      <c r="AH320" s="6" t="e">
        <f>IF((H316&lt;&gt;"")*(H320=""),IF((H316&lt;=#REF!)*((H317&gt;=#REF!)+(H317&lt;2/24)),1,0),0)</f>
        <v>#REF!</v>
      </c>
      <c r="AI320" s="6" t="e">
        <f>IF((I316&lt;&gt;"")*(I320=""),IF((I316&lt;=#REF!)*((I317&gt;=#REF!)+(I317&lt;2/24)),1,0),0)</f>
        <v>#REF!</v>
      </c>
      <c r="AJ320" s="6" t="e">
        <f>IF((J316&lt;&gt;"")*(J320=""),IF((J316&lt;=#REF!)*((J317&gt;=#REF!)+(J317&lt;2/24)),1,0),0)</f>
        <v>#REF!</v>
      </c>
    </row>
    <row r="321" spans="1:36" ht="13.5" thickBot="1" x14ac:dyDescent="0.25">
      <c r="A321" s="41"/>
      <c r="B321" s="42"/>
      <c r="C321" s="35" t="s">
        <v>28</v>
      </c>
      <c r="D321" s="36"/>
      <c r="E321" s="36"/>
      <c r="F321" s="36"/>
      <c r="G321" s="36"/>
      <c r="H321" s="36"/>
      <c r="I321" s="36"/>
      <c r="J321" s="36"/>
      <c r="K321" s="34"/>
      <c r="L321" s="6"/>
      <c r="M321" s="25"/>
      <c r="N321" s="6"/>
      <c r="O321" s="6"/>
      <c r="P321" s="6"/>
      <c r="Q321" s="6"/>
      <c r="R321" s="6"/>
      <c r="S321" s="6"/>
      <c r="T321" s="6"/>
      <c r="U321" s="6"/>
      <c r="V321" s="20"/>
      <c r="W321" s="20"/>
      <c r="X321" s="20"/>
      <c r="Y321" s="20"/>
      <c r="Z321" s="20"/>
      <c r="AA321" s="20"/>
      <c r="AB321" s="20"/>
      <c r="AD321" s="6"/>
      <c r="AE321" s="6"/>
      <c r="AF321" s="6"/>
      <c r="AG321" s="6"/>
      <c r="AH321" s="6"/>
      <c r="AI321" s="6"/>
      <c r="AJ321" s="6"/>
    </row>
    <row r="322" spans="1:36" ht="13.5" customHeight="1" x14ac:dyDescent="0.2">
      <c r="A322" s="37" t="s">
        <v>137</v>
      </c>
      <c r="B322" s="38" t="s">
        <v>138</v>
      </c>
      <c r="C322" s="14" t="s">
        <v>0</v>
      </c>
      <c r="D322" s="26">
        <v>0.77083333333333337</v>
      </c>
      <c r="E322" s="26"/>
      <c r="F322" s="26">
        <v>0.77083333333333337</v>
      </c>
      <c r="G322" s="26"/>
      <c r="H322" s="26"/>
      <c r="I322" s="26">
        <v>0.77083333333333337</v>
      </c>
      <c r="J322" s="26"/>
      <c r="K322" s="16"/>
      <c r="L322" s="6"/>
      <c r="M322" s="21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D322" s="6" t="e">
        <f>IF((D322&lt;&gt;"")*(D326=""),IF((D322&lt;=#REF!)*((D323&gt;=#REF!)+(D323&lt;2/24)),1,0),0)</f>
        <v>#REF!</v>
      </c>
      <c r="AE322" s="6">
        <f>IF((E322&lt;&gt;"")*(E326=""),IF((E322&lt;=#REF!)*((E323&gt;=#REF!)+(E323&lt;2/24)),1,0),0)</f>
        <v>0</v>
      </c>
      <c r="AF322" s="6" t="e">
        <f>IF((F322&lt;&gt;"")*(F326=""),IF((F322&lt;=#REF!)*((F323&gt;=#REF!)+(F323&lt;2/24)),1,0),0)</f>
        <v>#REF!</v>
      </c>
      <c r="AG322" s="6">
        <f>IF((G322&lt;&gt;"")*(G326=""),IF((G322&lt;=#REF!)*((G323&gt;=#REF!)+(G323&lt;2/24)),1,0),0)</f>
        <v>0</v>
      </c>
      <c r="AH322" s="6">
        <f>IF((H322&lt;&gt;"")*(H326=""),IF((H322&lt;=#REF!)*((H323&gt;=#REF!)+(H323&lt;2/24)),1,0),0)</f>
        <v>0</v>
      </c>
      <c r="AI322" s="6" t="e">
        <f>IF((I322&lt;&gt;"")*(I326=""),IF((I322&lt;=#REF!)*((I323&gt;=#REF!)+(I323&lt;2/24)),1,0),0)</f>
        <v>#REF!</v>
      </c>
      <c r="AJ322" s="6">
        <f>IF((J322&lt;&gt;"")*(J326=""),IF((J322&lt;=#REF!)*((J323&gt;=#REF!)+(J323&lt;2/24)),1,0),0)</f>
        <v>0</v>
      </c>
    </row>
    <row r="323" spans="1:36" x14ac:dyDescent="0.2">
      <c r="A323" s="39"/>
      <c r="B323" s="40"/>
      <c r="C323" s="15" t="s">
        <v>1</v>
      </c>
      <c r="D323" s="27">
        <v>0.95833333333333337</v>
      </c>
      <c r="E323" s="27"/>
      <c r="F323" s="27">
        <v>0.95833333333333337</v>
      </c>
      <c r="G323" s="27"/>
      <c r="H323" s="27"/>
      <c r="I323" s="27">
        <v>0.95833333333333337</v>
      </c>
      <c r="J323" s="27"/>
      <c r="K323" s="17"/>
      <c r="L323" s="6"/>
      <c r="M323" s="21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D323" s="6" t="e">
        <f>IF((D322&lt;&gt;"")*(D326=""),IF((D322&lt;=#REF!)*((D323&gt;=#REF!)+(D323&lt;2/24)),1,0),0)</f>
        <v>#REF!</v>
      </c>
      <c r="AE323" s="6">
        <f>IF((E322&lt;&gt;"")*(E326=""),IF((E322&lt;=#REF!)*((E323&gt;=#REF!)+(E323&lt;2/24)),1,0),0)</f>
        <v>0</v>
      </c>
      <c r="AF323" s="6" t="e">
        <f>IF((F322&lt;&gt;"")*(F326=""),IF((F322&lt;=#REF!)*((F323&gt;=#REF!)+(F323&lt;2/24)),1,0),0)</f>
        <v>#REF!</v>
      </c>
      <c r="AG323" s="6">
        <f>IF((G322&lt;&gt;"")*(G326=""),IF((G322&lt;=#REF!)*((G323&gt;=#REF!)+(G323&lt;2/24)),1,0),0)</f>
        <v>0</v>
      </c>
      <c r="AH323" s="6">
        <f>IF((H322&lt;&gt;"")*(H326=""),IF((H322&lt;=#REF!)*((H323&gt;=#REF!)+(H323&lt;2/24)),1,0),0)</f>
        <v>0</v>
      </c>
      <c r="AI323" s="6" t="e">
        <f>IF((I322&lt;&gt;"")*(I326=""),IF((I322&lt;=#REF!)*((I323&gt;=#REF!)+(I323&lt;2/24)),1,0),0)</f>
        <v>#REF!</v>
      </c>
      <c r="AJ323" s="6">
        <f>IF((J322&lt;&gt;"")*(J326=""),IF((J322&lt;=#REF!)*((J323&gt;=#REF!)+(J323&lt;2/24)),1,0),0)</f>
        <v>0</v>
      </c>
    </row>
    <row r="324" spans="1:36" x14ac:dyDescent="0.2">
      <c r="A324" s="39"/>
      <c r="B324" s="40"/>
      <c r="C324" s="15" t="s">
        <v>2</v>
      </c>
      <c r="D324" s="4"/>
      <c r="E324" s="4"/>
      <c r="F324" s="4"/>
      <c r="G324" s="58"/>
      <c r="H324" s="4"/>
      <c r="I324" s="4"/>
      <c r="J324" s="4"/>
      <c r="K324" s="17"/>
      <c r="L324" s="6"/>
      <c r="M324" s="21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D324" s="6" t="e">
        <f>IF((D322&lt;&gt;"")*(D326=""),IF((D322&lt;=#REF!)*((D323&gt;=#REF!)+(D323&lt;2/24)),1,0),0)</f>
        <v>#REF!</v>
      </c>
      <c r="AE324" s="6">
        <f>IF((E322&lt;&gt;"")*(E326=""),IF((E322&lt;=#REF!)*((E323&gt;=#REF!)+(E323&lt;2/24)),1,0),0)</f>
        <v>0</v>
      </c>
      <c r="AF324" s="6" t="e">
        <f>IF((F322&lt;&gt;"")*(F326=""),IF((F322&lt;=#REF!)*((F323&gt;=#REF!)+(F323&lt;2/24)),1,0),0)</f>
        <v>#REF!</v>
      </c>
      <c r="AG324" s="6">
        <f>IF((G322&lt;&gt;"")*(G326=""),IF((G322&lt;=#REF!)*((G323&gt;=#REF!)+(G323&lt;2/24)),1,0),0)</f>
        <v>0</v>
      </c>
      <c r="AH324" s="6">
        <f>IF((H322&lt;&gt;"")*(H326=""),IF((H322&lt;=#REF!)*((H323&gt;=#REF!)+(H323&lt;2/24)),1,0),0)</f>
        <v>0</v>
      </c>
      <c r="AI324" s="6" t="e">
        <f>IF((I322&lt;&gt;"")*(I326=""),IF((I322&lt;=#REF!)*((I323&gt;=#REF!)+(I323&lt;2/24)),1,0),0)</f>
        <v>#REF!</v>
      </c>
      <c r="AJ324" s="6">
        <f>IF((J322&lt;&gt;"")*(J326=""),IF((J322&lt;=#REF!)*((J323&gt;=#REF!)+(J323&lt;2/24)),1,0),0)</f>
        <v>0</v>
      </c>
    </row>
    <row r="325" spans="1:36" x14ac:dyDescent="0.2">
      <c r="A325" s="39"/>
      <c r="B325" s="40"/>
      <c r="C325" s="15" t="s">
        <v>3</v>
      </c>
      <c r="D325" s="43">
        <f t="shared" ref="D325:J325" si="235">IF(D322="","",IF(D323&gt;D322,(D323-D322-D324)*24,(1-D322-D324+D323)*24))</f>
        <v>4.5</v>
      </c>
      <c r="E325" s="43" t="str">
        <f t="shared" si="235"/>
        <v/>
      </c>
      <c r="F325" s="43">
        <f t="shared" si="235"/>
        <v>4.5</v>
      </c>
      <c r="G325" s="55" t="str">
        <f t="shared" si="235"/>
        <v/>
      </c>
      <c r="H325" s="55"/>
      <c r="I325" s="43">
        <f t="shared" ref="I325" si="236">IF(I322="","",IF(I323&gt;I322,(I323-I322-I324)*24,(1-I322-I324+I323)*24))</f>
        <v>4.5</v>
      </c>
      <c r="J325" s="44" t="str">
        <f t="shared" si="235"/>
        <v/>
      </c>
      <c r="K325" s="18">
        <f>SUMIF(D326:J326,"",D325:J325)</f>
        <v>13.5</v>
      </c>
      <c r="L325" s="12">
        <f>SUM(D325:J325)</f>
        <v>13.5</v>
      </c>
      <c r="M325" s="24"/>
      <c r="N325" s="10">
        <f t="shared" ref="N325" si="237">IF(D326="",D325,0)</f>
        <v>4.5</v>
      </c>
      <c r="O325" s="10" t="str">
        <f t="shared" ref="O325" si="238">IF(E326="",E325,0)</f>
        <v/>
      </c>
      <c r="P325" s="10">
        <f t="shared" ref="P325" si="239">IF(F326="",F325,0)</f>
        <v>4.5</v>
      </c>
      <c r="Q325" s="10" t="str">
        <f t="shared" ref="Q325" si="240">IF(G326="",G325,0)</f>
        <v/>
      </c>
      <c r="R325" s="10">
        <f t="shared" ref="R325" si="241">IF(H326="",H325,0)</f>
        <v>0</v>
      </c>
      <c r="S325" s="10">
        <f t="shared" ref="S325" si="242">IF(I326="",I325,0)</f>
        <v>4.5</v>
      </c>
      <c r="T325" s="10" t="str">
        <f t="shared" ref="T325" si="243">IF(J326="",J325,0)</f>
        <v/>
      </c>
      <c r="U325" s="10"/>
      <c r="V325" s="10">
        <f t="shared" ref="V325" si="244">D325</f>
        <v>4.5</v>
      </c>
      <c r="W325" s="10" t="str">
        <f t="shared" ref="W325" si="245">E325</f>
        <v/>
      </c>
      <c r="X325" s="10">
        <f t="shared" ref="X325" si="246">F325</f>
        <v>4.5</v>
      </c>
      <c r="Y325" s="10" t="str">
        <f t="shared" ref="Y325" si="247">G325</f>
        <v/>
      </c>
      <c r="Z325" s="10">
        <f t="shared" ref="Z325" si="248">H325</f>
        <v>0</v>
      </c>
      <c r="AA325" s="10">
        <f t="shared" ref="AA325" si="249">I325</f>
        <v>4.5</v>
      </c>
      <c r="AB325" s="10" t="str">
        <f t="shared" ref="AB325" si="250">J325</f>
        <v/>
      </c>
      <c r="AD325" s="6" t="e">
        <f>IF((D322&lt;&gt;"")*(D326=""),IF((D322&lt;=#REF!)*((D323&gt;=#REF!)+(D323&lt;2/24)),1,0),0)</f>
        <v>#REF!</v>
      </c>
      <c r="AE325" s="6">
        <f>IF((E322&lt;&gt;"")*(E326=""),IF((E322&lt;=#REF!)*((E323&gt;=#REF!)+(E323&lt;2/24)),1,0),0)</f>
        <v>0</v>
      </c>
      <c r="AF325" s="6" t="e">
        <f>IF((F322&lt;&gt;"")*(F326=""),IF((F322&lt;=#REF!)*((F323&gt;=#REF!)+(F323&lt;2/24)),1,0),0)</f>
        <v>#REF!</v>
      </c>
      <c r="AG325" s="6">
        <f>IF((G322&lt;&gt;"")*(G326=""),IF((G322&lt;=#REF!)*((G323&gt;=#REF!)+(G323&lt;2/24)),1,0),0)</f>
        <v>0</v>
      </c>
      <c r="AH325" s="6">
        <f>IF((H322&lt;&gt;"")*(H326=""),IF((H322&lt;=#REF!)*((H323&gt;=#REF!)+(H323&lt;2/24)),1,0),0)</f>
        <v>0</v>
      </c>
      <c r="AI325" s="6" t="e">
        <f>IF((I322&lt;&gt;"")*(I326=""),IF((I322&lt;=#REF!)*((I323&gt;=#REF!)+(I323&lt;2/24)),1,0),0)</f>
        <v>#REF!</v>
      </c>
      <c r="AJ325" s="6">
        <f>IF((J322&lt;&gt;"")*(J326=""),IF((J322&lt;=#REF!)*((J323&gt;=#REF!)+(J323&lt;2/24)),1,0),0)</f>
        <v>0</v>
      </c>
    </row>
    <row r="326" spans="1:36" x14ac:dyDescent="0.2">
      <c r="A326" s="39"/>
      <c r="B326" s="40"/>
      <c r="C326" s="32" t="s">
        <v>4</v>
      </c>
      <c r="D326" s="33"/>
      <c r="E326" s="33"/>
      <c r="F326" s="33"/>
      <c r="G326" s="33"/>
      <c r="H326" s="33"/>
      <c r="I326" s="33"/>
      <c r="J326" s="33"/>
      <c r="K326" s="17"/>
      <c r="L326" s="6"/>
      <c r="M326" s="25"/>
      <c r="N326" s="6"/>
      <c r="O326" s="6"/>
      <c r="P326" s="6"/>
      <c r="Q326" s="6"/>
      <c r="R326" s="6"/>
      <c r="S326" s="6"/>
      <c r="T326" s="6"/>
      <c r="U326" s="6"/>
      <c r="V326" s="20"/>
      <c r="W326" s="20"/>
      <c r="X326" s="20"/>
      <c r="Y326" s="20"/>
      <c r="Z326" s="20"/>
      <c r="AA326" s="20"/>
      <c r="AB326" s="20"/>
      <c r="AD326" s="6" t="e">
        <f>IF((D322&lt;&gt;"")*(D326=""),IF((D322&lt;=#REF!)*((D323&gt;=#REF!)+(D323&lt;2/24)),1,0),0)</f>
        <v>#REF!</v>
      </c>
      <c r="AE326" s="6">
        <f>IF((E322&lt;&gt;"")*(E326=""),IF((E322&lt;=#REF!)*((E323&gt;=#REF!)+(E323&lt;2/24)),1,0),0)</f>
        <v>0</v>
      </c>
      <c r="AF326" s="6" t="e">
        <f>IF((F322&lt;&gt;"")*(F326=""),IF((F322&lt;=#REF!)*((F323&gt;=#REF!)+(F323&lt;2/24)),1,0),0)</f>
        <v>#REF!</v>
      </c>
      <c r="AG326" s="6">
        <f>IF((G322&lt;&gt;"")*(G326=""),IF((G322&lt;=#REF!)*((G323&gt;=#REF!)+(G323&lt;2/24)),1,0),0)</f>
        <v>0</v>
      </c>
      <c r="AH326" s="6">
        <f>IF((H322&lt;&gt;"")*(H326=""),IF((H322&lt;=#REF!)*((H323&gt;=#REF!)+(H323&lt;2/24)),1,0),0)</f>
        <v>0</v>
      </c>
      <c r="AI326" s="6" t="e">
        <f>IF((I322&lt;&gt;"")*(I326=""),IF((I322&lt;=#REF!)*((I323&gt;=#REF!)+(I323&lt;2/24)),1,0),0)</f>
        <v>#REF!</v>
      </c>
      <c r="AJ326" s="6">
        <f>IF((J322&lt;&gt;"")*(J326=""),IF((J322&lt;=#REF!)*((J323&gt;=#REF!)+(J323&lt;2/24)),1,0),0)</f>
        <v>0</v>
      </c>
    </row>
    <row r="327" spans="1:36" ht="13.5" thickBot="1" x14ac:dyDescent="0.25">
      <c r="A327" s="41"/>
      <c r="B327" s="42"/>
      <c r="C327" s="35" t="s">
        <v>28</v>
      </c>
      <c r="D327" s="36"/>
      <c r="E327" s="36"/>
      <c r="F327" s="36"/>
      <c r="G327" s="36"/>
      <c r="H327" s="36"/>
      <c r="I327" s="36"/>
      <c r="J327" s="36"/>
      <c r="K327" s="34"/>
      <c r="L327" s="6"/>
      <c r="M327" s="25"/>
      <c r="N327" s="6"/>
      <c r="O327" s="6"/>
      <c r="P327" s="6"/>
      <c r="Q327" s="6"/>
      <c r="R327" s="6"/>
      <c r="S327" s="6"/>
      <c r="T327" s="6"/>
      <c r="U327" s="6"/>
      <c r="V327" s="20"/>
      <c r="W327" s="20"/>
      <c r="X327" s="20"/>
      <c r="Y327" s="20"/>
      <c r="Z327" s="20"/>
      <c r="AA327" s="20"/>
      <c r="AB327" s="20"/>
      <c r="AD327" s="6"/>
      <c r="AE327" s="6"/>
      <c r="AF327" s="6"/>
      <c r="AG327" s="6"/>
      <c r="AH327" s="6"/>
      <c r="AI327" s="6"/>
      <c r="AJ327" s="6"/>
    </row>
    <row r="328" spans="1:36" ht="13.5" customHeight="1" x14ac:dyDescent="0.2">
      <c r="A328" s="37" t="s">
        <v>139</v>
      </c>
      <c r="B328" s="38" t="s">
        <v>140</v>
      </c>
      <c r="C328" s="14" t="s">
        <v>0</v>
      </c>
      <c r="D328" s="26"/>
      <c r="E328" s="26"/>
      <c r="F328" s="26"/>
      <c r="G328" s="26"/>
      <c r="H328" s="26"/>
      <c r="I328" s="26">
        <v>0.77083333333333337</v>
      </c>
      <c r="J328" s="26">
        <v>0.77083333333333337</v>
      </c>
      <c r="K328" s="16"/>
      <c r="L328" s="6"/>
      <c r="M328" s="21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D328" s="6">
        <f>IF((D328&lt;&gt;"")*(D332=""),IF((D328&lt;=#REF!)*((D329&gt;=#REF!)+(D329&lt;2/24)),1,0),0)</f>
        <v>0</v>
      </c>
      <c r="AE328" s="6">
        <f>IF((E328&lt;&gt;"")*(E332=""),IF((E328&lt;=#REF!)*((E329&gt;=#REF!)+(E329&lt;2/24)),1,0),0)</f>
        <v>0</v>
      </c>
      <c r="AF328" s="6">
        <f>IF((F328&lt;&gt;"")*(F332=""),IF((F328&lt;=#REF!)*((F329&gt;=#REF!)+(F329&lt;2/24)),1,0),0)</f>
        <v>0</v>
      </c>
      <c r="AG328" s="6">
        <f>IF((G328&lt;&gt;"")*(G332=""),IF((G328&lt;=#REF!)*((G329&gt;=#REF!)+(G329&lt;2/24)),1,0),0)</f>
        <v>0</v>
      </c>
      <c r="AH328" s="6">
        <f>IF((H328&lt;&gt;"")*(H332=""),IF((H328&lt;=#REF!)*((H329&gt;=#REF!)+(H329&lt;2/24)),1,0),0)</f>
        <v>0</v>
      </c>
      <c r="AI328" s="6" t="e">
        <f>IF((I328&lt;&gt;"")*(I332=""),IF((I328&lt;=#REF!)*((I329&gt;=#REF!)+(I329&lt;2/24)),1,0),0)</f>
        <v>#REF!</v>
      </c>
      <c r="AJ328" s="6" t="e">
        <f>IF((J328&lt;&gt;"")*(J332=""),IF((J328&lt;=#REF!)*((J329&gt;=#REF!)+(J329&lt;2/24)),1,0),0)</f>
        <v>#REF!</v>
      </c>
    </row>
    <row r="329" spans="1:36" x14ac:dyDescent="0.2">
      <c r="A329" s="39"/>
      <c r="B329" s="40"/>
      <c r="C329" s="15" t="s">
        <v>1</v>
      </c>
      <c r="D329" s="27"/>
      <c r="E329" s="27"/>
      <c r="F329" s="27"/>
      <c r="G329" s="27"/>
      <c r="H329" s="27"/>
      <c r="I329" s="27">
        <v>0.95833333333333337</v>
      </c>
      <c r="J329" s="27">
        <v>0.95833333333333337</v>
      </c>
      <c r="K329" s="17"/>
      <c r="L329" s="6"/>
      <c r="M329" s="21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D329" s="6">
        <f>IF((D328&lt;&gt;"")*(D332=""),IF((D328&lt;=#REF!)*((D329&gt;=#REF!)+(D329&lt;2/24)),1,0),0)</f>
        <v>0</v>
      </c>
      <c r="AE329" s="6">
        <f>IF((E328&lt;&gt;"")*(E332=""),IF((E328&lt;=#REF!)*((E329&gt;=#REF!)+(E329&lt;2/24)),1,0),0)</f>
        <v>0</v>
      </c>
      <c r="AF329" s="6">
        <f>IF((F328&lt;&gt;"")*(F332=""),IF((F328&lt;=#REF!)*((F329&gt;=#REF!)+(F329&lt;2/24)),1,0),0)</f>
        <v>0</v>
      </c>
      <c r="AG329" s="6">
        <f>IF((G328&lt;&gt;"")*(G332=""),IF((G328&lt;=#REF!)*((G329&gt;=#REF!)+(G329&lt;2/24)),1,0),0)</f>
        <v>0</v>
      </c>
      <c r="AH329" s="6">
        <f>IF((H328&lt;&gt;"")*(H332=""),IF((H328&lt;=#REF!)*((H329&gt;=#REF!)+(H329&lt;2/24)),1,0),0)</f>
        <v>0</v>
      </c>
      <c r="AI329" s="6" t="e">
        <f>IF((I328&lt;&gt;"")*(I332=""),IF((I328&lt;=#REF!)*((I329&gt;=#REF!)+(I329&lt;2/24)),1,0),0)</f>
        <v>#REF!</v>
      </c>
      <c r="AJ329" s="6" t="e">
        <f>IF((J328&lt;&gt;"")*(J332=""),IF((J328&lt;=#REF!)*((J329&gt;=#REF!)+(J329&lt;2/24)),1,0),0)</f>
        <v>#REF!</v>
      </c>
    </row>
    <row r="330" spans="1:36" x14ac:dyDescent="0.2">
      <c r="A330" s="39"/>
      <c r="B330" s="40"/>
      <c r="C330" s="15" t="s">
        <v>2</v>
      </c>
      <c r="D330" s="4"/>
      <c r="E330" s="4"/>
      <c r="F330" s="4"/>
      <c r="G330" s="58"/>
      <c r="H330" s="4"/>
      <c r="I330" s="4"/>
      <c r="J330" s="4"/>
      <c r="K330" s="17"/>
      <c r="L330" s="6"/>
      <c r="M330" s="21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D330" s="6">
        <f>IF((D328&lt;&gt;"")*(D332=""),IF((D328&lt;=#REF!)*((D329&gt;=#REF!)+(D329&lt;2/24)),1,0),0)</f>
        <v>0</v>
      </c>
      <c r="AE330" s="6">
        <f>IF((E328&lt;&gt;"")*(E332=""),IF((E328&lt;=#REF!)*((E329&gt;=#REF!)+(E329&lt;2/24)),1,0),0)</f>
        <v>0</v>
      </c>
      <c r="AF330" s="6">
        <f>IF((F328&lt;&gt;"")*(F332=""),IF((F328&lt;=#REF!)*((F329&gt;=#REF!)+(F329&lt;2/24)),1,0),0)</f>
        <v>0</v>
      </c>
      <c r="AG330" s="6">
        <f>IF((G328&lt;&gt;"")*(G332=""),IF((G328&lt;=#REF!)*((G329&gt;=#REF!)+(G329&lt;2/24)),1,0),0)</f>
        <v>0</v>
      </c>
      <c r="AH330" s="6">
        <f>IF((H328&lt;&gt;"")*(H332=""),IF((H328&lt;=#REF!)*((H329&gt;=#REF!)+(H329&lt;2/24)),1,0),0)</f>
        <v>0</v>
      </c>
      <c r="AI330" s="6" t="e">
        <f>IF((I328&lt;&gt;"")*(I332=""),IF((I328&lt;=#REF!)*((I329&gt;=#REF!)+(I329&lt;2/24)),1,0),0)</f>
        <v>#REF!</v>
      </c>
      <c r="AJ330" s="6" t="e">
        <f>IF((J328&lt;&gt;"")*(J332=""),IF((J328&lt;=#REF!)*((J329&gt;=#REF!)+(J329&lt;2/24)),1,0),0)</f>
        <v>#REF!</v>
      </c>
    </row>
    <row r="331" spans="1:36" x14ac:dyDescent="0.2">
      <c r="A331" s="39"/>
      <c r="B331" s="40"/>
      <c r="C331" s="15" t="s">
        <v>3</v>
      </c>
      <c r="D331" s="43" t="str">
        <f t="shared" ref="D331:J331" si="251">IF(D328="","",IF(D329&gt;D328,(D329-D328-D330)*24,(1-D328-D330+D329)*24))</f>
        <v/>
      </c>
      <c r="E331" s="43" t="str">
        <f t="shared" si="251"/>
        <v/>
      </c>
      <c r="F331" s="43" t="str">
        <f t="shared" si="251"/>
        <v/>
      </c>
      <c r="G331" s="55" t="str">
        <f t="shared" si="251"/>
        <v/>
      </c>
      <c r="H331" s="55"/>
      <c r="I331" s="43">
        <f t="shared" si="251"/>
        <v>4.5</v>
      </c>
      <c r="J331" s="44">
        <f t="shared" si="251"/>
        <v>4.5</v>
      </c>
      <c r="K331" s="18">
        <f>SUMIF(D332:J332,"",D331:J331)</f>
        <v>9</v>
      </c>
      <c r="L331" s="12">
        <f>SUM(D331:J331)</f>
        <v>9</v>
      </c>
      <c r="M331" s="24"/>
      <c r="N331" s="10" t="str">
        <f t="shared" ref="N331" si="252">IF(D332="",D331,0)</f>
        <v/>
      </c>
      <c r="O331" s="10" t="str">
        <f t="shared" ref="O331" si="253">IF(E332="",E331,0)</f>
        <v/>
      </c>
      <c r="P331" s="10" t="str">
        <f t="shared" ref="P331" si="254">IF(F332="",F331,0)</f>
        <v/>
      </c>
      <c r="Q331" s="10" t="str">
        <f t="shared" ref="Q331" si="255">IF(G332="",G331,0)</f>
        <v/>
      </c>
      <c r="R331" s="10">
        <f t="shared" ref="R331" si="256">IF(H332="",H331,0)</f>
        <v>0</v>
      </c>
      <c r="S331" s="10">
        <f t="shared" ref="S331" si="257">IF(I332="",I331,0)</f>
        <v>4.5</v>
      </c>
      <c r="T331" s="10">
        <f t="shared" ref="T331" si="258">IF(J332="",J331,0)</f>
        <v>4.5</v>
      </c>
      <c r="U331" s="10"/>
      <c r="V331" s="10" t="str">
        <f t="shared" ref="V331" si="259">D331</f>
        <v/>
      </c>
      <c r="W331" s="10" t="str">
        <f t="shared" ref="W331" si="260">E331</f>
        <v/>
      </c>
      <c r="X331" s="10" t="str">
        <f t="shared" ref="X331" si="261">F331</f>
        <v/>
      </c>
      <c r="Y331" s="10" t="str">
        <f t="shared" ref="Y331" si="262">G331</f>
        <v/>
      </c>
      <c r="Z331" s="10">
        <f t="shared" ref="Z331" si="263">H331</f>
        <v>0</v>
      </c>
      <c r="AA331" s="10">
        <f t="shared" ref="AA331" si="264">I331</f>
        <v>4.5</v>
      </c>
      <c r="AB331" s="10">
        <f t="shared" ref="AB331" si="265">J331</f>
        <v>4.5</v>
      </c>
      <c r="AD331" s="6">
        <f>IF((D328&lt;&gt;"")*(D332=""),IF((D328&lt;=#REF!)*((D329&gt;=#REF!)+(D329&lt;2/24)),1,0),0)</f>
        <v>0</v>
      </c>
      <c r="AE331" s="6">
        <f>IF((E328&lt;&gt;"")*(E332=""),IF((E328&lt;=#REF!)*((E329&gt;=#REF!)+(E329&lt;2/24)),1,0),0)</f>
        <v>0</v>
      </c>
      <c r="AF331" s="6">
        <f>IF((F328&lt;&gt;"")*(F332=""),IF((F328&lt;=#REF!)*((F329&gt;=#REF!)+(F329&lt;2/24)),1,0),0)</f>
        <v>0</v>
      </c>
      <c r="AG331" s="6">
        <f>IF((G328&lt;&gt;"")*(G332=""),IF((G328&lt;=#REF!)*((G329&gt;=#REF!)+(G329&lt;2/24)),1,0),0)</f>
        <v>0</v>
      </c>
      <c r="AH331" s="6">
        <f>IF((H328&lt;&gt;"")*(H332=""),IF((H328&lt;=#REF!)*((H329&gt;=#REF!)+(H329&lt;2/24)),1,0),0)</f>
        <v>0</v>
      </c>
      <c r="AI331" s="6" t="e">
        <f>IF((I328&lt;&gt;"")*(I332=""),IF((I328&lt;=#REF!)*((I329&gt;=#REF!)+(I329&lt;2/24)),1,0),0)</f>
        <v>#REF!</v>
      </c>
      <c r="AJ331" s="6" t="e">
        <f>IF((J328&lt;&gt;"")*(J332=""),IF((J328&lt;=#REF!)*((J329&gt;=#REF!)+(J329&lt;2/24)),1,0),0)</f>
        <v>#REF!</v>
      </c>
    </row>
    <row r="332" spans="1:36" x14ac:dyDescent="0.2">
      <c r="A332" s="39"/>
      <c r="B332" s="40"/>
      <c r="C332" s="32" t="s">
        <v>4</v>
      </c>
      <c r="D332" s="33"/>
      <c r="E332" s="33"/>
      <c r="F332" s="33"/>
      <c r="G332" s="33"/>
      <c r="H332" s="33"/>
      <c r="I332" s="33"/>
      <c r="J332" s="33"/>
      <c r="K332" s="17"/>
      <c r="L332" s="6"/>
      <c r="M332" s="25"/>
      <c r="N332" s="6"/>
      <c r="O332" s="6"/>
      <c r="P332" s="6"/>
      <c r="Q332" s="6"/>
      <c r="R332" s="6"/>
      <c r="S332" s="6"/>
      <c r="T332" s="6"/>
      <c r="U332" s="6"/>
      <c r="V332" s="20"/>
      <c r="W332" s="20"/>
      <c r="X332" s="20"/>
      <c r="Y332" s="20"/>
      <c r="Z332" s="20"/>
      <c r="AA332" s="20"/>
      <c r="AB332" s="20"/>
      <c r="AD332" s="6">
        <f>IF((D328&lt;&gt;"")*(D332=""),IF((D328&lt;=#REF!)*((D329&gt;=#REF!)+(D329&lt;2/24)),1,0),0)</f>
        <v>0</v>
      </c>
      <c r="AE332" s="6">
        <f>IF((E328&lt;&gt;"")*(E332=""),IF((E328&lt;=#REF!)*((E329&gt;=#REF!)+(E329&lt;2/24)),1,0),0)</f>
        <v>0</v>
      </c>
      <c r="AF332" s="6">
        <f>IF((F328&lt;&gt;"")*(F332=""),IF((F328&lt;=#REF!)*((F329&gt;=#REF!)+(F329&lt;2/24)),1,0),0)</f>
        <v>0</v>
      </c>
      <c r="AG332" s="6">
        <f>IF((G328&lt;&gt;"")*(G332=""),IF((G328&lt;=#REF!)*((G329&gt;=#REF!)+(G329&lt;2/24)),1,0),0)</f>
        <v>0</v>
      </c>
      <c r="AH332" s="6">
        <f>IF((H328&lt;&gt;"")*(H332=""),IF((H328&lt;=#REF!)*((H329&gt;=#REF!)+(H329&lt;2/24)),1,0),0)</f>
        <v>0</v>
      </c>
      <c r="AI332" s="6" t="e">
        <f>IF((I328&lt;&gt;"")*(I332=""),IF((I328&lt;=#REF!)*((I329&gt;=#REF!)+(I329&lt;2/24)),1,0),0)</f>
        <v>#REF!</v>
      </c>
      <c r="AJ332" s="6" t="e">
        <f>IF((J328&lt;&gt;"")*(J332=""),IF((J328&lt;=#REF!)*((J329&gt;=#REF!)+(J329&lt;2/24)),1,0),0)</f>
        <v>#REF!</v>
      </c>
    </row>
    <row r="333" spans="1:36" ht="13.5" thickBot="1" x14ac:dyDescent="0.25">
      <c r="A333" s="41"/>
      <c r="B333" s="42"/>
      <c r="C333" s="35" t="s">
        <v>28</v>
      </c>
      <c r="D333" s="36"/>
      <c r="E333" s="36"/>
      <c r="F333" s="36"/>
      <c r="G333" s="36"/>
      <c r="H333" s="36"/>
      <c r="I333" s="36"/>
      <c r="J333" s="36"/>
      <c r="K333" s="34"/>
      <c r="L333" s="6"/>
      <c r="M333" s="25"/>
      <c r="N333" s="6"/>
      <c r="O333" s="6"/>
      <c r="P333" s="6"/>
      <c r="Q333" s="6"/>
      <c r="R333" s="6"/>
      <c r="S333" s="6"/>
      <c r="T333" s="6"/>
      <c r="U333" s="6"/>
      <c r="V333" s="20"/>
      <c r="W333" s="20"/>
      <c r="X333" s="20"/>
      <c r="Y333" s="20"/>
      <c r="Z333" s="20"/>
      <c r="AA333" s="20"/>
      <c r="AB333" s="20"/>
      <c r="AD333" s="6"/>
      <c r="AE333" s="6"/>
      <c r="AF333" s="6"/>
      <c r="AG333" s="6"/>
      <c r="AH333" s="6"/>
      <c r="AI333" s="6"/>
      <c r="AJ333" s="6"/>
    </row>
    <row r="334" spans="1:36" x14ac:dyDescent="0.2">
      <c r="A334" s="37" t="s">
        <v>100</v>
      </c>
      <c r="B334" s="38" t="s">
        <v>101</v>
      </c>
      <c r="C334" s="14" t="s">
        <v>0</v>
      </c>
      <c r="D334" s="26"/>
      <c r="E334" s="26"/>
      <c r="F334" s="26"/>
      <c r="G334" s="26"/>
      <c r="H334" s="26"/>
      <c r="I334" s="26"/>
      <c r="J334" s="26"/>
      <c r="K334" s="16"/>
      <c r="L334" s="6"/>
      <c r="M334" s="21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D334" s="6">
        <f>IF((D334&lt;&gt;"")*(D338=""),IF((D334&lt;=$B$440)*((D335&gt;=$C$440)+(D335&lt;2/24)),1,0),0)</f>
        <v>0</v>
      </c>
      <c r="AE334" s="6">
        <f>IF((E334&lt;&gt;"")*(E338=""),IF((E334&lt;=$B$440)*((E335&gt;=$C$440)+(E335&lt;2/24)),1,0),0)</f>
        <v>0</v>
      </c>
      <c r="AF334" s="6">
        <f>IF((F334&lt;&gt;"")*(F338=""),IF((F334&lt;=$B$440)*((F335&gt;=$C$440)+(F335&lt;2/24)),1,0),0)</f>
        <v>0</v>
      </c>
      <c r="AG334" s="6">
        <f>IF((G334&lt;&gt;"")*(G338=""),IF((G334&lt;=$B$440)*((G335&gt;=$C$440)+(G335&lt;2/24)),1,0),0)</f>
        <v>0</v>
      </c>
      <c r="AH334" s="6">
        <f>IF((H334&lt;&gt;"")*(H338=""),IF((H334&lt;=$B$440)*((H335&gt;=$C$440)+(H335&lt;2/24)),1,0),0)</f>
        <v>0</v>
      </c>
      <c r="AI334" s="6">
        <f>IF((I334&lt;&gt;"")*(I338=""),IF((I334&lt;=$B$440)*((I335&gt;=$C$440)+(I335&lt;2/24)),1,0),0)</f>
        <v>0</v>
      </c>
      <c r="AJ334" s="6">
        <f>IF((J334&lt;&gt;"")*(J338=""),IF((J334&lt;=$B$440)*((J335&gt;=$C$440)+(J335&lt;2/24)),1,0),0)</f>
        <v>0</v>
      </c>
    </row>
    <row r="335" spans="1:36" x14ac:dyDescent="0.2">
      <c r="A335" s="39"/>
      <c r="B335" s="40"/>
      <c r="C335" s="15" t="s">
        <v>1</v>
      </c>
      <c r="D335" s="27"/>
      <c r="E335" s="27"/>
      <c r="F335" s="27"/>
      <c r="G335" s="27"/>
      <c r="H335" s="27"/>
      <c r="I335" s="27"/>
      <c r="J335" s="27"/>
      <c r="K335" s="17"/>
      <c r="L335" s="6"/>
      <c r="M335" s="21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D335" s="6">
        <f>IF((D334&lt;&gt;"")*(D338=""),IF((D334&lt;=$B$441)*((D335&gt;=$C$441)+(D335&lt;2/24)),1,0),0)</f>
        <v>0</v>
      </c>
      <c r="AE335" s="6">
        <f>IF((E334&lt;&gt;"")*(E338=""),IF((E334&lt;=$B$441)*((E335&gt;=$C$441)+(E335&lt;2/24)),1,0),0)</f>
        <v>0</v>
      </c>
      <c r="AF335" s="6">
        <f>IF((F334&lt;&gt;"")*(F338=""),IF((F334&lt;=$B$441)*((F335&gt;=$C$441)+(F335&lt;2/24)),1,0),0)</f>
        <v>0</v>
      </c>
      <c r="AG335" s="6">
        <f>IF((G334&lt;&gt;"")*(G338=""),IF((G334&lt;=$B$441)*((G335&gt;=$C$441)+(G335&lt;2/24)),1,0),0)</f>
        <v>0</v>
      </c>
      <c r="AH335" s="6">
        <f>IF((H334&lt;&gt;"")*(H338=""),IF((H334&lt;=$B$441)*((H335&gt;=$C$441)+(H335&lt;2/24)),1,0),0)</f>
        <v>0</v>
      </c>
      <c r="AI335" s="6">
        <f>IF((I334&lt;&gt;"")*(I338=""),IF((I334&lt;=$B$441)*((I335&gt;=$C$441)+(I335&lt;2/24)),1,0),0)</f>
        <v>0</v>
      </c>
      <c r="AJ335" s="6">
        <f>IF((J334&lt;&gt;"")*(J338=""),IF((J334&lt;=$B$441)*((J335&gt;=$C$441)+(J335&lt;2/24)),1,0),0)</f>
        <v>0</v>
      </c>
    </row>
    <row r="336" spans="1:36" x14ac:dyDescent="0.2">
      <c r="A336" s="39"/>
      <c r="B336" s="40"/>
      <c r="C336" s="15" t="s">
        <v>2</v>
      </c>
      <c r="D336" s="4"/>
      <c r="E336" s="4"/>
      <c r="F336" s="4"/>
      <c r="G336" s="58"/>
      <c r="H336" s="4"/>
      <c r="I336" s="4"/>
      <c r="J336" s="4"/>
      <c r="K336" s="17"/>
      <c r="L336" s="6"/>
      <c r="M336" s="21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D336" s="6">
        <f>IF((D334&lt;&gt;"")*(D338=""),IF((D334&lt;=$B$442)*((D335&gt;=$C$442)+(D335&lt;2/24)),1,0),0)</f>
        <v>0</v>
      </c>
      <c r="AE336" s="6">
        <f>IF((E334&lt;&gt;"")*(E338=""),IF((E334&lt;=$B$442)*((E335&gt;=$C$442)+(E335&lt;2/24)),1,0),0)</f>
        <v>0</v>
      </c>
      <c r="AF336" s="6">
        <f>IF((F334&lt;&gt;"")*(F338=""),IF((F334&lt;=$B$442)*((F335&gt;=$C$442)+(F335&lt;2/24)),1,0),0)</f>
        <v>0</v>
      </c>
      <c r="AG336" s="6">
        <f>IF((G334&lt;&gt;"")*(G338=""),IF((G334&lt;=$B$442)*((G335&gt;=$C$442)+(G335&lt;2/24)),1,0),0)</f>
        <v>0</v>
      </c>
      <c r="AH336" s="6">
        <f>IF((H334&lt;&gt;"")*(H338=""),IF((H334&lt;=$B$442)*((H335&gt;=$C$442)+(H335&lt;2/24)),1,0),0)</f>
        <v>0</v>
      </c>
      <c r="AI336" s="6">
        <f>IF((I334&lt;&gt;"")*(I338=""),IF((I334&lt;=$B$442)*((I335&gt;=$C$442)+(I335&lt;2/24)),1,0),0)</f>
        <v>0</v>
      </c>
      <c r="AJ336" s="6">
        <f>IF((J334&lt;&gt;"")*(J338=""),IF((J334&lt;=$B$442)*((J335&gt;=$C$442)+(J335&lt;2/24)),1,0),0)</f>
        <v>0</v>
      </c>
    </row>
    <row r="337" spans="1:36" x14ac:dyDescent="0.2">
      <c r="A337" s="39"/>
      <c r="B337" s="40"/>
      <c r="C337" s="15" t="s">
        <v>3</v>
      </c>
      <c r="D337" s="43" t="str">
        <f t="shared" ref="D337:J337" si="266">IF(D334="","",IF(D335&gt;D334,(D335-D334-D336)*24,(1-D334-D336+D335)*24))</f>
        <v/>
      </c>
      <c r="E337" s="43" t="str">
        <f t="shared" si="266"/>
        <v/>
      </c>
      <c r="F337" s="43" t="str">
        <f t="shared" si="266"/>
        <v/>
      </c>
      <c r="G337" s="55" t="str">
        <f t="shared" si="266"/>
        <v/>
      </c>
      <c r="H337" s="55" t="str">
        <f t="shared" si="266"/>
        <v/>
      </c>
      <c r="I337" s="43" t="str">
        <f t="shared" si="266"/>
        <v/>
      </c>
      <c r="J337" s="44" t="str">
        <f t="shared" si="266"/>
        <v/>
      </c>
      <c r="K337" s="18">
        <f>SUMIF(D338:J338,"",D337:J337)</f>
        <v>0</v>
      </c>
      <c r="L337" s="12">
        <f>SUM(D337:J337)</f>
        <v>0</v>
      </c>
      <c r="M337" s="24"/>
      <c r="N337" s="10" t="str">
        <f t="shared" ref="N337" si="267">IF(D338="",D337,0)</f>
        <v/>
      </c>
      <c r="O337" s="10" t="str">
        <f t="shared" ref="O337" si="268">IF(E338="",E337,0)</f>
        <v/>
      </c>
      <c r="P337" s="10" t="str">
        <f t="shared" ref="P337" si="269">IF(F338="",F337,0)</f>
        <v/>
      </c>
      <c r="Q337" s="10" t="str">
        <f t="shared" ref="Q337" si="270">IF(G338="",G337,0)</f>
        <v/>
      </c>
      <c r="R337" s="10" t="str">
        <f t="shared" ref="R337" si="271">IF(H338="",H337,0)</f>
        <v/>
      </c>
      <c r="S337" s="10" t="str">
        <f t="shared" ref="S337" si="272">IF(I338="",I337,0)</f>
        <v/>
      </c>
      <c r="T337" s="10" t="str">
        <f t="shared" ref="T337" si="273">IF(J338="",J337,0)</f>
        <v/>
      </c>
      <c r="U337" s="10"/>
      <c r="V337" s="10" t="str">
        <f t="shared" ref="V337" si="274">D337</f>
        <v/>
      </c>
      <c r="W337" s="10" t="str">
        <f t="shared" ref="W337" si="275">E337</f>
        <v/>
      </c>
      <c r="X337" s="10" t="str">
        <f t="shared" ref="X337" si="276">F337</f>
        <v/>
      </c>
      <c r="Y337" s="10" t="str">
        <f t="shared" ref="Y337" si="277">G337</f>
        <v/>
      </c>
      <c r="Z337" s="10" t="str">
        <f t="shared" ref="Z337" si="278">H337</f>
        <v/>
      </c>
      <c r="AA337" s="10" t="str">
        <f t="shared" ref="AA337" si="279">I337</f>
        <v/>
      </c>
      <c r="AB337" s="10" t="str">
        <f t="shared" ref="AB337" si="280">J337</f>
        <v/>
      </c>
      <c r="AD337" s="6">
        <f>IF((D334&lt;&gt;"")*(D338=""),IF((D334&lt;=$B$443)*((D335&gt;=$C$443)+(D335&lt;2/24)),1,0),0)</f>
        <v>0</v>
      </c>
      <c r="AE337" s="6">
        <f>IF((E334&lt;&gt;"")*(E338=""),IF((E334&lt;=$B$443)*((E335&gt;=$C$443)+(E335&lt;2/24)),1,0),0)</f>
        <v>0</v>
      </c>
      <c r="AF337" s="6">
        <f>IF((F334&lt;&gt;"")*(F338=""),IF((F334&lt;=$B$443)*((F335&gt;=$C$443)+(F335&lt;2/24)),1,0),0)</f>
        <v>0</v>
      </c>
      <c r="AG337" s="6">
        <f>IF((G334&lt;&gt;"")*(G338=""),IF((G334&lt;=$B$443)*((G335&gt;=$C$443)+(G335&lt;2/24)),1,0),0)</f>
        <v>0</v>
      </c>
      <c r="AH337" s="6">
        <f>IF((H334&lt;&gt;"")*(H338=""),IF((H334&lt;=$B$443)*((H335&gt;=$C$443)+(H335&lt;2/24)),1,0),0)</f>
        <v>0</v>
      </c>
      <c r="AI337" s="6">
        <f>IF((I334&lt;&gt;"")*(I338=""),IF((I334&lt;=$B$443)*((I335&gt;=$C$443)+(I335&lt;2/24)),1,0),0)</f>
        <v>0</v>
      </c>
      <c r="AJ337" s="6">
        <f>IF((J334&lt;&gt;"")*(J338=""),IF((J334&lt;=$B$443)*((J335&gt;=$C$443)+(J335&lt;2/24)),1,0),0)</f>
        <v>0</v>
      </c>
    </row>
    <row r="338" spans="1:36" x14ac:dyDescent="0.2">
      <c r="A338" s="39"/>
      <c r="B338" s="40"/>
      <c r="C338" s="32" t="s">
        <v>4</v>
      </c>
      <c r="D338" s="33"/>
      <c r="E338" s="33"/>
      <c r="F338" s="33"/>
      <c r="G338" s="33"/>
      <c r="H338" s="33"/>
      <c r="I338" s="33"/>
      <c r="J338" s="33"/>
      <c r="K338" s="17"/>
      <c r="L338" s="6"/>
      <c r="M338" s="25"/>
      <c r="N338" s="6"/>
      <c r="O338" s="6"/>
      <c r="P338" s="6"/>
      <c r="Q338" s="6"/>
      <c r="R338" s="6"/>
      <c r="S338" s="6"/>
      <c r="T338" s="6"/>
      <c r="U338" s="6"/>
      <c r="V338" s="20"/>
      <c r="W338" s="20"/>
      <c r="X338" s="20"/>
      <c r="Y338" s="20"/>
      <c r="Z338" s="20"/>
      <c r="AA338" s="20"/>
      <c r="AB338" s="20"/>
      <c r="AD338" s="6">
        <f>IF((D334&lt;&gt;"")*(D338=""),IF((D334&lt;=$B$444)*((D335&gt;=$C$444)+(D335&lt;2/24)),1,0),0)</f>
        <v>0</v>
      </c>
      <c r="AE338" s="6">
        <f>IF((E334&lt;&gt;"")*(E338=""),IF((E334&lt;=$B$444)*((E335&gt;=$C$444)+(E335&lt;2/24)),1,0),0)</f>
        <v>0</v>
      </c>
      <c r="AF338" s="6">
        <f>IF((F334&lt;&gt;"")*(F338=""),IF((F334&lt;=$B$444)*((F335&gt;=$C$444)+(F335&lt;2/24)),1,0),0)</f>
        <v>0</v>
      </c>
      <c r="AG338" s="6">
        <f>IF((G334&lt;&gt;"")*(G338=""),IF((G334&lt;=$B$444)*((G335&gt;=$C$444)+(G335&lt;2/24)),1,0),0)</f>
        <v>0</v>
      </c>
      <c r="AH338" s="6">
        <f>IF((H334&lt;&gt;"")*(H338=""),IF((H334&lt;=$B$444)*((H335&gt;=$C$444)+(H335&lt;2/24)),1,0),0)</f>
        <v>0</v>
      </c>
      <c r="AI338" s="6">
        <f>IF((I334&lt;&gt;"")*(I338=""),IF((I334&lt;=$B$444)*((I335&gt;=$C$444)+(I335&lt;2/24)),1,0),0)</f>
        <v>0</v>
      </c>
      <c r="AJ338" s="6">
        <f>IF((J334&lt;&gt;"")*(J338=""),IF((J334&lt;=$B$444)*((J335&gt;=$C$444)+(J335&lt;2/24)),1,0),0)</f>
        <v>0</v>
      </c>
    </row>
    <row r="339" spans="1:36" ht="13.5" thickBot="1" x14ac:dyDescent="0.25">
      <c r="A339" s="41"/>
      <c r="B339" s="42"/>
      <c r="C339" s="35" t="s">
        <v>28</v>
      </c>
      <c r="D339" s="36"/>
      <c r="E339" s="36"/>
      <c r="F339" s="36"/>
      <c r="G339" s="36"/>
      <c r="H339" s="36"/>
      <c r="I339" s="36"/>
      <c r="J339" s="36"/>
      <c r="K339" s="34"/>
      <c r="L339" s="6"/>
      <c r="M339" s="25"/>
      <c r="N339" s="6"/>
      <c r="O339" s="6"/>
      <c r="P339" s="6"/>
      <c r="Q339" s="6"/>
      <c r="R339" s="6"/>
      <c r="S339" s="6"/>
      <c r="T339" s="6"/>
      <c r="U339" s="6"/>
      <c r="V339" s="20"/>
      <c r="W339" s="20"/>
      <c r="X339" s="20"/>
      <c r="Y339" s="20"/>
      <c r="Z339" s="20"/>
      <c r="AA339" s="20"/>
      <c r="AB339" s="20"/>
      <c r="AD339" s="6"/>
      <c r="AE339" s="6"/>
      <c r="AF339" s="6"/>
      <c r="AG339" s="6"/>
      <c r="AH339" s="6"/>
      <c r="AI339" s="6"/>
      <c r="AJ339" s="6"/>
    </row>
    <row r="340" spans="1:36" x14ac:dyDescent="0.2">
      <c r="A340" s="37" t="s">
        <v>108</v>
      </c>
      <c r="B340" s="38" t="s">
        <v>109</v>
      </c>
      <c r="C340" s="14" t="s">
        <v>0</v>
      </c>
      <c r="D340" s="26">
        <v>0.54166666666666663</v>
      </c>
      <c r="E340" s="26">
        <v>0.77083333333333337</v>
      </c>
      <c r="F340" s="26">
        <v>0.54166666666666663</v>
      </c>
      <c r="G340" s="26">
        <v>0.54166666666666663</v>
      </c>
      <c r="H340" s="26"/>
      <c r="I340" s="26"/>
      <c r="J340" s="26"/>
      <c r="K340" s="16"/>
      <c r="L340" s="6"/>
      <c r="M340" s="21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D340" s="6">
        <f>IF((D340&lt;&gt;"")*(D347=""),IF((D340&lt;=$B$440)*((D341&gt;=$C$440)+(D341&lt;2/24)),1,0),0)</f>
        <v>0</v>
      </c>
      <c r="AE340" s="6">
        <f>IF((E340&lt;&gt;"")*(E347=""),IF((E340&lt;=$B$440)*((E341&gt;=$C$440)+(E341&lt;2/24)),1,0),0)</f>
        <v>0</v>
      </c>
      <c r="AF340" s="6">
        <f>IF((F340&lt;&gt;"")*(F347=""),IF((F340&lt;=$B$440)*((F341&gt;=$C$440)+(F341&lt;2/24)),1,0),0)</f>
        <v>0</v>
      </c>
      <c r="AG340" s="6">
        <f>IF((G340&lt;&gt;"")*(G347=""),IF((G340&lt;=$B$440)*((G341&gt;=$C$440)+(G341&lt;2/24)),1,0),0)</f>
        <v>0</v>
      </c>
      <c r="AH340" s="6">
        <f>IF((H340&lt;&gt;"")*(H347=""),IF((H340&lt;=$B$440)*((H341&gt;=$C$440)+(H341&lt;2/24)),1,0),0)</f>
        <v>0</v>
      </c>
      <c r="AI340" s="6">
        <f>IF((I340&lt;&gt;"")*(I347=""),IF((I340&lt;=$B$440)*((I341&gt;=$C$440)+(I341&lt;2/24)),1,0),0)</f>
        <v>0</v>
      </c>
      <c r="AJ340" s="6">
        <f>IF((J340&lt;&gt;"")*(J347=""),IF((J340&lt;=$B$440)*((J341&gt;=$C$440)+(J341&lt;2/24)),1,0),0)</f>
        <v>0</v>
      </c>
    </row>
    <row r="341" spans="1:36" x14ac:dyDescent="0.2">
      <c r="A341" s="39"/>
      <c r="B341" s="40"/>
      <c r="C341" s="15" t="s">
        <v>1</v>
      </c>
      <c r="D341" s="27">
        <v>0.95833333333333337</v>
      </c>
      <c r="E341" s="27">
        <v>0.95833333333333337</v>
      </c>
      <c r="F341" s="27">
        <v>0.75</v>
      </c>
      <c r="G341" s="27">
        <v>0.75</v>
      </c>
      <c r="H341" s="27"/>
      <c r="I341" s="27"/>
      <c r="J341" s="27"/>
      <c r="K341" s="17"/>
      <c r="L341" s="6"/>
      <c r="M341" s="21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D341" s="6">
        <f>IF((D340&lt;&gt;"")*(D347=""),IF((D340&lt;=$B$441)*((D341&gt;=$C$441)+(D341&lt;2/24)),1,0),0)</f>
        <v>1</v>
      </c>
      <c r="AE341" s="6">
        <f>IF((E340&lt;&gt;"")*(E347=""),IF((E340&lt;=$B$441)*((E341&gt;=$C$441)+(E341&lt;2/24)),1,0),0)</f>
        <v>0</v>
      </c>
      <c r="AF341" s="6">
        <f>IF((F340&lt;&gt;"")*(F347=""),IF((F340&lt;=$B$441)*((F341&gt;=$C$441)+(F341&lt;2/24)),1,0),0)</f>
        <v>1</v>
      </c>
      <c r="AG341" s="6">
        <f>IF((G340&lt;&gt;"")*(G347=""),IF((G340&lt;=$B$441)*((G341&gt;=$C$441)+(G341&lt;2/24)),1,0),0)</f>
        <v>0</v>
      </c>
      <c r="AH341" s="6">
        <f>IF((H340&lt;&gt;"")*(H347=""),IF((H340&lt;=$B$441)*((H341&gt;=$C$441)+(H341&lt;2/24)),1,0),0)</f>
        <v>0</v>
      </c>
      <c r="AI341" s="6">
        <f>IF((I340&lt;&gt;"")*(I347=""),IF((I340&lt;=$B$441)*((I341&gt;=$C$441)+(I341&lt;2/24)),1,0),0)</f>
        <v>0</v>
      </c>
      <c r="AJ341" s="6">
        <f>IF((J340&lt;&gt;"")*(J347=""),IF((J340&lt;=$B$441)*((J341&gt;=$C$441)+(J341&lt;2/24)),1,0),0)</f>
        <v>0</v>
      </c>
    </row>
    <row r="342" spans="1:36" x14ac:dyDescent="0.2">
      <c r="A342" s="39"/>
      <c r="B342" s="40"/>
      <c r="C342" s="15" t="s">
        <v>2</v>
      </c>
      <c r="D342" s="4">
        <v>4.1666666666666664E-2</v>
      </c>
      <c r="E342" s="4"/>
      <c r="F342" s="4"/>
      <c r="G342" s="4"/>
      <c r="H342" s="4"/>
      <c r="I342" s="4"/>
      <c r="J342" s="4"/>
      <c r="K342" s="17"/>
      <c r="L342" s="6"/>
      <c r="M342" s="21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D342" s="6">
        <f>IF((D340&lt;&gt;"")*(D347=""),IF((D340&lt;=$B$442)*((D341&gt;=$C$442)+(D341&lt;2/24)),1,0),0)</f>
        <v>1</v>
      </c>
      <c r="AE342" s="6">
        <f>IF((E340&lt;&gt;"")*(E347=""),IF((E340&lt;=$B$442)*((E341&gt;=$C$442)+(E341&lt;2/24)),1,0),0)</f>
        <v>0</v>
      </c>
      <c r="AF342" s="6">
        <f>IF((F340&lt;&gt;"")*(F347=""),IF((F340&lt;=$B$442)*((F341&gt;=$C$442)+(F341&lt;2/24)),1,0),0)</f>
        <v>1</v>
      </c>
      <c r="AG342" s="6">
        <f>IF((G340&lt;&gt;"")*(G347=""),IF((G340&lt;=$B$442)*((G341&gt;=$C$442)+(G341&lt;2/24)),1,0),0)</f>
        <v>0</v>
      </c>
      <c r="AH342" s="6">
        <f>IF((H340&lt;&gt;"")*(H347=""),IF((H340&lt;=$B$442)*((H341&gt;=$C$442)+(H341&lt;2/24)),1,0),0)</f>
        <v>0</v>
      </c>
      <c r="AI342" s="6">
        <f>IF((I340&lt;&gt;"")*(I347=""),IF((I340&lt;=$B$442)*((I341&gt;=$C$442)+(I341&lt;2/24)),1,0),0)</f>
        <v>0</v>
      </c>
      <c r="AJ342" s="6">
        <f>IF((J340&lt;&gt;"")*(J347=""),IF((J340&lt;=$B$442)*((J341&gt;=$C$442)+(J341&lt;2/24)),1,0),0)</f>
        <v>0</v>
      </c>
    </row>
    <row r="343" spans="1:36" x14ac:dyDescent="0.2">
      <c r="A343" s="39"/>
      <c r="B343" s="40"/>
      <c r="C343" s="15" t="s">
        <v>3</v>
      </c>
      <c r="D343" s="43">
        <f t="shared" ref="D343:J343" si="281">IF(D340="","",IF(D341&gt;D340,(D341-D340-D342)*24,(1-D340-D342+D341)*24))</f>
        <v>9.0000000000000018</v>
      </c>
      <c r="E343" s="43">
        <f t="shared" si="281"/>
        <v>4.5</v>
      </c>
      <c r="F343" s="43">
        <f t="shared" si="281"/>
        <v>5.0000000000000009</v>
      </c>
      <c r="G343" s="43">
        <v>5</v>
      </c>
      <c r="H343" s="55" t="str">
        <f t="shared" si="281"/>
        <v/>
      </c>
      <c r="I343" s="43" t="str">
        <f t="shared" si="281"/>
        <v/>
      </c>
      <c r="J343" s="44" t="str">
        <f t="shared" si="281"/>
        <v/>
      </c>
      <c r="K343" s="18">
        <f>SUMIF(D347:J347,"",D343:J343)</f>
        <v>18.500000000000004</v>
      </c>
      <c r="L343" s="12">
        <f>SUM(D343:J343)</f>
        <v>23.500000000000004</v>
      </c>
      <c r="M343" s="24"/>
      <c r="N343" s="10">
        <f t="shared" ref="N343" si="282">IF(D347="",D343,0)</f>
        <v>9.0000000000000018</v>
      </c>
      <c r="O343" s="10">
        <f t="shared" ref="O343" si="283">IF(E347="",E343,0)</f>
        <v>4.5</v>
      </c>
      <c r="P343" s="10">
        <f t="shared" ref="P343" si="284">IF(F347="",F343,0)</f>
        <v>5.0000000000000009</v>
      </c>
      <c r="Q343" s="10">
        <f t="shared" ref="Q343" si="285">IF(G347="",G343,0)</f>
        <v>0</v>
      </c>
      <c r="R343" s="10" t="str">
        <f t="shared" ref="R343" si="286">IF(H347="",H343,0)</f>
        <v/>
      </c>
      <c r="S343" s="10" t="str">
        <f t="shared" ref="S343" si="287">IF(I347="",I343,0)</f>
        <v/>
      </c>
      <c r="T343" s="10" t="str">
        <f t="shared" ref="T343" si="288">IF(J347="",J343,0)</f>
        <v/>
      </c>
      <c r="U343" s="10"/>
      <c r="V343" s="10">
        <f t="shared" ref="V343" si="289">D343</f>
        <v>9.0000000000000018</v>
      </c>
      <c r="W343" s="10">
        <f t="shared" ref="W343" si="290">E343</f>
        <v>4.5</v>
      </c>
      <c r="X343" s="10">
        <f t="shared" ref="X343" si="291">F343</f>
        <v>5.0000000000000009</v>
      </c>
      <c r="Y343" s="10">
        <f t="shared" ref="Y343" si="292">G343</f>
        <v>5</v>
      </c>
      <c r="Z343" s="10" t="str">
        <f t="shared" ref="Z343" si="293">H343</f>
        <v/>
      </c>
      <c r="AA343" s="10" t="str">
        <f t="shared" ref="AA343" si="294">I343</f>
        <v/>
      </c>
      <c r="AB343" s="10" t="str">
        <f t="shared" ref="AB343" si="295">J343</f>
        <v/>
      </c>
      <c r="AD343" s="6">
        <f>IF((D340&lt;&gt;"")*(D347=""),IF((D340&lt;=$B$443)*((D341&gt;=$C$443)+(D341&lt;2/24)),1,0),0)</f>
        <v>1</v>
      </c>
      <c r="AE343" s="6">
        <f>IF((E340&lt;&gt;"")*(E347=""),IF((E340&lt;=$B$443)*((E341&gt;=$C$443)+(E341&lt;2/24)),1,0),0)</f>
        <v>1</v>
      </c>
      <c r="AF343" s="6">
        <f>IF((F340&lt;&gt;"")*(F347=""),IF((F340&lt;=$B$443)*((F341&gt;=$C$443)+(F341&lt;2/24)),1,0),0)</f>
        <v>0</v>
      </c>
      <c r="AG343" s="6">
        <f>IF((G340&lt;&gt;"")*(G347=""),IF((G340&lt;=$B$443)*((G341&gt;=$C$443)+(G341&lt;2/24)),1,0),0)</f>
        <v>0</v>
      </c>
      <c r="AH343" s="6">
        <f>IF((H340&lt;&gt;"")*(H347=""),IF((H340&lt;=$B$443)*((H341&gt;=$C$443)+(H341&lt;2/24)),1,0),0)</f>
        <v>0</v>
      </c>
      <c r="AI343" s="6">
        <f>IF((I340&lt;&gt;"")*(I347=""),IF((I340&lt;=$B$443)*((I341&gt;=$C$443)+(I341&lt;2/24)),1,0),0)</f>
        <v>0</v>
      </c>
      <c r="AJ343" s="6">
        <f>IF((J340&lt;&gt;"")*(J347=""),IF((J340&lt;=$B$443)*((J341&gt;=$C$443)+(J341&lt;2/24)),1,0),0)</f>
        <v>0</v>
      </c>
    </row>
    <row r="344" spans="1:36" x14ac:dyDescent="0.2">
      <c r="A344" s="39"/>
      <c r="B344" s="40"/>
      <c r="C344" s="32" t="s">
        <v>4</v>
      </c>
      <c r="D344" s="33"/>
      <c r="E344" s="33"/>
      <c r="F344" s="33"/>
      <c r="G344" s="33"/>
      <c r="H344" s="33"/>
      <c r="I344" s="33"/>
      <c r="J344" s="33"/>
      <c r="K344" s="18"/>
      <c r="L344" s="12"/>
      <c r="M344" s="24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D344" s="6"/>
      <c r="AE344" s="6"/>
      <c r="AF344" s="6"/>
      <c r="AG344" s="6"/>
      <c r="AH344" s="6"/>
      <c r="AI344" s="6"/>
      <c r="AJ344" s="6"/>
    </row>
    <row r="345" spans="1:36" ht="13.5" thickBot="1" x14ac:dyDescent="0.25">
      <c r="A345" s="41"/>
      <c r="B345" s="42"/>
      <c r="C345" s="35" t="s">
        <v>28</v>
      </c>
      <c r="D345" s="93"/>
      <c r="E345" s="93"/>
      <c r="F345" s="93"/>
      <c r="G345" s="36"/>
      <c r="H345" s="93"/>
      <c r="I345" s="93"/>
      <c r="J345" s="93"/>
      <c r="K345" s="97"/>
      <c r="L345" s="12"/>
      <c r="M345" s="24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D345" s="6"/>
      <c r="AE345" s="6"/>
      <c r="AF345" s="6"/>
      <c r="AG345" s="6"/>
      <c r="AH345" s="6"/>
      <c r="AI345" s="6"/>
      <c r="AJ345" s="6"/>
    </row>
    <row r="346" spans="1:36" x14ac:dyDescent="0.2">
      <c r="A346" s="37" t="s">
        <v>161</v>
      </c>
      <c r="B346" s="38" t="s">
        <v>143</v>
      </c>
      <c r="C346" s="14" t="s">
        <v>0</v>
      </c>
      <c r="D346" s="26"/>
      <c r="E346" s="26"/>
      <c r="F346" s="26"/>
      <c r="G346" s="26">
        <v>0.54166666666666663</v>
      </c>
      <c r="H346" s="26"/>
      <c r="I346" s="26"/>
      <c r="J346" s="26"/>
      <c r="K346" s="16"/>
      <c r="L346" s="6"/>
      <c r="M346" s="24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D346" s="6"/>
      <c r="AE346" s="6"/>
      <c r="AF346" s="6"/>
      <c r="AG346" s="6"/>
      <c r="AH346" s="6"/>
      <c r="AI346" s="6"/>
      <c r="AJ346" s="6"/>
    </row>
    <row r="347" spans="1:36" x14ac:dyDescent="0.2">
      <c r="A347" s="39"/>
      <c r="B347" s="40"/>
      <c r="C347" s="15" t="s">
        <v>1</v>
      </c>
      <c r="D347" s="27"/>
      <c r="E347" s="27"/>
      <c r="F347" s="27"/>
      <c r="G347" s="27">
        <v>0.75</v>
      </c>
      <c r="H347" s="27"/>
      <c r="I347" s="27"/>
      <c r="J347" s="27"/>
      <c r="K347" s="17"/>
      <c r="L347" s="6"/>
      <c r="M347" s="25"/>
      <c r="N347" s="6"/>
      <c r="O347" s="6"/>
      <c r="P347" s="6"/>
      <c r="Q347" s="6"/>
      <c r="R347" s="6"/>
      <c r="S347" s="6"/>
      <c r="T347" s="6"/>
      <c r="U347" s="6"/>
      <c r="V347" s="20"/>
      <c r="W347" s="20"/>
      <c r="X347" s="20"/>
      <c r="Y347" s="20"/>
      <c r="Z347" s="20"/>
      <c r="AA347" s="20"/>
      <c r="AB347" s="20"/>
      <c r="AD347" s="6">
        <f>IF((D340&lt;&gt;"")*(D347=""),IF((D340&lt;=$B$444)*((D341&gt;=$C$444)+(D341&lt;2/24)),1,0),0)</f>
        <v>1</v>
      </c>
      <c r="AE347" s="6">
        <f>IF((E340&lt;&gt;"")*(E347=""),IF((E340&lt;=$B$444)*((E341&gt;=$C$444)+(E341&lt;2/24)),1,0),0)</f>
        <v>1</v>
      </c>
      <c r="AF347" s="6">
        <f>IF((F340&lt;&gt;"")*(F347=""),IF((F340&lt;=$B$444)*((F341&gt;=$C$444)+(F341&lt;2/24)),1,0),0)</f>
        <v>0</v>
      </c>
      <c r="AG347" s="6">
        <f>IF((G340&lt;&gt;"")*(G347=""),IF((G340&lt;=$B$444)*((G341&gt;=$C$444)+(G341&lt;2/24)),1,0),0)</f>
        <v>0</v>
      </c>
      <c r="AH347" s="6">
        <f>IF((H340&lt;&gt;"")*(H347=""),IF((H340&lt;=$B$444)*((H341&gt;=$C$444)+(H341&lt;2/24)),1,0),0)</f>
        <v>0</v>
      </c>
      <c r="AI347" s="6">
        <f>IF((I340&lt;&gt;"")*(I347=""),IF((I340&lt;=$B$444)*((I341&gt;=$C$444)+(I341&lt;2/24)),1,0),0)</f>
        <v>0</v>
      </c>
      <c r="AJ347" s="6">
        <f>IF((J340&lt;&gt;"")*(J347=""),IF((J340&lt;=$B$444)*((J341&gt;=$C$444)+(J341&lt;2/24)),1,0),0)</f>
        <v>0</v>
      </c>
    </row>
    <row r="348" spans="1:36" x14ac:dyDescent="0.2">
      <c r="A348" s="39"/>
      <c r="B348" s="40"/>
      <c r="C348" s="15" t="s">
        <v>2</v>
      </c>
      <c r="D348" s="4"/>
      <c r="E348" s="4"/>
      <c r="F348" s="4"/>
      <c r="G348" s="58"/>
      <c r="H348" s="4"/>
      <c r="I348" s="4"/>
      <c r="J348" s="4"/>
      <c r="K348" s="17"/>
      <c r="L348" s="6"/>
      <c r="M348" s="25"/>
      <c r="N348" s="6"/>
      <c r="O348" s="6"/>
      <c r="P348" s="6"/>
      <c r="Q348" s="6"/>
      <c r="R348" s="6"/>
      <c r="S348" s="6"/>
      <c r="T348" s="6"/>
      <c r="U348" s="6"/>
      <c r="V348" s="20"/>
      <c r="W348" s="20"/>
      <c r="X348" s="20"/>
      <c r="Y348" s="20"/>
      <c r="Z348" s="20"/>
      <c r="AA348" s="20"/>
      <c r="AB348" s="20"/>
      <c r="AD348" s="6"/>
      <c r="AE348" s="6"/>
      <c r="AF348" s="6"/>
      <c r="AG348" s="6"/>
      <c r="AH348" s="6"/>
      <c r="AI348" s="6"/>
      <c r="AJ348" s="6"/>
    </row>
    <row r="349" spans="1:36" x14ac:dyDescent="0.2">
      <c r="A349" s="39"/>
      <c r="B349" s="40"/>
      <c r="C349" s="15" t="s">
        <v>3</v>
      </c>
      <c r="D349" s="43" t="str">
        <f t="shared" ref="D349:J349" si="296">IF(D346="","",IF(D347&gt;D346,(D347-D346-D348)*24,(1-D346-D348+D347)*24))</f>
        <v/>
      </c>
      <c r="E349" s="43" t="str">
        <f t="shared" si="296"/>
        <v/>
      </c>
      <c r="F349" s="43" t="str">
        <f t="shared" si="296"/>
        <v/>
      </c>
      <c r="G349" s="55">
        <f t="shared" si="296"/>
        <v>5.0000000000000009</v>
      </c>
      <c r="H349" s="55" t="str">
        <f t="shared" si="296"/>
        <v/>
      </c>
      <c r="I349" s="43" t="str">
        <f t="shared" si="296"/>
        <v/>
      </c>
      <c r="J349" s="44" t="str">
        <f t="shared" si="296"/>
        <v/>
      </c>
      <c r="K349" s="18">
        <f>SUMIF(D350:J350,"",D349:J349)</f>
        <v>5.0000000000000009</v>
      </c>
      <c r="L349" s="12">
        <f>SUM(D349:J349)</f>
        <v>5.0000000000000009</v>
      </c>
      <c r="M349" s="25"/>
      <c r="N349" s="6"/>
      <c r="O349" s="6"/>
      <c r="P349" s="6"/>
      <c r="Q349" s="6"/>
      <c r="R349" s="6"/>
      <c r="S349" s="6"/>
      <c r="T349" s="6"/>
      <c r="U349" s="6"/>
      <c r="V349" s="20"/>
      <c r="W349" s="20"/>
      <c r="X349" s="20"/>
      <c r="Y349" s="20"/>
      <c r="Z349" s="20"/>
      <c r="AA349" s="20"/>
      <c r="AB349" s="20"/>
      <c r="AD349" s="6"/>
      <c r="AE349" s="6"/>
      <c r="AF349" s="6"/>
      <c r="AG349" s="6"/>
      <c r="AH349" s="6"/>
      <c r="AI349" s="6"/>
      <c r="AJ349" s="6"/>
    </row>
    <row r="350" spans="1:36" x14ac:dyDescent="0.2">
      <c r="A350" s="39"/>
      <c r="B350" s="40"/>
      <c r="C350" s="32" t="s">
        <v>4</v>
      </c>
      <c r="D350" s="33"/>
      <c r="E350" s="33"/>
      <c r="F350" s="33"/>
      <c r="G350" s="33"/>
      <c r="H350" s="33"/>
      <c r="I350" s="33"/>
      <c r="J350" s="33"/>
      <c r="K350" s="17"/>
      <c r="L350" s="6"/>
      <c r="M350" s="25"/>
      <c r="N350" s="6"/>
      <c r="O350" s="6"/>
      <c r="P350" s="6"/>
      <c r="Q350" s="6"/>
      <c r="R350" s="6"/>
      <c r="S350" s="6"/>
      <c r="T350" s="6"/>
      <c r="U350" s="6"/>
      <c r="V350" s="20"/>
      <c r="W350" s="20"/>
      <c r="X350" s="20"/>
      <c r="Y350" s="20"/>
      <c r="Z350" s="20"/>
      <c r="AA350" s="20"/>
      <c r="AB350" s="20"/>
      <c r="AD350" s="6"/>
      <c r="AE350" s="6"/>
      <c r="AF350" s="6"/>
      <c r="AG350" s="6"/>
      <c r="AH350" s="6"/>
      <c r="AI350" s="6"/>
      <c r="AJ350" s="6"/>
    </row>
    <row r="351" spans="1:36" ht="13.5" thickBot="1" x14ac:dyDescent="0.25">
      <c r="A351" s="41"/>
      <c r="B351" s="42"/>
      <c r="C351" s="35" t="s">
        <v>28</v>
      </c>
      <c r="D351" s="36"/>
      <c r="E351" s="36"/>
      <c r="F351" s="36"/>
      <c r="G351" s="36"/>
      <c r="H351" s="36"/>
      <c r="I351" s="36"/>
      <c r="J351" s="36"/>
      <c r="K351" s="34"/>
      <c r="L351" s="6"/>
      <c r="M351" s="25"/>
      <c r="N351" s="6"/>
      <c r="O351" s="6"/>
      <c r="P351" s="6"/>
      <c r="Q351" s="6"/>
      <c r="R351" s="6"/>
      <c r="S351" s="6"/>
      <c r="T351" s="6"/>
      <c r="U351" s="6"/>
      <c r="V351" s="20"/>
      <c r="W351" s="20"/>
      <c r="X351" s="20"/>
      <c r="Y351" s="20"/>
      <c r="Z351" s="20"/>
      <c r="AA351" s="20"/>
      <c r="AB351" s="20"/>
      <c r="AD351" s="6"/>
      <c r="AE351" s="6"/>
      <c r="AF351" s="6"/>
      <c r="AG351" s="6"/>
      <c r="AH351" s="6"/>
      <c r="AI351" s="6"/>
      <c r="AJ351" s="6"/>
    </row>
    <row r="352" spans="1:36" x14ac:dyDescent="0.2">
      <c r="A352" s="37" t="s">
        <v>100</v>
      </c>
      <c r="B352" s="38" t="s">
        <v>125</v>
      </c>
      <c r="C352" s="14" t="s">
        <v>0</v>
      </c>
      <c r="D352" s="26"/>
      <c r="E352" s="26"/>
      <c r="F352" s="26"/>
      <c r="G352" s="26"/>
      <c r="H352" s="26"/>
      <c r="I352" s="26"/>
      <c r="J352" s="26"/>
      <c r="K352" s="16"/>
      <c r="L352" s="6"/>
      <c r="M352" s="21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D352" s="6">
        <f>IF((D352&lt;&gt;"")*(D356=""),IF((D352&lt;=$B$440)*((D353&gt;=$C$440)+(D353&lt;2/24)),1,0),0)</f>
        <v>0</v>
      </c>
      <c r="AE352" s="6">
        <f>IF((E352&lt;&gt;"")*(E356=""),IF((E352&lt;=$B$440)*((E353&gt;=$C$440)+(E353&lt;2/24)),1,0),0)</f>
        <v>0</v>
      </c>
      <c r="AF352" s="6">
        <f>IF((F352&lt;&gt;"")*(F356=""),IF((F352&lt;=$B$440)*((F353&gt;=$C$440)+(F353&lt;2/24)),1,0),0)</f>
        <v>0</v>
      </c>
      <c r="AG352" s="6">
        <f>IF((G352&lt;&gt;"")*(G356=""),IF((G352&lt;=$B$440)*((G353&gt;=$C$440)+(G353&lt;2/24)),1,0),0)</f>
        <v>0</v>
      </c>
      <c r="AH352" s="6">
        <f>IF((H352&lt;&gt;"")*(H356=""),IF((H352&lt;=$B$440)*((H353&gt;=$C$440)+(H353&lt;2/24)),1,0),0)</f>
        <v>0</v>
      </c>
      <c r="AI352" s="6">
        <f>IF((I352&lt;&gt;"")*(I356=""),IF((I352&lt;=$B$440)*((I353&gt;=$C$440)+(I353&lt;2/24)),1,0),0)</f>
        <v>0</v>
      </c>
      <c r="AJ352" s="6">
        <f>IF((J352&lt;&gt;"")*(J356=""),IF((J352&lt;=$B$440)*((J353&gt;=$C$440)+(J353&lt;2/24)),1,0),0)</f>
        <v>0</v>
      </c>
    </row>
    <row r="353" spans="1:36" x14ac:dyDescent="0.2">
      <c r="A353" s="39"/>
      <c r="B353" s="40"/>
      <c r="C353" s="15" t="s">
        <v>1</v>
      </c>
      <c r="D353" s="27"/>
      <c r="E353" s="27"/>
      <c r="F353" s="27"/>
      <c r="G353" s="27"/>
      <c r="H353" s="27"/>
      <c r="I353" s="27"/>
      <c r="J353" s="27"/>
      <c r="K353" s="17"/>
      <c r="L353" s="6"/>
      <c r="M353" s="21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D353" s="6">
        <f>IF((D352&lt;&gt;"")*(D356=""),IF((D352&lt;=$B$441)*((D353&gt;=$C$441)+(D353&lt;2/24)),1,0),0)</f>
        <v>0</v>
      </c>
      <c r="AE353" s="6">
        <f>IF((E352&lt;&gt;"")*(E356=""),IF((E352&lt;=$B$441)*((E353&gt;=$C$441)+(E353&lt;2/24)),1,0),0)</f>
        <v>0</v>
      </c>
      <c r="AF353" s="6">
        <f>IF((F352&lt;&gt;"")*(F356=""),IF((F352&lt;=$B$441)*((F353&gt;=$C$441)+(F353&lt;2/24)),1,0),0)</f>
        <v>0</v>
      </c>
      <c r="AG353" s="6">
        <f>IF((G352&lt;&gt;"")*(G356=""),IF((G352&lt;=$B$441)*((G353&gt;=$C$441)+(G353&lt;2/24)),1,0),0)</f>
        <v>0</v>
      </c>
      <c r="AH353" s="6">
        <f>IF((H352&lt;&gt;"")*(H356=""),IF((H352&lt;=$B$441)*((H353&gt;=$C$441)+(H353&lt;2/24)),1,0),0)</f>
        <v>0</v>
      </c>
      <c r="AI353" s="6">
        <f>IF((I352&lt;&gt;"")*(I356=""),IF((I352&lt;=$B$441)*((I353&gt;=$C$441)+(I353&lt;2/24)),1,0),0)</f>
        <v>0</v>
      </c>
      <c r="AJ353" s="6">
        <f>IF((J352&lt;&gt;"")*(J356=""),IF((J352&lt;=$B$441)*((J353&gt;=$C$441)+(J353&lt;2/24)),1,0),0)</f>
        <v>0</v>
      </c>
    </row>
    <row r="354" spans="1:36" x14ac:dyDescent="0.2">
      <c r="A354" s="39"/>
      <c r="B354" s="40"/>
      <c r="C354" s="15" t="s">
        <v>2</v>
      </c>
      <c r="D354" s="4"/>
      <c r="E354" s="4"/>
      <c r="F354" s="4"/>
      <c r="G354" s="58"/>
      <c r="H354" s="4"/>
      <c r="I354" s="4"/>
      <c r="J354" s="4"/>
      <c r="K354" s="17"/>
      <c r="L354" s="6"/>
      <c r="M354" s="21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D354" s="6">
        <f>IF((D352&lt;&gt;"")*(D356=""),IF((D352&lt;=$B$442)*((D353&gt;=$C$442)+(D353&lt;2/24)),1,0),0)</f>
        <v>0</v>
      </c>
      <c r="AE354" s="6">
        <f>IF((E352&lt;&gt;"")*(E356=""),IF((E352&lt;=$B$442)*((E353&gt;=$C$442)+(E353&lt;2/24)),1,0),0)</f>
        <v>0</v>
      </c>
      <c r="AF354" s="6">
        <f>IF((F352&lt;&gt;"")*(F356=""),IF((F352&lt;=$B$442)*((F353&gt;=$C$442)+(F353&lt;2/24)),1,0),0)</f>
        <v>0</v>
      </c>
      <c r="AG354" s="6">
        <f>IF((G352&lt;&gt;"")*(G356=""),IF((G352&lt;=$B$442)*((G353&gt;=$C$442)+(G353&lt;2/24)),1,0),0)</f>
        <v>0</v>
      </c>
      <c r="AH354" s="6">
        <f>IF((H352&lt;&gt;"")*(H356=""),IF((H352&lt;=$B$442)*((H353&gt;=$C$442)+(H353&lt;2/24)),1,0),0)</f>
        <v>0</v>
      </c>
      <c r="AI354" s="6">
        <f>IF((I352&lt;&gt;"")*(I356=""),IF((I352&lt;=$B$442)*((I353&gt;=$C$442)+(I353&lt;2/24)),1,0),0)</f>
        <v>0</v>
      </c>
      <c r="AJ354" s="6">
        <f>IF((J352&lt;&gt;"")*(J356=""),IF((J352&lt;=$B$442)*((J353&gt;=$C$442)+(J353&lt;2/24)),1,0),0)</f>
        <v>0</v>
      </c>
    </row>
    <row r="355" spans="1:36" x14ac:dyDescent="0.2">
      <c r="A355" s="39"/>
      <c r="B355" s="40"/>
      <c r="C355" s="15" t="s">
        <v>3</v>
      </c>
      <c r="D355" s="43" t="str">
        <f t="shared" ref="D355:J355" si="297">IF(D352="","",IF(D353&gt;D352,(D353-D352-D354)*24,(1-D352-D354+D353)*24))</f>
        <v/>
      </c>
      <c r="E355" s="43" t="str">
        <f t="shared" si="297"/>
        <v/>
      </c>
      <c r="F355" s="43" t="str">
        <f t="shared" si="297"/>
        <v/>
      </c>
      <c r="G355" s="55" t="str">
        <f t="shared" si="297"/>
        <v/>
      </c>
      <c r="H355" s="55"/>
      <c r="I355" s="43" t="str">
        <f t="shared" si="297"/>
        <v/>
      </c>
      <c r="J355" s="44" t="str">
        <f t="shared" si="297"/>
        <v/>
      </c>
      <c r="K355" s="18">
        <f>SUMIF(D356:J356,"",D355:J355)</f>
        <v>0</v>
      </c>
      <c r="L355" s="12">
        <f>SUM(D355:J355)</f>
        <v>0</v>
      </c>
      <c r="M355" s="24"/>
      <c r="N355" s="10" t="str">
        <f t="shared" ref="N355" si="298">IF(D356="",D355,0)</f>
        <v/>
      </c>
      <c r="O355" s="10" t="str">
        <f t="shared" ref="O355" si="299">IF(E356="",E355,0)</f>
        <v/>
      </c>
      <c r="P355" s="10" t="str">
        <f t="shared" ref="P355" si="300">IF(F356="",F355,0)</f>
        <v/>
      </c>
      <c r="Q355" s="10" t="str">
        <f t="shared" ref="Q355" si="301">IF(G356="",G355,0)</f>
        <v/>
      </c>
      <c r="R355" s="10">
        <f t="shared" ref="R355" si="302">IF(H356="",H355,0)</f>
        <v>0</v>
      </c>
      <c r="S355" s="10" t="str">
        <f t="shared" ref="S355" si="303">IF(I356="",I355,0)</f>
        <v/>
      </c>
      <c r="T355" s="10" t="str">
        <f t="shared" ref="T355" si="304">IF(J356="",J355,0)</f>
        <v/>
      </c>
      <c r="U355" s="10"/>
      <c r="V355" s="10" t="str">
        <f t="shared" ref="V355" si="305">D355</f>
        <v/>
      </c>
      <c r="W355" s="10" t="str">
        <f t="shared" ref="W355" si="306">E355</f>
        <v/>
      </c>
      <c r="X355" s="10" t="str">
        <f t="shared" ref="X355" si="307">F355</f>
        <v/>
      </c>
      <c r="Y355" s="10" t="str">
        <f t="shared" ref="Y355" si="308">G355</f>
        <v/>
      </c>
      <c r="Z355" s="10">
        <f t="shared" ref="Z355" si="309">H355</f>
        <v>0</v>
      </c>
      <c r="AA355" s="10" t="str">
        <f t="shared" ref="AA355" si="310">I355</f>
        <v/>
      </c>
      <c r="AB355" s="10" t="str">
        <f t="shared" ref="AB355" si="311">J355</f>
        <v/>
      </c>
      <c r="AD355" s="6">
        <f>IF((D352&lt;&gt;"")*(D356=""),IF((D352&lt;=$B$443)*((D353&gt;=$C$443)+(D353&lt;2/24)),1,0),0)</f>
        <v>0</v>
      </c>
      <c r="AE355" s="6">
        <f>IF((E352&lt;&gt;"")*(E356=""),IF((E352&lt;=$B$443)*((E353&gt;=$C$443)+(E353&lt;2/24)),1,0),0)</f>
        <v>0</v>
      </c>
      <c r="AF355" s="6">
        <f>IF((F352&lt;&gt;"")*(F356=""),IF((F352&lt;=$B$443)*((F353&gt;=$C$443)+(F353&lt;2/24)),1,0),0)</f>
        <v>0</v>
      </c>
      <c r="AG355" s="6">
        <f>IF((G352&lt;&gt;"")*(G356=""),IF((G352&lt;=$B$443)*((G353&gt;=$C$443)+(G353&lt;2/24)),1,0),0)</f>
        <v>0</v>
      </c>
      <c r="AH355" s="6">
        <f>IF((H352&lt;&gt;"")*(H356=""),IF((H352&lt;=$B$443)*((H353&gt;=$C$443)+(H353&lt;2/24)),1,0),0)</f>
        <v>0</v>
      </c>
      <c r="AI355" s="6">
        <f>IF((I352&lt;&gt;"")*(I356=""),IF((I352&lt;=$B$443)*((I353&gt;=$C$443)+(I353&lt;2/24)),1,0),0)</f>
        <v>0</v>
      </c>
      <c r="AJ355" s="6">
        <f>IF((J352&lt;&gt;"")*(J356=""),IF((J352&lt;=$B$443)*((J353&gt;=$C$443)+(J353&lt;2/24)),1,0),0)</f>
        <v>0</v>
      </c>
    </row>
    <row r="356" spans="1:36" x14ac:dyDescent="0.2">
      <c r="A356" s="39"/>
      <c r="B356" s="40"/>
      <c r="C356" s="32" t="s">
        <v>4</v>
      </c>
      <c r="D356" s="33"/>
      <c r="E356" s="33"/>
      <c r="F356" s="33"/>
      <c r="G356" s="33"/>
      <c r="H356" s="33"/>
      <c r="I356" s="33"/>
      <c r="J356" s="33"/>
      <c r="K356" s="17"/>
      <c r="L356" s="6"/>
      <c r="M356" s="25"/>
      <c r="N356" s="6"/>
      <c r="O356" s="6"/>
      <c r="P356" s="6"/>
      <c r="Q356" s="6"/>
      <c r="R356" s="6"/>
      <c r="S356" s="6"/>
      <c r="T356" s="6"/>
      <c r="U356" s="6"/>
      <c r="V356" s="20"/>
      <c r="W356" s="20"/>
      <c r="X356" s="20"/>
      <c r="Y356" s="20"/>
      <c r="Z356" s="20"/>
      <c r="AA356" s="20"/>
      <c r="AB356" s="20"/>
      <c r="AD356" s="6">
        <f>IF((D352&lt;&gt;"")*(D356=""),IF((D352&lt;=$B$444)*((D353&gt;=$C$444)+(D353&lt;2/24)),1,0),0)</f>
        <v>0</v>
      </c>
      <c r="AE356" s="6">
        <f>IF((E352&lt;&gt;"")*(E356=""),IF((E352&lt;=$B$444)*((E353&gt;=$C$444)+(E353&lt;2/24)),1,0),0)</f>
        <v>0</v>
      </c>
      <c r="AF356" s="6">
        <f>IF((F352&lt;&gt;"")*(F356=""),IF((F352&lt;=$B$444)*((F353&gt;=$C$444)+(F353&lt;2/24)),1,0),0)</f>
        <v>0</v>
      </c>
      <c r="AG356" s="6">
        <f>IF((G352&lt;&gt;"")*(G356=""),IF((G352&lt;=$B$444)*((G353&gt;=$C$444)+(G353&lt;2/24)),1,0),0)</f>
        <v>0</v>
      </c>
      <c r="AH356" s="6">
        <f>IF((H352&lt;&gt;"")*(H356=""),IF((H352&lt;=$B$444)*((H353&gt;=$C$444)+(H353&lt;2/24)),1,0),0)</f>
        <v>0</v>
      </c>
      <c r="AI356" s="6">
        <f>IF((I352&lt;&gt;"")*(I356=""),IF((I352&lt;=$B$444)*((I353&gt;=$C$444)+(I353&lt;2/24)),1,0),0)</f>
        <v>0</v>
      </c>
      <c r="AJ356" s="6">
        <f>IF((J352&lt;&gt;"")*(J356=""),IF((J352&lt;=$B$444)*((J353&gt;=$C$444)+(J353&lt;2/24)),1,0),0)</f>
        <v>0</v>
      </c>
    </row>
    <row r="357" spans="1:36" ht="13.5" thickBot="1" x14ac:dyDescent="0.25">
      <c r="A357" s="41"/>
      <c r="B357" s="42"/>
      <c r="C357" s="35" t="s">
        <v>28</v>
      </c>
      <c r="D357" s="36"/>
      <c r="E357" s="36"/>
      <c r="F357" s="36"/>
      <c r="G357" s="36"/>
      <c r="H357" s="36"/>
      <c r="I357" s="36"/>
      <c r="J357" s="36"/>
      <c r="K357" s="34"/>
      <c r="L357" s="6"/>
      <c r="M357" s="25"/>
      <c r="N357" s="6"/>
      <c r="O357" s="6"/>
      <c r="P357" s="6"/>
      <c r="Q357" s="6"/>
      <c r="R357" s="6"/>
      <c r="S357" s="6"/>
      <c r="T357" s="6"/>
      <c r="U357" s="6"/>
      <c r="V357" s="20"/>
      <c r="W357" s="20"/>
      <c r="X357" s="20"/>
      <c r="Y357" s="20"/>
      <c r="Z357" s="20"/>
      <c r="AA357" s="20"/>
      <c r="AB357" s="20"/>
      <c r="AD357" s="6"/>
      <c r="AE357" s="6"/>
      <c r="AF357" s="6"/>
      <c r="AG357" s="6"/>
      <c r="AH357" s="6"/>
      <c r="AI357" s="6"/>
      <c r="AJ357" s="6"/>
    </row>
    <row r="358" spans="1:36" x14ac:dyDescent="0.2">
      <c r="A358" s="37" t="s">
        <v>157</v>
      </c>
      <c r="B358" s="38" t="s">
        <v>158</v>
      </c>
      <c r="C358" s="14" t="s">
        <v>0</v>
      </c>
      <c r="D358" s="26"/>
      <c r="E358" s="26"/>
      <c r="F358" s="26">
        <v>0.54166666666666663</v>
      </c>
      <c r="G358" s="26"/>
      <c r="H358" s="26">
        <v>0.77083333333333337</v>
      </c>
      <c r="I358" s="26"/>
      <c r="J358" s="26"/>
      <c r="K358" s="16"/>
      <c r="L358" s="6"/>
      <c r="M358" s="21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D358" s="6">
        <f>IF((D358&lt;&gt;"")*(D362=""),IF((D358&lt;=$B$440)*((D359&gt;=$C$440)+(D359&lt;2/24)),1,0),0)</f>
        <v>0</v>
      </c>
      <c r="AE358" s="6">
        <f>IF((E358&lt;&gt;"")*(E362=""),IF((E358&lt;=$B$440)*((E359&gt;=$C$440)+(E359&lt;2/24)),1,0),0)</f>
        <v>0</v>
      </c>
      <c r="AF358" s="6">
        <f>IF((F358&lt;&gt;"")*(F362=""),IF((F358&lt;=$B$440)*((F359&gt;=$C$440)+(F359&lt;2/24)),1,0),0)</f>
        <v>0</v>
      </c>
      <c r="AG358" s="6">
        <f>IF((G358&lt;&gt;"")*(G362=""),IF((G358&lt;=$B$440)*((G359&gt;=$C$440)+(G359&lt;2/24)),1,0),0)</f>
        <v>0</v>
      </c>
      <c r="AH358" s="6">
        <f>IF((H358&lt;&gt;"")*(H362=""),IF((H358&lt;=$B$440)*((H359&gt;=$C$440)+(H359&lt;2/24)),1,0),0)</f>
        <v>0</v>
      </c>
      <c r="AI358" s="6">
        <f>IF((I358&lt;&gt;"")*(I362=""),IF((I358&lt;=$B$440)*((I359&gt;=$C$440)+(I359&lt;2/24)),1,0),0)</f>
        <v>0</v>
      </c>
      <c r="AJ358" s="6">
        <f>IF((J358&lt;&gt;"")*(J362=""),IF((J358&lt;=$B$440)*((J359&gt;=$C$440)+(J359&lt;2/24)),1,0),0)</f>
        <v>0</v>
      </c>
    </row>
    <row r="359" spans="1:36" x14ac:dyDescent="0.2">
      <c r="A359" s="39"/>
      <c r="B359" s="40"/>
      <c r="C359" s="15" t="s">
        <v>1</v>
      </c>
      <c r="D359" s="27"/>
      <c r="E359" s="27"/>
      <c r="F359" s="27">
        <v>0.75</v>
      </c>
      <c r="G359" s="27"/>
      <c r="H359" s="27">
        <v>0.95833333333333337</v>
      </c>
      <c r="I359" s="27"/>
      <c r="J359" s="27"/>
      <c r="K359" s="17"/>
      <c r="L359" s="6"/>
      <c r="M359" s="21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D359" s="6">
        <f>IF((D358&lt;&gt;"")*(D362=""),IF((D358&lt;=$B$441)*((D359&gt;=$C$441)+(D359&lt;2/24)),1,0),0)</f>
        <v>0</v>
      </c>
      <c r="AE359" s="6">
        <f>IF((E358&lt;&gt;"")*(E362=""),IF((E358&lt;=$B$441)*((E359&gt;=$C$441)+(E359&lt;2/24)),1,0),0)</f>
        <v>0</v>
      </c>
      <c r="AF359" s="6">
        <f>IF((F358&lt;&gt;"")*(F362=""),IF((F358&lt;=$B$441)*((F359&gt;=$C$441)+(F359&lt;2/24)),1,0),0)</f>
        <v>1</v>
      </c>
      <c r="AG359" s="6">
        <f>IF((G358&lt;&gt;"")*(G362=""),IF((G358&lt;=$B$441)*((G359&gt;=$C$441)+(G359&lt;2/24)),1,0),0)</f>
        <v>0</v>
      </c>
      <c r="AH359" s="6">
        <f>IF((H358&lt;&gt;"")*(H362=""),IF((H358&lt;=$B$441)*((H359&gt;=$C$441)+(H359&lt;2/24)),1,0),0)</f>
        <v>0</v>
      </c>
      <c r="AI359" s="6">
        <f>IF((I358&lt;&gt;"")*(I362=""),IF((I358&lt;=$B$441)*((I359&gt;=$C$441)+(I359&lt;2/24)),1,0),0)</f>
        <v>0</v>
      </c>
      <c r="AJ359" s="6">
        <f>IF((J358&lt;&gt;"")*(J362=""),IF((J358&lt;=$B$441)*((J359&gt;=$C$441)+(J359&lt;2/24)),1,0),0)</f>
        <v>0</v>
      </c>
    </row>
    <row r="360" spans="1:36" x14ac:dyDescent="0.2">
      <c r="A360" s="39"/>
      <c r="B360" s="40"/>
      <c r="C360" s="15" t="s">
        <v>2</v>
      </c>
      <c r="D360" s="4"/>
      <c r="E360" s="4"/>
      <c r="F360" s="4"/>
      <c r="G360" s="58"/>
      <c r="H360" s="4"/>
      <c r="I360" s="4"/>
      <c r="J360" s="4"/>
      <c r="K360" s="17"/>
      <c r="L360" s="6"/>
      <c r="M360" s="21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D360" s="6">
        <f>IF((D358&lt;&gt;"")*(D362=""),IF((D358&lt;=$B$442)*((D359&gt;=$C$442)+(D359&lt;2/24)),1,0),0)</f>
        <v>0</v>
      </c>
      <c r="AE360" s="6">
        <f>IF((E358&lt;&gt;"")*(E362=""),IF((E358&lt;=$B$442)*((E359&gt;=$C$442)+(E359&lt;2/24)),1,0),0)</f>
        <v>0</v>
      </c>
      <c r="AF360" s="6">
        <f>IF((F358&lt;&gt;"")*(F362=""),IF((F358&lt;=$B$442)*((F359&gt;=$C$442)+(F359&lt;2/24)),1,0),0)</f>
        <v>1</v>
      </c>
      <c r="AG360" s="6">
        <f>IF((G358&lt;&gt;"")*(G362=""),IF((G358&lt;=$B$442)*((G359&gt;=$C$442)+(G359&lt;2/24)),1,0),0)</f>
        <v>0</v>
      </c>
      <c r="AH360" s="6">
        <f>IF((H358&lt;&gt;"")*(H362=""),IF((H358&lt;=$B$442)*((H359&gt;=$C$442)+(H359&lt;2/24)),1,0),0)</f>
        <v>0</v>
      </c>
      <c r="AI360" s="6">
        <f>IF((I358&lt;&gt;"")*(I362=""),IF((I358&lt;=$B$442)*((I359&gt;=$C$442)+(I359&lt;2/24)),1,0),0)</f>
        <v>0</v>
      </c>
      <c r="AJ360" s="6">
        <f>IF((J358&lt;&gt;"")*(J362=""),IF((J358&lt;=$B$442)*((J359&gt;=$C$442)+(J359&lt;2/24)),1,0),0)</f>
        <v>0</v>
      </c>
    </row>
    <row r="361" spans="1:36" x14ac:dyDescent="0.2">
      <c r="A361" s="39"/>
      <c r="B361" s="40"/>
      <c r="C361" s="15" t="s">
        <v>3</v>
      </c>
      <c r="D361" s="43" t="str">
        <f t="shared" ref="D361:J361" si="312">IF(D358="","",IF(D359&gt;D358,(D359-D358-D360)*24,(1-D358-D360+D359)*24))</f>
        <v/>
      </c>
      <c r="E361" s="43" t="str">
        <f t="shared" si="312"/>
        <v/>
      </c>
      <c r="F361" s="43">
        <f t="shared" si="312"/>
        <v>5.0000000000000009</v>
      </c>
      <c r="G361" s="55" t="str">
        <f t="shared" si="312"/>
        <v/>
      </c>
      <c r="H361" s="55">
        <f t="shared" si="312"/>
        <v>4.5</v>
      </c>
      <c r="I361" s="43" t="str">
        <f t="shared" si="312"/>
        <v/>
      </c>
      <c r="J361" s="44" t="str">
        <f t="shared" si="312"/>
        <v/>
      </c>
      <c r="K361" s="18">
        <f>SUMIF(D362:J362,"",D361:J361)</f>
        <v>9.5</v>
      </c>
      <c r="L361" s="12">
        <f>SUM(D361:J361)</f>
        <v>9.5</v>
      </c>
      <c r="M361" s="24"/>
      <c r="N361" s="10" t="str">
        <f t="shared" ref="N361" si="313">IF(D362="",D361,0)</f>
        <v/>
      </c>
      <c r="O361" s="10" t="str">
        <f t="shared" ref="O361" si="314">IF(E362="",E361,0)</f>
        <v/>
      </c>
      <c r="P361" s="10">
        <f t="shared" ref="P361" si="315">IF(F362="",F361,0)</f>
        <v>5.0000000000000009</v>
      </c>
      <c r="Q361" s="10" t="str">
        <f t="shared" ref="Q361" si="316">IF(G362="",G361,0)</f>
        <v/>
      </c>
      <c r="R361" s="10">
        <f t="shared" ref="R361" si="317">IF(H362="",H361,0)</f>
        <v>4.5</v>
      </c>
      <c r="S361" s="10" t="str">
        <f t="shared" ref="S361" si="318">IF(I362="",I361,0)</f>
        <v/>
      </c>
      <c r="T361" s="10" t="str">
        <f t="shared" ref="T361" si="319">IF(J362="",J361,0)</f>
        <v/>
      </c>
      <c r="U361" s="10"/>
      <c r="V361" s="10" t="str">
        <f t="shared" ref="V361" si="320">D361</f>
        <v/>
      </c>
      <c r="W361" s="10" t="str">
        <f t="shared" ref="W361" si="321">E361</f>
        <v/>
      </c>
      <c r="X361" s="10">
        <f t="shared" ref="X361" si="322">F361</f>
        <v>5.0000000000000009</v>
      </c>
      <c r="Y361" s="10" t="str">
        <f t="shared" ref="Y361" si="323">G361</f>
        <v/>
      </c>
      <c r="Z361" s="10">
        <f t="shared" ref="Z361" si="324">H361</f>
        <v>4.5</v>
      </c>
      <c r="AA361" s="10" t="str">
        <f t="shared" ref="AA361" si="325">I361</f>
        <v/>
      </c>
      <c r="AB361" s="10" t="str">
        <f t="shared" ref="AB361" si="326">J361</f>
        <v/>
      </c>
      <c r="AD361" s="6">
        <f>IF((D358&lt;&gt;"")*(D362=""),IF((D358&lt;=$B$443)*((D359&gt;=$C$443)+(D359&lt;2/24)),1,0),0)</f>
        <v>0</v>
      </c>
      <c r="AE361" s="6">
        <f>IF((E358&lt;&gt;"")*(E362=""),IF((E358&lt;=$B$443)*((E359&gt;=$C$443)+(E359&lt;2/24)),1,0),0)</f>
        <v>0</v>
      </c>
      <c r="AF361" s="6">
        <f>IF((F358&lt;&gt;"")*(F362=""),IF((F358&lt;=$B$443)*((F359&gt;=$C$443)+(F359&lt;2/24)),1,0),0)</f>
        <v>0</v>
      </c>
      <c r="AG361" s="6">
        <f>IF((G358&lt;&gt;"")*(G362=""),IF((G358&lt;=$B$443)*((G359&gt;=$C$443)+(G359&lt;2/24)),1,0),0)</f>
        <v>0</v>
      </c>
      <c r="AH361" s="6">
        <f>IF((H358&lt;&gt;"")*(H362=""),IF((H358&lt;=$B$443)*((H359&gt;=$C$443)+(H359&lt;2/24)),1,0),0)</f>
        <v>1</v>
      </c>
      <c r="AI361" s="6">
        <f>IF((I358&lt;&gt;"")*(I362=""),IF((I358&lt;=$B$443)*((I359&gt;=$C$443)+(I359&lt;2/24)),1,0),0)</f>
        <v>0</v>
      </c>
      <c r="AJ361" s="6">
        <f>IF((J358&lt;&gt;"")*(J362=""),IF((J358&lt;=$B$443)*((J359&gt;=$C$443)+(J359&lt;2/24)),1,0),0)</f>
        <v>0</v>
      </c>
    </row>
    <row r="362" spans="1:36" x14ac:dyDescent="0.2">
      <c r="A362" s="39"/>
      <c r="B362" s="40"/>
      <c r="C362" s="32" t="s">
        <v>4</v>
      </c>
      <c r="D362" s="33"/>
      <c r="E362" s="33"/>
      <c r="F362" s="33"/>
      <c r="G362" s="33"/>
      <c r="H362" s="33"/>
      <c r="I362" s="33"/>
      <c r="J362" s="33"/>
      <c r="K362" s="17"/>
      <c r="L362" s="6"/>
      <c r="M362" s="25"/>
      <c r="N362" s="6"/>
      <c r="O362" s="6"/>
      <c r="P362" s="6"/>
      <c r="Q362" s="6"/>
      <c r="R362" s="6"/>
      <c r="S362" s="6"/>
      <c r="T362" s="6"/>
      <c r="U362" s="6"/>
      <c r="V362" s="20"/>
      <c r="W362" s="20"/>
      <c r="X362" s="20"/>
      <c r="Y362" s="20"/>
      <c r="Z362" s="20"/>
      <c r="AA362" s="20"/>
      <c r="AB362" s="20"/>
      <c r="AD362" s="6">
        <f>IF((D358&lt;&gt;"")*(D362=""),IF((D358&lt;=$B$444)*((D359&gt;=$C$444)+(D359&lt;2/24)),1,0),0)</f>
        <v>0</v>
      </c>
      <c r="AE362" s="6">
        <f>IF((E358&lt;&gt;"")*(E362=""),IF((E358&lt;=$B$444)*((E359&gt;=$C$444)+(E359&lt;2/24)),1,0),0)</f>
        <v>0</v>
      </c>
      <c r="AF362" s="6">
        <f>IF((F358&lt;&gt;"")*(F362=""),IF((F358&lt;=$B$444)*((F359&gt;=$C$444)+(F359&lt;2/24)),1,0),0)</f>
        <v>0</v>
      </c>
      <c r="AG362" s="6">
        <f>IF((G358&lt;&gt;"")*(G362=""),IF((G358&lt;=$B$444)*((G359&gt;=$C$444)+(G359&lt;2/24)),1,0),0)</f>
        <v>0</v>
      </c>
      <c r="AH362" s="6">
        <f>IF((H358&lt;&gt;"")*(H362=""),IF((H358&lt;=$B$444)*((H359&gt;=$C$444)+(H359&lt;2/24)),1,0),0)</f>
        <v>1</v>
      </c>
      <c r="AI362" s="6">
        <f>IF((I358&lt;&gt;"")*(I362=""),IF((I358&lt;=$B$444)*((I359&gt;=$C$444)+(I359&lt;2/24)),1,0),0)</f>
        <v>0</v>
      </c>
      <c r="AJ362" s="6">
        <f>IF((J358&lt;&gt;"")*(J362=""),IF((J358&lt;=$B$444)*((J359&gt;=$C$444)+(J359&lt;2/24)),1,0),0)</f>
        <v>0</v>
      </c>
    </row>
    <row r="363" spans="1:36" ht="13.5" thickBot="1" x14ac:dyDescent="0.25">
      <c r="A363" s="41"/>
      <c r="B363" s="42"/>
      <c r="C363" s="35" t="s">
        <v>28</v>
      </c>
      <c r="D363" s="36"/>
      <c r="E363" s="36"/>
      <c r="F363" s="36"/>
      <c r="G363" s="36"/>
      <c r="H363" s="36"/>
      <c r="I363" s="36"/>
      <c r="J363" s="36"/>
      <c r="K363" s="34"/>
      <c r="L363" s="6"/>
      <c r="M363" s="25"/>
      <c r="N363" s="6"/>
      <c r="O363" s="6"/>
      <c r="P363" s="6"/>
      <c r="Q363" s="6"/>
      <c r="R363" s="6"/>
      <c r="S363" s="6"/>
      <c r="T363" s="6"/>
      <c r="U363" s="6"/>
      <c r="V363" s="20"/>
      <c r="W363" s="20"/>
      <c r="X363" s="20"/>
      <c r="Y363" s="20"/>
      <c r="Z363" s="20"/>
      <c r="AA363" s="20"/>
      <c r="AB363" s="20"/>
      <c r="AD363" s="6"/>
      <c r="AE363" s="6"/>
      <c r="AF363" s="6"/>
      <c r="AG363" s="6"/>
      <c r="AH363" s="6"/>
      <c r="AI363" s="6"/>
      <c r="AJ363" s="6"/>
    </row>
    <row r="364" spans="1:36" x14ac:dyDescent="0.2">
      <c r="A364" s="37" t="s">
        <v>70</v>
      </c>
      <c r="B364" s="38" t="s">
        <v>72</v>
      </c>
      <c r="C364" s="14" t="s">
        <v>0</v>
      </c>
      <c r="D364" s="26">
        <v>0.77083333333333337</v>
      </c>
      <c r="E364" s="26"/>
      <c r="F364" s="26"/>
      <c r="G364" s="26"/>
      <c r="H364" s="26"/>
      <c r="I364" s="26">
        <v>0.54166666666666663</v>
      </c>
      <c r="J364" s="26">
        <v>0.54166666666666663</v>
      </c>
      <c r="K364" s="16"/>
      <c r="L364" s="6"/>
      <c r="M364" s="21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D364" s="6">
        <f>IF((D364&lt;&gt;"")*(D368=""),IF((D364&lt;=$B$440)*((D365&gt;=$C$440)+(D365&lt;2/24)),1,0),0)</f>
        <v>0</v>
      </c>
      <c r="AE364" s="6">
        <f>IF((E364&lt;&gt;"")*(E368=""),IF((E364&lt;=$B$440)*((E365&gt;=$C$440)+(E365&lt;2/24)),1,0),0)</f>
        <v>0</v>
      </c>
      <c r="AF364" s="6">
        <f>IF((F364&lt;&gt;"")*(F368=""),IF((F364&lt;=$B$440)*((F365&gt;=$C$440)+(F365&lt;2/24)),1,0),0)</f>
        <v>0</v>
      </c>
      <c r="AG364" s="6">
        <f>IF((G364&lt;&gt;"")*(G368=""),IF((G364&lt;=$B$440)*((G365&gt;=$C$440)+(G365&lt;2/24)),1,0),0)</f>
        <v>0</v>
      </c>
      <c r="AH364" s="6">
        <f>IF((H364&lt;&gt;"")*(H368=""),IF((H364&lt;=$B$440)*((H365&gt;=$C$440)+(H365&lt;2/24)),1,0),0)</f>
        <v>0</v>
      </c>
      <c r="AI364" s="6">
        <f>IF((I364&lt;&gt;"")*(I368=""),IF((I364&lt;=$B$440)*((I365&gt;=$C$440)+(I365&lt;2/24)),1,0),0)</f>
        <v>0</v>
      </c>
      <c r="AJ364" s="6">
        <f>IF((J364&lt;&gt;"")*(J368=""),IF((J364&lt;=$B$440)*((J365&gt;=$C$440)+(J365&lt;2/24)),1,0),0)</f>
        <v>0</v>
      </c>
    </row>
    <row r="365" spans="1:36" x14ac:dyDescent="0.2">
      <c r="A365" s="39"/>
      <c r="B365" s="40"/>
      <c r="C365" s="15" t="s">
        <v>1</v>
      </c>
      <c r="D365" s="27">
        <v>0.95833333333333337</v>
      </c>
      <c r="E365" s="27"/>
      <c r="F365" s="27"/>
      <c r="G365" s="27"/>
      <c r="H365" s="27"/>
      <c r="I365" s="27">
        <v>0.75</v>
      </c>
      <c r="J365" s="27">
        <v>0.75</v>
      </c>
      <c r="K365" s="17"/>
      <c r="L365" s="6"/>
      <c r="M365" s="21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D365" s="6">
        <f>IF((D364&lt;&gt;"")*(D368=""),IF((D364&lt;=$B$441)*((D365&gt;=$C$441)+(D365&lt;2/24)),1,0),0)</f>
        <v>0</v>
      </c>
      <c r="AE365" s="6">
        <f>IF((E364&lt;&gt;"")*(E368=""),IF((E364&lt;=$B$441)*((E365&gt;=$C$441)+(E365&lt;2/24)),1,0),0)</f>
        <v>0</v>
      </c>
      <c r="AF365" s="6">
        <f>IF((F364&lt;&gt;"")*(F368=""),IF((F364&lt;=$B$441)*((F365&gt;=$C$441)+(F365&lt;2/24)),1,0),0)</f>
        <v>0</v>
      </c>
      <c r="AG365" s="6">
        <f>IF((G364&lt;&gt;"")*(G368=""),IF((G364&lt;=$B$441)*((G365&gt;=$C$441)+(G365&lt;2/24)),1,0),0)</f>
        <v>0</v>
      </c>
      <c r="AH365" s="6">
        <f>IF((H364&lt;&gt;"")*(H368=""),IF((H364&lt;=$B$441)*((H365&gt;=$C$441)+(H365&lt;2/24)),1,0),0)</f>
        <v>0</v>
      </c>
      <c r="AI365" s="6">
        <f>IF((I364&lt;&gt;"")*(I368=""),IF((I364&lt;=$B$441)*((I365&gt;=$C$441)+(I365&lt;2/24)),1,0),0)</f>
        <v>1</v>
      </c>
      <c r="AJ365" s="6">
        <f>IF((J364&lt;&gt;"")*(J368=""),IF((J364&lt;=$B$441)*((J365&gt;=$C$441)+(J365&lt;2/24)),1,0),0)</f>
        <v>1</v>
      </c>
    </row>
    <row r="366" spans="1:36" x14ac:dyDescent="0.2">
      <c r="A366" s="39"/>
      <c r="B366" s="40"/>
      <c r="C366" s="15" t="s">
        <v>2</v>
      </c>
      <c r="D366" s="4"/>
      <c r="E366" s="4"/>
      <c r="F366" s="4"/>
      <c r="G366" s="58"/>
      <c r="H366" s="4"/>
      <c r="I366" s="4"/>
      <c r="J366" s="4"/>
      <c r="K366" s="17"/>
      <c r="L366" s="6"/>
      <c r="M366" s="21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D366" s="6">
        <f>IF((D364&lt;&gt;"")*(D368=""),IF((D364&lt;=$B$442)*((D365&gt;=$C$442)+(D365&lt;2/24)),1,0),0)</f>
        <v>0</v>
      </c>
      <c r="AE366" s="6">
        <f>IF((E364&lt;&gt;"")*(E368=""),IF((E364&lt;=$B$442)*((E365&gt;=$C$442)+(E365&lt;2/24)),1,0),0)</f>
        <v>0</v>
      </c>
      <c r="AF366" s="6">
        <f>IF((F364&lt;&gt;"")*(F368=""),IF((F364&lt;=$B$442)*((F365&gt;=$C$442)+(F365&lt;2/24)),1,0),0)</f>
        <v>0</v>
      </c>
      <c r="AG366" s="6">
        <f>IF((G364&lt;&gt;"")*(G368=""),IF((G364&lt;=$B$442)*((G365&gt;=$C$442)+(G365&lt;2/24)),1,0),0)</f>
        <v>0</v>
      </c>
      <c r="AH366" s="6">
        <f>IF((H364&lt;&gt;"")*(H368=""),IF((H364&lt;=$B$442)*((H365&gt;=$C$442)+(H365&lt;2/24)),1,0),0)</f>
        <v>0</v>
      </c>
      <c r="AI366" s="6">
        <f>IF((I364&lt;&gt;"")*(I368=""),IF((I364&lt;=$B$442)*((I365&gt;=$C$442)+(I365&lt;2/24)),1,0),0)</f>
        <v>1</v>
      </c>
      <c r="AJ366" s="6">
        <f>IF((J364&lt;&gt;"")*(J368=""),IF((J364&lt;=$B$442)*((J365&gt;=$C$442)+(J365&lt;2/24)),1,0),0)</f>
        <v>1</v>
      </c>
    </row>
    <row r="367" spans="1:36" x14ac:dyDescent="0.2">
      <c r="A367" s="39"/>
      <c r="B367" s="40"/>
      <c r="C367" s="15" t="s">
        <v>3</v>
      </c>
      <c r="D367" s="43">
        <f t="shared" ref="D367:J367" si="327">IF(D364="","",IF(D365&gt;D364,(D365-D364-D366)*24,(1-D364-D366+D365)*24))</f>
        <v>4.5</v>
      </c>
      <c r="E367" s="43" t="str">
        <f t="shared" si="327"/>
        <v/>
      </c>
      <c r="F367" s="43" t="str">
        <f t="shared" si="327"/>
        <v/>
      </c>
      <c r="G367" s="55" t="str">
        <f t="shared" si="327"/>
        <v/>
      </c>
      <c r="H367" s="55" t="str">
        <f t="shared" si="327"/>
        <v/>
      </c>
      <c r="I367" s="43">
        <f t="shared" si="327"/>
        <v>5.0000000000000009</v>
      </c>
      <c r="J367" s="44">
        <f t="shared" si="327"/>
        <v>5.0000000000000009</v>
      </c>
      <c r="K367" s="18">
        <f>SUMIF(D368:J368,"",D367:J367)</f>
        <v>14.5</v>
      </c>
      <c r="L367" s="12">
        <f>SUM(D367:J367)</f>
        <v>14.5</v>
      </c>
      <c r="M367" s="24"/>
      <c r="N367" s="10">
        <f t="shared" ref="N367" si="328">IF(D368="",D367,0)</f>
        <v>4.5</v>
      </c>
      <c r="O367" s="10" t="str">
        <f t="shared" ref="O367" si="329">IF(E368="",E367,0)</f>
        <v/>
      </c>
      <c r="P367" s="10" t="str">
        <f t="shared" ref="P367" si="330">IF(F368="",F367,0)</f>
        <v/>
      </c>
      <c r="Q367" s="10" t="str">
        <f t="shared" ref="Q367" si="331">IF(G368="",G367,0)</f>
        <v/>
      </c>
      <c r="R367" s="10" t="str">
        <f t="shared" ref="R367" si="332">IF(H368="",H367,0)</f>
        <v/>
      </c>
      <c r="S367" s="10">
        <f t="shared" ref="S367" si="333">IF(I368="",I367,0)</f>
        <v>5.0000000000000009</v>
      </c>
      <c r="T367" s="10">
        <f t="shared" ref="T367" si="334">IF(J368="",J367,0)</f>
        <v>5.0000000000000009</v>
      </c>
      <c r="U367" s="10"/>
      <c r="V367" s="10">
        <f t="shared" ref="V367" si="335">D367</f>
        <v>4.5</v>
      </c>
      <c r="W367" s="10" t="str">
        <f t="shared" ref="W367" si="336">E367</f>
        <v/>
      </c>
      <c r="X367" s="10" t="str">
        <f t="shared" ref="X367" si="337">F367</f>
        <v/>
      </c>
      <c r="Y367" s="10" t="str">
        <f t="shared" ref="Y367" si="338">G367</f>
        <v/>
      </c>
      <c r="Z367" s="10" t="str">
        <f t="shared" ref="Z367" si="339">H367</f>
        <v/>
      </c>
      <c r="AA367" s="10">
        <f t="shared" ref="AA367" si="340">I367</f>
        <v>5.0000000000000009</v>
      </c>
      <c r="AB367" s="10">
        <f t="shared" ref="AB367" si="341">J367</f>
        <v>5.0000000000000009</v>
      </c>
      <c r="AD367" s="6">
        <f>IF((D364&lt;&gt;"")*(D368=""),IF((D364&lt;=$B$443)*((D365&gt;=$C$443)+(D365&lt;2/24)),1,0),0)</f>
        <v>1</v>
      </c>
      <c r="AE367" s="6">
        <f>IF((E364&lt;&gt;"")*(E368=""),IF((E364&lt;=$B$443)*((E365&gt;=$C$443)+(E365&lt;2/24)),1,0),0)</f>
        <v>0</v>
      </c>
      <c r="AF367" s="6">
        <f>IF((F364&lt;&gt;"")*(F368=""),IF((F364&lt;=$B$443)*((F365&gt;=$C$443)+(F365&lt;2/24)),1,0),0)</f>
        <v>0</v>
      </c>
      <c r="AG367" s="6">
        <f>IF((G364&lt;&gt;"")*(G368=""),IF((G364&lt;=$B$443)*((G365&gt;=$C$443)+(G365&lt;2/24)),1,0),0)</f>
        <v>0</v>
      </c>
      <c r="AH367" s="6">
        <f>IF((H364&lt;&gt;"")*(H368=""),IF((H364&lt;=$B$443)*((H365&gt;=$C$443)+(H365&lt;2/24)),1,0),0)</f>
        <v>0</v>
      </c>
      <c r="AI367" s="6">
        <f>IF((I364&lt;&gt;"")*(I368=""),IF((I364&lt;=$B$443)*((I365&gt;=$C$443)+(I365&lt;2/24)),1,0),0)</f>
        <v>0</v>
      </c>
      <c r="AJ367" s="6">
        <f>IF((J364&lt;&gt;"")*(J368=""),IF((J364&lt;=$B$443)*((J365&gt;=$C$443)+(J365&lt;2/24)),1,0),0)</f>
        <v>0</v>
      </c>
    </row>
    <row r="368" spans="1:36" x14ac:dyDescent="0.2">
      <c r="A368" s="39"/>
      <c r="B368" s="40"/>
      <c r="C368" s="32" t="s">
        <v>4</v>
      </c>
      <c r="D368" s="33"/>
      <c r="E368" s="33"/>
      <c r="F368" s="33"/>
      <c r="G368" s="33"/>
      <c r="H368" s="33"/>
      <c r="I368" s="33"/>
      <c r="J368" s="33"/>
      <c r="K368" s="17"/>
      <c r="L368" s="6"/>
      <c r="M368" s="25"/>
      <c r="N368" s="6"/>
      <c r="O368" s="6"/>
      <c r="P368" s="6"/>
      <c r="Q368" s="6"/>
      <c r="R368" s="6"/>
      <c r="S368" s="6"/>
      <c r="T368" s="6"/>
      <c r="U368" s="6"/>
      <c r="V368" s="20"/>
      <c r="W368" s="20"/>
      <c r="X368" s="20"/>
      <c r="Y368" s="20"/>
      <c r="Z368" s="20"/>
      <c r="AA368" s="20"/>
      <c r="AB368" s="20"/>
      <c r="AD368" s="6">
        <f>IF((D364&lt;&gt;"")*(D368=""),IF((D364&lt;=$B$444)*((D365&gt;=$C$444)+(D365&lt;2/24)),1,0),0)</f>
        <v>1</v>
      </c>
      <c r="AE368" s="6">
        <f>IF((E364&lt;&gt;"")*(E368=""),IF((E364&lt;=$B$444)*((E365&gt;=$C$444)+(E365&lt;2/24)),1,0),0)</f>
        <v>0</v>
      </c>
      <c r="AF368" s="6">
        <f>IF((F364&lt;&gt;"")*(F368=""),IF((F364&lt;=$B$444)*((F365&gt;=$C$444)+(F365&lt;2/24)),1,0),0)</f>
        <v>0</v>
      </c>
      <c r="AG368" s="6">
        <f>IF((G364&lt;&gt;"")*(G368=""),IF((G364&lt;=$B$444)*((G365&gt;=$C$444)+(G365&lt;2/24)),1,0),0)</f>
        <v>0</v>
      </c>
      <c r="AH368" s="6">
        <f>IF((H364&lt;&gt;"")*(H368=""),IF((H364&lt;=$B$444)*((H365&gt;=$C$444)+(H365&lt;2/24)),1,0),0)</f>
        <v>0</v>
      </c>
      <c r="AI368" s="6">
        <f>IF((I364&lt;&gt;"")*(I368=""),IF((I364&lt;=$B$444)*((I365&gt;=$C$444)+(I365&lt;2/24)),1,0),0)</f>
        <v>0</v>
      </c>
      <c r="AJ368" s="6">
        <f>IF((J364&lt;&gt;"")*(J368=""),IF((J364&lt;=$B$444)*((J365&gt;=$C$444)+(J365&lt;2/24)),1,0),0)</f>
        <v>0</v>
      </c>
    </row>
    <row r="369" spans="1:36" ht="13.5" thickBot="1" x14ac:dyDescent="0.25">
      <c r="A369" s="41"/>
      <c r="B369" s="42"/>
      <c r="C369" s="35" t="s">
        <v>28</v>
      </c>
      <c r="D369" s="36"/>
      <c r="E369" s="36"/>
      <c r="F369" s="36"/>
      <c r="G369" s="36"/>
      <c r="H369" s="36"/>
      <c r="I369" s="36"/>
      <c r="J369" s="36"/>
      <c r="K369" s="34"/>
      <c r="L369" s="6"/>
      <c r="M369" s="25"/>
      <c r="N369" s="6"/>
      <c r="O369" s="6"/>
      <c r="P369" s="6"/>
      <c r="Q369" s="6"/>
      <c r="R369" s="6"/>
      <c r="S369" s="6"/>
      <c r="T369" s="6"/>
      <c r="U369" s="6"/>
      <c r="V369" s="20"/>
      <c r="W369" s="20"/>
      <c r="X369" s="20"/>
      <c r="Y369" s="20"/>
      <c r="Z369" s="20"/>
      <c r="AA369" s="20"/>
      <c r="AB369" s="20"/>
      <c r="AD369" s="6"/>
      <c r="AE369" s="6"/>
      <c r="AF369" s="6"/>
      <c r="AG369" s="6"/>
      <c r="AH369" s="6"/>
      <c r="AI369" s="6"/>
      <c r="AJ369" s="6"/>
    </row>
    <row r="370" spans="1:36" x14ac:dyDescent="0.2">
      <c r="A370" s="37" t="s">
        <v>126</v>
      </c>
      <c r="B370" s="38" t="s">
        <v>127</v>
      </c>
      <c r="C370" s="14" t="s">
        <v>0</v>
      </c>
      <c r="D370" s="26"/>
      <c r="E370" s="26">
        <v>0.77083333333333337</v>
      </c>
      <c r="F370" s="26"/>
      <c r="G370" s="26">
        <v>0.77083333333333337</v>
      </c>
      <c r="H370" s="26"/>
      <c r="I370" s="26"/>
      <c r="J370" s="26">
        <v>0.77083333333333337</v>
      </c>
      <c r="K370" s="16"/>
      <c r="L370" s="6"/>
      <c r="M370" s="21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D370" s="6">
        <f>IF((D370&lt;&gt;"")*(D374=""),IF((D370&lt;=#REF!)*((D371&gt;=#REF!)+(D371&lt;2/24)),1,0),0)</f>
        <v>0</v>
      </c>
      <c r="AE370" s="6" t="e">
        <f>IF((E370&lt;&gt;"")*(E374=""),IF((E370&lt;=#REF!)*((E371&gt;=#REF!)+(E371&lt;2/24)),1,0),0)</f>
        <v>#REF!</v>
      </c>
      <c r="AF370" s="6">
        <f>IF((F370&lt;&gt;"")*(F374=""),IF((F370&lt;=#REF!)*((F371&gt;=#REF!)+(F371&lt;2/24)),1,0),0)</f>
        <v>0</v>
      </c>
      <c r="AG370" s="6" t="e">
        <f>IF((G370&lt;&gt;"")*(G374=""),IF((G370&lt;=#REF!)*((G371&gt;=#REF!)+(G371&lt;2/24)),1,0),0)</f>
        <v>#REF!</v>
      </c>
      <c r="AH370" s="6">
        <f>IF((H370&lt;&gt;"")*(H374=""),IF((H370&lt;=#REF!)*((H371&gt;=#REF!)+(H371&lt;2/24)),1,0),0)</f>
        <v>0</v>
      </c>
      <c r="AI370" s="6">
        <f>IF((I370&lt;&gt;"")*(I374=""),IF((I370&lt;=#REF!)*((I371&gt;=#REF!)+(I371&lt;2/24)),1,0),0)</f>
        <v>0</v>
      </c>
      <c r="AJ370" s="6" t="e">
        <f>IF((J370&lt;&gt;"")*(J374=""),IF((J370&lt;=#REF!)*((J371&gt;=#REF!)+(J371&lt;2/24)),1,0),0)</f>
        <v>#REF!</v>
      </c>
    </row>
    <row r="371" spans="1:36" x14ac:dyDescent="0.2">
      <c r="A371" s="39"/>
      <c r="B371" s="40"/>
      <c r="C371" s="15" t="s">
        <v>1</v>
      </c>
      <c r="D371" s="27"/>
      <c r="E371" s="27">
        <v>0.95833333333333337</v>
      </c>
      <c r="F371" s="27"/>
      <c r="G371" s="27">
        <v>0.95833333333333337</v>
      </c>
      <c r="H371" s="27"/>
      <c r="I371" s="27"/>
      <c r="J371" s="27">
        <v>0.95833333333333337</v>
      </c>
      <c r="K371" s="17"/>
      <c r="L371" s="6"/>
      <c r="M371" s="21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D371" s="6">
        <f>IF((D370&lt;&gt;"")*(D374=""),IF((D370&lt;=#REF!)*((D371&gt;=#REF!)+(D371&lt;2/24)),1,0),0)</f>
        <v>0</v>
      </c>
      <c r="AE371" s="6" t="e">
        <f>IF((E370&lt;&gt;"")*(E374=""),IF((E370&lt;=#REF!)*((E371&gt;=#REF!)+(E371&lt;2/24)),1,0),0)</f>
        <v>#REF!</v>
      </c>
      <c r="AF371" s="6">
        <f>IF((F370&lt;&gt;"")*(F374=""),IF((F370&lt;=#REF!)*((F371&gt;=#REF!)+(F371&lt;2/24)),1,0),0)</f>
        <v>0</v>
      </c>
      <c r="AG371" s="6" t="e">
        <f>IF((G370&lt;&gt;"")*(G374=""),IF((G370&lt;=#REF!)*((G371&gt;=#REF!)+(G371&lt;2/24)),1,0),0)</f>
        <v>#REF!</v>
      </c>
      <c r="AH371" s="6">
        <f>IF((H370&lt;&gt;"")*(H374=""),IF((H370&lt;=#REF!)*((H371&gt;=#REF!)+(H371&lt;2/24)),1,0),0)</f>
        <v>0</v>
      </c>
      <c r="AI371" s="6">
        <f>IF((I370&lt;&gt;"")*(I374=""),IF((I370&lt;=#REF!)*((I371&gt;=#REF!)+(I371&lt;2/24)),1,0),0)</f>
        <v>0</v>
      </c>
      <c r="AJ371" s="6" t="e">
        <f>IF((J370&lt;&gt;"")*(J374=""),IF((J370&lt;=#REF!)*((J371&gt;=#REF!)+(J371&lt;2/24)),1,0),0)</f>
        <v>#REF!</v>
      </c>
    </row>
    <row r="372" spans="1:36" x14ac:dyDescent="0.2">
      <c r="A372" s="39"/>
      <c r="B372" s="40"/>
      <c r="C372" s="15" t="s">
        <v>2</v>
      </c>
      <c r="D372" s="27"/>
      <c r="E372" s="27"/>
      <c r="F372" s="27"/>
      <c r="G372" s="27"/>
      <c r="H372" s="27"/>
      <c r="I372" s="27"/>
      <c r="J372" s="4"/>
      <c r="K372" s="17"/>
      <c r="L372" s="6"/>
      <c r="M372" s="21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D372" s="6">
        <f>IF((D370&lt;&gt;"")*(D374=""),IF((D370&lt;=#REF!)*((D371&gt;=#REF!)+(D371&lt;2/24)),1,0),0)</f>
        <v>0</v>
      </c>
      <c r="AE372" s="6" t="e">
        <f>IF((E370&lt;&gt;"")*(E374=""),IF((E370&lt;=#REF!)*((E371&gt;=#REF!)+(E371&lt;2/24)),1,0),0)</f>
        <v>#REF!</v>
      </c>
      <c r="AF372" s="6">
        <f>IF((F370&lt;&gt;"")*(F374=""),IF((F370&lt;=#REF!)*((F371&gt;=#REF!)+(F371&lt;2/24)),1,0),0)</f>
        <v>0</v>
      </c>
      <c r="AG372" s="6" t="e">
        <f>IF((G370&lt;&gt;"")*(G374=""),IF((G370&lt;=#REF!)*((G371&gt;=#REF!)+(G371&lt;2/24)),1,0),0)</f>
        <v>#REF!</v>
      </c>
      <c r="AH372" s="6">
        <f>IF((H370&lt;&gt;"")*(H374=""),IF((H370&lt;=#REF!)*((H371&gt;=#REF!)+(H371&lt;2/24)),1,0),0)</f>
        <v>0</v>
      </c>
      <c r="AI372" s="6">
        <f>IF((I370&lt;&gt;"")*(I374=""),IF((I370&lt;=#REF!)*((I371&gt;=#REF!)+(I371&lt;2/24)),1,0),0)</f>
        <v>0</v>
      </c>
      <c r="AJ372" s="6" t="e">
        <f>IF((J370&lt;&gt;"")*(J374=""),IF((J370&lt;=#REF!)*((J371&gt;=#REF!)+(J371&lt;2/24)),1,0),0)</f>
        <v>#REF!</v>
      </c>
    </row>
    <row r="373" spans="1:36" x14ac:dyDescent="0.2">
      <c r="A373" s="39"/>
      <c r="B373" s="40"/>
      <c r="C373" s="15" t="s">
        <v>3</v>
      </c>
      <c r="D373" s="57" t="str">
        <f t="shared" ref="D373:J373" si="342">IF(D370="","",IF(D371&gt;D370,(D371-D370-D372)*24,(1-D370-D372+D371)*24))</f>
        <v/>
      </c>
      <c r="E373" s="43">
        <f t="shared" si="342"/>
        <v>4.5</v>
      </c>
      <c r="F373" s="43" t="str">
        <f t="shared" si="342"/>
        <v/>
      </c>
      <c r="G373" s="43">
        <f t="shared" si="342"/>
        <v>4.5</v>
      </c>
      <c r="H373" s="43"/>
      <c r="I373" s="57" t="str">
        <f t="shared" si="342"/>
        <v/>
      </c>
      <c r="J373" s="44">
        <f t="shared" si="342"/>
        <v>4.5</v>
      </c>
      <c r="K373" s="18">
        <f>SUMIF(D374:J374,"",D373:J373)</f>
        <v>13.5</v>
      </c>
      <c r="L373" s="12">
        <f>SUM(D373:J373)</f>
        <v>13.5</v>
      </c>
      <c r="M373" s="24"/>
      <c r="N373" s="10" t="str">
        <f t="shared" ref="N373" si="343">IF(D374="",D373,0)</f>
        <v/>
      </c>
      <c r="O373" s="10">
        <f t="shared" ref="O373" si="344">IF(E374="",E373,0)</f>
        <v>4.5</v>
      </c>
      <c r="P373" s="10" t="str">
        <f t="shared" ref="P373" si="345">IF(F374="",F373,0)</f>
        <v/>
      </c>
      <c r="Q373" s="10">
        <f t="shared" ref="Q373" si="346">IF(G374="",G373,0)</f>
        <v>4.5</v>
      </c>
      <c r="R373" s="10">
        <f t="shared" ref="R373" si="347">IF(H374="",H373,0)</f>
        <v>0</v>
      </c>
      <c r="S373" s="10" t="str">
        <f t="shared" ref="S373" si="348">IF(I374="",I373,0)</f>
        <v/>
      </c>
      <c r="T373" s="10">
        <f t="shared" ref="T373" si="349">IF(J374="",J373,0)</f>
        <v>4.5</v>
      </c>
      <c r="U373" s="10"/>
      <c r="V373" s="10" t="str">
        <f t="shared" ref="V373" si="350">D373</f>
        <v/>
      </c>
      <c r="W373" s="10">
        <f t="shared" ref="W373" si="351">E373</f>
        <v>4.5</v>
      </c>
      <c r="X373" s="10" t="str">
        <f t="shared" ref="X373" si="352">F373</f>
        <v/>
      </c>
      <c r="Y373" s="10">
        <f t="shared" ref="Y373" si="353">G373</f>
        <v>4.5</v>
      </c>
      <c r="Z373" s="10">
        <f t="shared" ref="Z373" si="354">H373</f>
        <v>0</v>
      </c>
      <c r="AA373" s="10" t="str">
        <f t="shared" ref="AA373" si="355">I373</f>
        <v/>
      </c>
      <c r="AB373" s="10">
        <f t="shared" ref="AB373" si="356">J373</f>
        <v>4.5</v>
      </c>
      <c r="AD373" s="6">
        <f>IF((D370&lt;&gt;"")*(D374=""),IF((D370&lt;=#REF!)*((D371&gt;=#REF!)+(D371&lt;2/24)),1,0),0)</f>
        <v>0</v>
      </c>
      <c r="AE373" s="6" t="e">
        <f>IF((E370&lt;&gt;"")*(E374=""),IF((E370&lt;=#REF!)*((E371&gt;=#REF!)+(E371&lt;2/24)),1,0),0)</f>
        <v>#REF!</v>
      </c>
      <c r="AF373" s="6">
        <f>IF((F370&lt;&gt;"")*(F374=""),IF((F370&lt;=#REF!)*((F371&gt;=#REF!)+(F371&lt;2/24)),1,0),0)</f>
        <v>0</v>
      </c>
      <c r="AG373" s="6" t="e">
        <f>IF((G370&lt;&gt;"")*(G374=""),IF((G370&lt;=#REF!)*((G371&gt;=#REF!)+(G371&lt;2/24)),1,0),0)</f>
        <v>#REF!</v>
      </c>
      <c r="AH373" s="6">
        <f>IF((H370&lt;&gt;"")*(H374=""),IF((H370&lt;=#REF!)*((H371&gt;=#REF!)+(H371&lt;2/24)),1,0),0)</f>
        <v>0</v>
      </c>
      <c r="AI373" s="6">
        <f>IF((I370&lt;&gt;"")*(I374=""),IF((I370&lt;=#REF!)*((I371&gt;=#REF!)+(I371&lt;2/24)),1,0),0)</f>
        <v>0</v>
      </c>
      <c r="AJ373" s="6" t="e">
        <f>IF((J370&lt;&gt;"")*(J374=""),IF((J370&lt;=#REF!)*((J371&gt;=#REF!)+(J371&lt;2/24)),1,0),0)</f>
        <v>#REF!</v>
      </c>
    </row>
    <row r="374" spans="1:36" x14ac:dyDescent="0.2">
      <c r="A374" s="39"/>
      <c r="B374" s="40"/>
      <c r="C374" s="32" t="s">
        <v>4</v>
      </c>
      <c r="D374" s="33"/>
      <c r="E374" s="33"/>
      <c r="F374" s="33"/>
      <c r="G374" s="33"/>
      <c r="H374" s="33"/>
      <c r="I374" s="33"/>
      <c r="J374" s="33"/>
      <c r="K374" s="17"/>
      <c r="L374" s="6"/>
      <c r="M374" s="25"/>
      <c r="N374" s="6"/>
      <c r="O374" s="6"/>
      <c r="P374" s="6"/>
      <c r="Q374" s="6"/>
      <c r="R374" s="6"/>
      <c r="S374" s="6"/>
      <c r="T374" s="6"/>
      <c r="U374" s="6"/>
      <c r="V374" s="20"/>
      <c r="W374" s="20"/>
      <c r="X374" s="20"/>
      <c r="Y374" s="20"/>
      <c r="Z374" s="20"/>
      <c r="AA374" s="20"/>
      <c r="AB374" s="20"/>
      <c r="AD374" s="6">
        <f>IF((D370&lt;&gt;"")*(D374=""),IF((D370&lt;=#REF!)*((D371&gt;=#REF!)+(D371&lt;2/24)),1,0),0)</f>
        <v>0</v>
      </c>
      <c r="AE374" s="6" t="e">
        <f>IF((E370&lt;&gt;"")*(E374=""),IF((E370&lt;=#REF!)*((E371&gt;=#REF!)+(E371&lt;2/24)),1,0),0)</f>
        <v>#REF!</v>
      </c>
      <c r="AF374" s="6">
        <f>IF((F370&lt;&gt;"")*(F374=""),IF((F370&lt;=#REF!)*((F371&gt;=#REF!)+(F371&lt;2/24)),1,0),0)</f>
        <v>0</v>
      </c>
      <c r="AG374" s="6" t="e">
        <f>IF((G370&lt;&gt;"")*(G374=""),IF((G370&lt;=#REF!)*((G371&gt;=#REF!)+(G371&lt;2/24)),1,0),0)</f>
        <v>#REF!</v>
      </c>
      <c r="AH374" s="6">
        <f>IF((H370&lt;&gt;"")*(H374=""),IF((H370&lt;=#REF!)*((H371&gt;=#REF!)+(H371&lt;2/24)),1,0),0)</f>
        <v>0</v>
      </c>
      <c r="AI374" s="6">
        <f>IF((I370&lt;&gt;"")*(I374=""),IF((I370&lt;=#REF!)*((I371&gt;=#REF!)+(I371&lt;2/24)),1,0),0)</f>
        <v>0</v>
      </c>
      <c r="AJ374" s="6" t="e">
        <f>IF((J370&lt;&gt;"")*(J374=""),IF((J370&lt;=#REF!)*((J371&gt;=#REF!)+(J371&lt;2/24)),1,0),0)</f>
        <v>#REF!</v>
      </c>
    </row>
    <row r="375" spans="1:36" ht="13.5" thickBot="1" x14ac:dyDescent="0.25">
      <c r="A375" s="41"/>
      <c r="B375" s="42"/>
      <c r="C375" s="35" t="s">
        <v>28</v>
      </c>
      <c r="D375" s="36"/>
      <c r="E375" s="36"/>
      <c r="F375" s="36"/>
      <c r="G375" s="36"/>
      <c r="H375" s="36"/>
      <c r="I375" s="36"/>
      <c r="J375" s="36"/>
      <c r="K375" s="34"/>
      <c r="L375" s="6"/>
      <c r="M375" s="25"/>
      <c r="N375" s="6"/>
      <c r="O375" s="6"/>
      <c r="P375" s="6"/>
      <c r="Q375" s="6"/>
      <c r="R375" s="6"/>
      <c r="S375" s="6"/>
      <c r="T375" s="6"/>
      <c r="U375" s="6"/>
      <c r="V375" s="20"/>
      <c r="W375" s="20"/>
      <c r="X375" s="20"/>
      <c r="Y375" s="20"/>
      <c r="Z375" s="20"/>
      <c r="AA375" s="20"/>
      <c r="AB375" s="20"/>
      <c r="AD375" s="6"/>
      <c r="AE375" s="6"/>
      <c r="AF375" s="6"/>
      <c r="AG375" s="6"/>
      <c r="AH375" s="6"/>
      <c r="AI375" s="6"/>
      <c r="AJ375" s="6"/>
    </row>
    <row r="376" spans="1:36" x14ac:dyDescent="0.2">
      <c r="A376" s="37" t="s">
        <v>86</v>
      </c>
      <c r="B376" s="38" t="s">
        <v>87</v>
      </c>
      <c r="C376" s="14" t="s">
        <v>0</v>
      </c>
      <c r="D376" s="26"/>
      <c r="E376" s="26"/>
      <c r="F376" s="26"/>
      <c r="G376" s="26"/>
      <c r="H376" s="26">
        <v>0.54166666666666663</v>
      </c>
      <c r="I376" s="26"/>
      <c r="J376" s="26"/>
      <c r="K376" s="16"/>
      <c r="L376" s="6"/>
      <c r="M376" s="21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D376" s="6">
        <f>IF((D376&lt;&gt;"")*(D380=""),IF((D376&lt;=$B$440)*((D377&gt;=$C$440)+(D377&lt;2/24)),1,0),0)</f>
        <v>0</v>
      </c>
      <c r="AE376" s="6">
        <f>IF((E376&lt;&gt;"")*(E380=""),IF((E376&lt;=$B$440)*((E377&gt;=$C$440)+(E377&lt;2/24)),1,0),0)</f>
        <v>0</v>
      </c>
      <c r="AF376" s="6">
        <f>IF((F376&lt;&gt;"")*(F380=""),IF((F376&lt;=$B$440)*((F377&gt;=$C$440)+(F377&lt;2/24)),1,0),0)</f>
        <v>0</v>
      </c>
      <c r="AG376" s="6">
        <f>IF((G376&lt;&gt;"")*(G380=""),IF((G376&lt;=$B$440)*((G377&gt;=$C$440)+(G377&lt;2/24)),1,0),0)</f>
        <v>0</v>
      </c>
      <c r="AH376" s="6">
        <f>IF((H376&lt;&gt;"")*(H380=""),IF((H376&lt;=$B$440)*((H377&gt;=$C$440)+(H377&lt;2/24)),1,0),0)</f>
        <v>0</v>
      </c>
      <c r="AI376" s="6">
        <f>IF((I376&lt;&gt;"")*(I380=""),IF((I376&lt;=$B$440)*((I377&gt;=$C$440)+(I377&lt;2/24)),1,0),0)</f>
        <v>0</v>
      </c>
      <c r="AJ376" s="6">
        <f>IF((J376&lt;&gt;"")*(J380=""),IF((J376&lt;=$B$440)*((J377&gt;=$C$440)+(J377&lt;2/24)),1,0),0)</f>
        <v>0</v>
      </c>
    </row>
    <row r="377" spans="1:36" x14ac:dyDescent="0.2">
      <c r="A377" s="39"/>
      <c r="B377" s="40"/>
      <c r="C377" s="15" t="s">
        <v>1</v>
      </c>
      <c r="D377" s="27"/>
      <c r="E377" s="27"/>
      <c r="F377" s="27"/>
      <c r="G377" s="27"/>
      <c r="H377" s="27">
        <v>0.75</v>
      </c>
      <c r="I377" s="27"/>
      <c r="J377" s="27"/>
      <c r="K377" s="17"/>
      <c r="L377" s="6"/>
      <c r="M377" s="21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D377" s="6">
        <f>IF((D376&lt;&gt;"")*(D380=""),IF((D376&lt;=$B$441)*((D377&gt;=$C$441)+(D377&lt;2/24)),1,0),0)</f>
        <v>0</v>
      </c>
      <c r="AE377" s="6">
        <f>IF((E376&lt;&gt;"")*(E380=""),IF((E376&lt;=$B$441)*((E377&gt;=$C$441)+(E377&lt;2/24)),1,0),0)</f>
        <v>0</v>
      </c>
      <c r="AF377" s="6">
        <f>IF((F376&lt;&gt;"")*(F380=""),IF((F376&lt;=$B$441)*((F377&gt;=$C$441)+(F377&lt;2/24)),1,0),0)</f>
        <v>0</v>
      </c>
      <c r="AG377" s="6">
        <f>IF((G376&lt;&gt;"")*(G380=""),IF((G376&lt;=$B$441)*((G377&gt;=$C$441)+(G377&lt;2/24)),1,0),0)</f>
        <v>0</v>
      </c>
      <c r="AH377" s="6">
        <f>IF((H376&lt;&gt;"")*(H380=""),IF((H376&lt;=$B$441)*((H377&gt;=$C$441)+(H377&lt;2/24)),1,0),0)</f>
        <v>1</v>
      </c>
      <c r="AI377" s="6">
        <f>IF((I376&lt;&gt;"")*(I380=""),IF((I376&lt;=$B$441)*((I377&gt;=$C$441)+(I377&lt;2/24)),1,0),0)</f>
        <v>0</v>
      </c>
      <c r="AJ377" s="6">
        <f>IF((J376&lt;&gt;"")*(J380=""),IF((J376&lt;=$B$441)*((J377&gt;=$C$441)+(J377&lt;2/24)),1,0),0)</f>
        <v>0</v>
      </c>
    </row>
    <row r="378" spans="1:36" x14ac:dyDescent="0.2">
      <c r="A378" s="39"/>
      <c r="B378" s="40"/>
      <c r="C378" s="15" t="s">
        <v>2</v>
      </c>
      <c r="D378" s="4"/>
      <c r="E378" s="4"/>
      <c r="F378" s="4"/>
      <c r="G378" s="4"/>
      <c r="H378" s="4"/>
      <c r="I378" s="4"/>
      <c r="J378" s="4"/>
      <c r="K378" s="17"/>
      <c r="L378" s="6"/>
      <c r="M378" s="21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D378" s="6">
        <f>IF((D376&lt;&gt;"")*(D380=""),IF((D376&lt;=$B$442)*((D377&gt;=$C$442)+(D377&lt;2/24)),1,0),0)</f>
        <v>0</v>
      </c>
      <c r="AE378" s="6">
        <f>IF((E376&lt;&gt;"")*(E380=""),IF((E376&lt;=$B$442)*((E377&gt;=$C$442)+(E377&lt;2/24)),1,0),0)</f>
        <v>0</v>
      </c>
      <c r="AF378" s="6">
        <f>IF((F376&lt;&gt;"")*(F380=""),IF((F376&lt;=$B$442)*((F377&gt;=$C$442)+(F377&lt;2/24)),1,0),0)</f>
        <v>0</v>
      </c>
      <c r="AG378" s="6">
        <f>IF((G376&lt;&gt;"")*(G380=""),IF((G376&lt;=$B$442)*((G377&gt;=$C$442)+(G377&lt;2/24)),1,0),0)</f>
        <v>0</v>
      </c>
      <c r="AH378" s="6">
        <f>IF((H376&lt;&gt;"")*(H380=""),IF((H376&lt;=$B$442)*((H377&gt;=$C$442)+(H377&lt;2/24)),1,0),0)</f>
        <v>1</v>
      </c>
      <c r="AI378" s="6">
        <f>IF((I376&lt;&gt;"")*(I380=""),IF((I376&lt;=$B$442)*((I377&gt;=$C$442)+(I377&lt;2/24)),1,0),0)</f>
        <v>0</v>
      </c>
      <c r="AJ378" s="6">
        <f>IF((J376&lt;&gt;"")*(J380=""),IF((J376&lt;=$B$442)*((J377&gt;=$C$442)+(J377&lt;2/24)),1,0),0)</f>
        <v>0</v>
      </c>
    </row>
    <row r="379" spans="1:36" x14ac:dyDescent="0.2">
      <c r="A379" s="39"/>
      <c r="B379" s="40"/>
      <c r="C379" s="15" t="s">
        <v>3</v>
      </c>
      <c r="D379" s="43" t="str">
        <f t="shared" ref="D379:J379" si="357">IF(D376="","",IF(D377&gt;D376,(D377-D376-D378)*24,(1-D376-D378+D377)*24))</f>
        <v/>
      </c>
      <c r="E379" s="43" t="str">
        <f t="shared" si="357"/>
        <v/>
      </c>
      <c r="F379" s="43" t="str">
        <f t="shared" si="357"/>
        <v/>
      </c>
      <c r="G379" s="43" t="str">
        <f t="shared" si="357"/>
        <v/>
      </c>
      <c r="H379" s="43">
        <v>5</v>
      </c>
      <c r="I379" s="43" t="str">
        <f t="shared" si="357"/>
        <v/>
      </c>
      <c r="J379" s="44" t="str">
        <f t="shared" si="357"/>
        <v/>
      </c>
      <c r="K379" s="18">
        <f>SUMIF(D380:J380,"",D379:J379)</f>
        <v>5</v>
      </c>
      <c r="L379" s="12">
        <f>SUM(D379:J379)</f>
        <v>5</v>
      </c>
      <c r="M379" s="24"/>
      <c r="N379" s="10" t="str">
        <f t="shared" ref="N379" si="358">IF(D380="",D379,0)</f>
        <v/>
      </c>
      <c r="O379" s="10" t="str">
        <f t="shared" ref="O379" si="359">IF(E380="",E379,0)</f>
        <v/>
      </c>
      <c r="P379" s="10" t="str">
        <f t="shared" ref="P379" si="360">IF(F380="",F379,0)</f>
        <v/>
      </c>
      <c r="Q379" s="10" t="str">
        <f t="shared" ref="Q379" si="361">IF(G380="",G379,0)</f>
        <v/>
      </c>
      <c r="R379" s="10">
        <f t="shared" ref="R379" si="362">IF(H380="",H379,0)</f>
        <v>5</v>
      </c>
      <c r="S379" s="10" t="str">
        <f t="shared" ref="S379" si="363">IF(I380="",I379,0)</f>
        <v/>
      </c>
      <c r="T379" s="10" t="str">
        <f t="shared" ref="T379" si="364">IF(J380="",J379,0)</f>
        <v/>
      </c>
      <c r="U379" s="10"/>
      <c r="V379" s="10" t="str">
        <f t="shared" ref="V379" si="365">D379</f>
        <v/>
      </c>
      <c r="W379" s="10" t="str">
        <f t="shared" ref="W379" si="366">E379</f>
        <v/>
      </c>
      <c r="X379" s="10" t="str">
        <f t="shared" ref="X379" si="367">F379</f>
        <v/>
      </c>
      <c r="Y379" s="10" t="str">
        <f t="shared" ref="Y379" si="368">G379</f>
        <v/>
      </c>
      <c r="Z379" s="10">
        <f t="shared" ref="Z379" si="369">H379</f>
        <v>5</v>
      </c>
      <c r="AA379" s="10" t="str">
        <f t="shared" ref="AA379" si="370">I379</f>
        <v/>
      </c>
      <c r="AB379" s="10" t="str">
        <f t="shared" ref="AB379" si="371">J379</f>
        <v/>
      </c>
      <c r="AD379" s="6">
        <f>IF((D376&lt;&gt;"")*(D380=""),IF((D376&lt;=$B$443)*((D377&gt;=$C$443)+(D377&lt;2/24)),1,0),0)</f>
        <v>0</v>
      </c>
      <c r="AE379" s="6">
        <f>IF((E376&lt;&gt;"")*(E380=""),IF((E376&lt;=$B$443)*((E377&gt;=$C$443)+(E377&lt;2/24)),1,0),0)</f>
        <v>0</v>
      </c>
      <c r="AF379" s="6">
        <f>IF((F376&lt;&gt;"")*(F380=""),IF((F376&lt;=$B$443)*((F377&gt;=$C$443)+(F377&lt;2/24)),1,0),0)</f>
        <v>0</v>
      </c>
      <c r="AG379" s="6">
        <f>IF((G376&lt;&gt;"")*(G380=""),IF((G376&lt;=$B$443)*((G377&gt;=$C$443)+(G377&lt;2/24)),1,0),0)</f>
        <v>0</v>
      </c>
      <c r="AH379" s="6">
        <f>IF((H376&lt;&gt;"")*(H380=""),IF((H376&lt;=$B$443)*((H377&gt;=$C$443)+(H377&lt;2/24)),1,0),0)</f>
        <v>0</v>
      </c>
      <c r="AI379" s="6">
        <f>IF((I376&lt;&gt;"")*(I380=""),IF((I376&lt;=$B$443)*((I377&gt;=$C$443)+(I377&lt;2/24)),1,0),0)</f>
        <v>0</v>
      </c>
      <c r="AJ379" s="6">
        <f>IF((J376&lt;&gt;"")*(J380=""),IF((J376&lt;=$B$443)*((J377&gt;=$C$443)+(J377&lt;2/24)),1,0),0)</f>
        <v>0</v>
      </c>
    </row>
    <row r="380" spans="1:36" x14ac:dyDescent="0.2">
      <c r="A380" s="39"/>
      <c r="B380" s="40"/>
      <c r="C380" s="32" t="s">
        <v>4</v>
      </c>
      <c r="D380" s="33"/>
      <c r="E380" s="33"/>
      <c r="F380" s="33"/>
      <c r="G380" s="33"/>
      <c r="H380" s="33"/>
      <c r="I380" s="33"/>
      <c r="J380" s="33"/>
      <c r="K380" s="17"/>
      <c r="L380" s="6"/>
      <c r="M380" s="25"/>
      <c r="N380" s="6"/>
      <c r="O380" s="6"/>
      <c r="P380" s="6"/>
      <c r="Q380" s="6"/>
      <c r="R380" s="6"/>
      <c r="S380" s="6"/>
      <c r="T380" s="6"/>
      <c r="U380" s="6"/>
      <c r="V380" s="20"/>
      <c r="W380" s="20"/>
      <c r="X380" s="20"/>
      <c r="Y380" s="20"/>
      <c r="Z380" s="20"/>
      <c r="AA380" s="20"/>
      <c r="AB380" s="20"/>
      <c r="AD380" s="6">
        <f>IF((D376&lt;&gt;"")*(D380=""),IF((D376&lt;=$B$444)*((D377&gt;=$C$444)+(D377&lt;2/24)),1,0),0)</f>
        <v>0</v>
      </c>
      <c r="AE380" s="6">
        <f>IF((E376&lt;&gt;"")*(E380=""),IF((E376&lt;=$B$444)*((E377&gt;=$C$444)+(E377&lt;2/24)),1,0),0)</f>
        <v>0</v>
      </c>
      <c r="AF380" s="6">
        <f>IF((F376&lt;&gt;"")*(F380=""),IF((F376&lt;=$B$444)*((F377&gt;=$C$444)+(F377&lt;2/24)),1,0),0)</f>
        <v>0</v>
      </c>
      <c r="AG380" s="6">
        <f>IF((G376&lt;&gt;"")*(G380=""),IF((G376&lt;=$B$444)*((G377&gt;=$C$444)+(G377&lt;2/24)),1,0),0)</f>
        <v>0</v>
      </c>
      <c r="AH380" s="6">
        <f>IF((H376&lt;&gt;"")*(H380=""),IF((H376&lt;=$B$444)*((H377&gt;=$C$444)+(H377&lt;2/24)),1,0),0)</f>
        <v>0</v>
      </c>
      <c r="AI380" s="6">
        <f>IF((I376&lt;&gt;"")*(I380=""),IF((I376&lt;=$B$444)*((I377&gt;=$C$444)+(I377&lt;2/24)),1,0),0)</f>
        <v>0</v>
      </c>
      <c r="AJ380" s="6">
        <f>IF((J376&lt;&gt;"")*(J380=""),IF((J376&lt;=$B$444)*((J377&gt;=$C$444)+(J377&lt;2/24)),1,0),0)</f>
        <v>0</v>
      </c>
    </row>
    <row r="381" spans="1:36" ht="13.5" thickBot="1" x14ac:dyDescent="0.25">
      <c r="A381" s="41"/>
      <c r="B381" s="42"/>
      <c r="C381" s="35" t="s">
        <v>28</v>
      </c>
      <c r="D381" s="54"/>
      <c r="E381" s="54"/>
      <c r="F381" s="36"/>
      <c r="G381" s="36"/>
      <c r="H381" s="36"/>
      <c r="I381" s="36"/>
      <c r="J381" s="36"/>
      <c r="K381" s="34"/>
      <c r="L381" s="6"/>
      <c r="M381" s="25"/>
      <c r="N381" s="6"/>
      <c r="O381" s="6"/>
      <c r="P381" s="6"/>
      <c r="Q381" s="6"/>
      <c r="R381" s="6"/>
      <c r="S381" s="6"/>
      <c r="T381" s="6"/>
      <c r="U381" s="6"/>
      <c r="V381" s="20"/>
      <c r="W381" s="20"/>
      <c r="X381" s="20"/>
      <c r="Y381" s="20"/>
      <c r="Z381" s="20"/>
      <c r="AA381" s="20"/>
      <c r="AB381" s="20"/>
      <c r="AD381" s="6"/>
      <c r="AE381" s="6"/>
      <c r="AF381" s="6"/>
      <c r="AG381" s="6"/>
      <c r="AH381" s="6"/>
      <c r="AI381" s="6"/>
      <c r="AJ381" s="6"/>
    </row>
    <row r="382" spans="1:36" x14ac:dyDescent="0.2">
      <c r="A382" s="37" t="s">
        <v>110</v>
      </c>
      <c r="B382" s="38" t="s">
        <v>111</v>
      </c>
      <c r="C382" s="14" t="s">
        <v>0</v>
      </c>
      <c r="D382" s="26">
        <v>0.54166666666666663</v>
      </c>
      <c r="E382" s="26"/>
      <c r="F382" s="26"/>
      <c r="G382" s="26">
        <v>0.77083333333333337</v>
      </c>
      <c r="H382" s="26">
        <v>0.77083333333333337</v>
      </c>
      <c r="I382" s="26"/>
      <c r="J382" s="26"/>
      <c r="K382" s="16"/>
      <c r="L382" s="6"/>
      <c r="M382" s="21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D382" s="6">
        <f>IF((D382&lt;&gt;"")*(D386=""),IF((D382&lt;=$B$440)*((D383&gt;=$C$440)+(D383&lt;2/24)),1,0),0)</f>
        <v>0</v>
      </c>
      <c r="AE382" s="6">
        <f>IF((E382&lt;&gt;"")*(E386=""),IF((E382&lt;=$B$440)*((E383&gt;=$C$440)+(E383&lt;2/24)),1,0),0)</f>
        <v>0</v>
      </c>
      <c r="AF382" s="6">
        <f>IF((F382&lt;&gt;"")*(F386=""),IF((F382&lt;=$B$440)*((F383&gt;=$C$440)+(F383&lt;2/24)),1,0),0)</f>
        <v>0</v>
      </c>
      <c r="AG382" s="6">
        <f>IF((G382&lt;&gt;"")*(G386=""),IF((G382&lt;=$B$440)*((G383&gt;=$C$440)+(G383&lt;2/24)),1,0),0)</f>
        <v>0</v>
      </c>
      <c r="AH382" s="6">
        <f>IF((H382&lt;&gt;"")*(H386=""),IF((H382&lt;=$B$440)*((H383&gt;=$C$440)+(H383&lt;2/24)),1,0),0)</f>
        <v>0</v>
      </c>
      <c r="AI382" s="6">
        <f>IF((I382&lt;&gt;"")*(I386=""),IF((I382&lt;=$B$440)*((I383&gt;=$C$440)+(I383&lt;2/24)),1,0),0)</f>
        <v>0</v>
      </c>
      <c r="AJ382" s="6">
        <f>IF((J382&lt;&gt;"")*(J386=""),IF((J382&lt;=$B$440)*((J383&gt;=$C$440)+(J383&lt;2/24)),1,0),0)</f>
        <v>0</v>
      </c>
    </row>
    <row r="383" spans="1:36" x14ac:dyDescent="0.2">
      <c r="A383" s="39"/>
      <c r="B383" s="40"/>
      <c r="C383" s="15" t="s">
        <v>1</v>
      </c>
      <c r="D383" s="27">
        <v>0.75</v>
      </c>
      <c r="E383" s="27"/>
      <c r="F383" s="27"/>
      <c r="G383" s="27">
        <v>0.95833333333333337</v>
      </c>
      <c r="H383" s="27">
        <v>0.95833333333333337</v>
      </c>
      <c r="I383" s="27"/>
      <c r="J383" s="27"/>
      <c r="K383" s="17"/>
      <c r="L383" s="6"/>
      <c r="M383" s="21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D383" s="6">
        <f>IF((D382&lt;&gt;"")*(D386=""),IF((D382&lt;=$B$441)*((D383&gt;=$C$441)+(D383&lt;2/24)),1,0),0)</f>
        <v>1</v>
      </c>
      <c r="AE383" s="6">
        <f>IF((E382&lt;&gt;"")*(E386=""),IF((E382&lt;=$B$441)*((E383&gt;=$C$441)+(E383&lt;2/24)),1,0),0)</f>
        <v>0</v>
      </c>
      <c r="AF383" s="6">
        <f>IF((F382&lt;&gt;"")*(F386=""),IF((F382&lt;=$B$441)*((F383&gt;=$C$441)+(F383&lt;2/24)),1,0),0)</f>
        <v>0</v>
      </c>
      <c r="AG383" s="6">
        <f>IF((G382&lt;&gt;"")*(G386=""),IF((G382&lt;=$B$441)*((G383&gt;=$C$441)+(G383&lt;2/24)),1,0),0)</f>
        <v>0</v>
      </c>
      <c r="AH383" s="6">
        <f>IF((H382&lt;&gt;"")*(H386=""),IF((H382&lt;=$B$441)*((H383&gt;=$C$441)+(H383&lt;2/24)),1,0),0)</f>
        <v>0</v>
      </c>
      <c r="AI383" s="6">
        <f>IF((I382&lt;&gt;"")*(I386=""),IF((I382&lt;=$B$441)*((I383&gt;=$C$441)+(I383&lt;2/24)),1,0),0)</f>
        <v>0</v>
      </c>
      <c r="AJ383" s="6">
        <f>IF((J382&lt;&gt;"")*(J386=""),IF((J382&lt;=$B$441)*((J383&gt;=$C$441)+(J383&lt;2/24)),1,0),0)</f>
        <v>0</v>
      </c>
    </row>
    <row r="384" spans="1:36" x14ac:dyDescent="0.2">
      <c r="A384" s="39"/>
      <c r="B384" s="40"/>
      <c r="C384" s="15" t="s">
        <v>2</v>
      </c>
      <c r="D384" s="4"/>
      <c r="E384" s="4"/>
      <c r="F384" s="4"/>
      <c r="G384" s="4"/>
      <c r="H384" s="4"/>
      <c r="I384" s="4"/>
      <c r="J384" s="4"/>
      <c r="K384" s="17"/>
      <c r="L384" s="6"/>
      <c r="M384" s="21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D384" s="6">
        <f>IF((D382&lt;&gt;"")*(D386=""),IF((D382&lt;=$B$442)*((D383&gt;=$C$442)+(D383&lt;2/24)),1,0),0)</f>
        <v>1</v>
      </c>
      <c r="AE384" s="6">
        <f>IF((E382&lt;&gt;"")*(E386=""),IF((E382&lt;=$B$442)*((E383&gt;=$C$442)+(E383&lt;2/24)),1,0),0)</f>
        <v>0</v>
      </c>
      <c r="AF384" s="6">
        <f>IF((F382&lt;&gt;"")*(F386=""),IF((F382&lt;=$B$442)*((F383&gt;=$C$442)+(F383&lt;2/24)),1,0),0)</f>
        <v>0</v>
      </c>
      <c r="AG384" s="6">
        <f>IF((G382&lt;&gt;"")*(G386=""),IF((G382&lt;=$B$442)*((G383&gt;=$C$442)+(G383&lt;2/24)),1,0),0)</f>
        <v>0</v>
      </c>
      <c r="AH384" s="6">
        <f>IF((H382&lt;&gt;"")*(H386=""),IF((H382&lt;=$B$442)*((H383&gt;=$C$442)+(H383&lt;2/24)),1,0),0)</f>
        <v>0</v>
      </c>
      <c r="AI384" s="6">
        <f>IF((I382&lt;&gt;"")*(I386=""),IF((I382&lt;=$B$442)*((I383&gt;=$C$442)+(I383&lt;2/24)),1,0),0)</f>
        <v>0</v>
      </c>
      <c r="AJ384" s="6">
        <f>IF((J382&lt;&gt;"")*(J386=""),IF((J382&lt;=$B$442)*((J383&gt;=$C$442)+(J383&lt;2/24)),1,0),0)</f>
        <v>0</v>
      </c>
    </row>
    <row r="385" spans="1:36" x14ac:dyDescent="0.2">
      <c r="A385" s="39"/>
      <c r="B385" s="40"/>
      <c r="C385" s="15" t="s">
        <v>3</v>
      </c>
      <c r="D385" s="43">
        <f>IF(D382="","",IF(D383&gt;D382,(D383-D382-D384)*24,(1-D382-D384+D383)*24))</f>
        <v>5.0000000000000009</v>
      </c>
      <c r="E385" s="43" t="str">
        <f t="shared" ref="E385:J385" si="372">IF(E382="","",IF(E383&gt;E382,(E383-E382-E384)*24,(1-E382-E384+E383)*24))</f>
        <v/>
      </c>
      <c r="F385" s="43" t="str">
        <f t="shared" si="372"/>
        <v/>
      </c>
      <c r="G385" s="43">
        <f t="shared" si="372"/>
        <v>4.5</v>
      </c>
      <c r="H385" s="43">
        <f t="shared" si="372"/>
        <v>4.5</v>
      </c>
      <c r="I385" s="43" t="str">
        <f t="shared" si="372"/>
        <v/>
      </c>
      <c r="J385" s="44" t="str">
        <f t="shared" si="372"/>
        <v/>
      </c>
      <c r="K385" s="18">
        <f>SUMIF(D386:J386,"",D385:J385)</f>
        <v>14</v>
      </c>
      <c r="L385" s="12">
        <f>SUM(D385:J385)</f>
        <v>14</v>
      </c>
      <c r="M385" s="24"/>
      <c r="N385" s="10">
        <f t="shared" ref="N385" si="373">IF(D386="",D385,0)</f>
        <v>5.0000000000000009</v>
      </c>
      <c r="O385" s="10" t="str">
        <f t="shared" ref="O385" si="374">IF(E386="",E385,0)</f>
        <v/>
      </c>
      <c r="P385" s="10" t="str">
        <f t="shared" ref="P385" si="375">IF(F386="",F385,0)</f>
        <v/>
      </c>
      <c r="Q385" s="10">
        <f t="shared" ref="Q385" si="376">IF(G386="",G385,0)</f>
        <v>4.5</v>
      </c>
      <c r="R385" s="10">
        <f t="shared" ref="R385" si="377">IF(H386="",H385,0)</f>
        <v>4.5</v>
      </c>
      <c r="S385" s="10" t="str">
        <f t="shared" ref="S385" si="378">IF(I386="",I385,0)</f>
        <v/>
      </c>
      <c r="T385" s="10" t="str">
        <f t="shared" ref="T385" si="379">IF(J386="",J385,0)</f>
        <v/>
      </c>
      <c r="U385" s="10"/>
      <c r="V385" s="10">
        <f t="shared" ref="V385" si="380">D385</f>
        <v>5.0000000000000009</v>
      </c>
      <c r="W385" s="10" t="str">
        <f t="shared" ref="W385" si="381">E385</f>
        <v/>
      </c>
      <c r="X385" s="10" t="str">
        <f t="shared" ref="X385" si="382">F385</f>
        <v/>
      </c>
      <c r="Y385" s="10">
        <f t="shared" ref="Y385" si="383">G385</f>
        <v>4.5</v>
      </c>
      <c r="Z385" s="10">
        <f t="shared" ref="Z385" si="384">H385</f>
        <v>4.5</v>
      </c>
      <c r="AA385" s="10" t="str">
        <f t="shared" ref="AA385" si="385">I385</f>
        <v/>
      </c>
      <c r="AB385" s="10" t="str">
        <f t="shared" ref="AB385" si="386">J385</f>
        <v/>
      </c>
      <c r="AD385" s="6">
        <f>IF((D382&lt;&gt;"")*(D386=""),IF((D382&lt;=$B$443)*((D383&gt;=$C$443)+(D383&lt;2/24)),1,0),0)</f>
        <v>0</v>
      </c>
      <c r="AE385" s="6">
        <f>IF((E382&lt;&gt;"")*(E386=""),IF((E382&lt;=$B$443)*((E383&gt;=$C$443)+(E383&lt;2/24)),1,0),0)</f>
        <v>0</v>
      </c>
      <c r="AF385" s="6">
        <f>IF((F382&lt;&gt;"")*(F386=""),IF((F382&lt;=$B$443)*((F383&gt;=$C$443)+(F383&lt;2/24)),1,0),0)</f>
        <v>0</v>
      </c>
      <c r="AG385" s="6">
        <f>IF((G382&lt;&gt;"")*(G386=""),IF((G382&lt;=$B$443)*((G383&gt;=$C$443)+(G383&lt;2/24)),1,0),0)</f>
        <v>1</v>
      </c>
      <c r="AH385" s="6">
        <f>IF((H382&lt;&gt;"")*(H386=""),IF((H382&lt;=$B$443)*((H383&gt;=$C$443)+(H383&lt;2/24)),1,0),0)</f>
        <v>1</v>
      </c>
      <c r="AI385" s="6">
        <f>IF((I382&lt;&gt;"")*(I386=""),IF((I382&lt;=$B$443)*((I383&gt;=$C$443)+(I383&lt;2/24)),1,0),0)</f>
        <v>0</v>
      </c>
      <c r="AJ385" s="6">
        <f>IF((J382&lt;&gt;"")*(J386=""),IF((J382&lt;=$B$443)*((J383&gt;=$C$443)+(J383&lt;2/24)),1,0),0)</f>
        <v>0</v>
      </c>
    </row>
    <row r="386" spans="1:36" x14ac:dyDescent="0.2">
      <c r="A386" s="39"/>
      <c r="B386" s="40"/>
      <c r="C386" s="32" t="s">
        <v>4</v>
      </c>
      <c r="D386" s="33"/>
      <c r="E386" s="33"/>
      <c r="F386" s="33"/>
      <c r="G386" s="33"/>
      <c r="H386" s="33"/>
      <c r="I386" s="33"/>
      <c r="J386" s="33"/>
      <c r="K386" s="17"/>
      <c r="L386" s="6"/>
      <c r="M386" s="25"/>
      <c r="N386" s="6"/>
      <c r="O386" s="6"/>
      <c r="P386" s="6"/>
      <c r="Q386" s="6"/>
      <c r="R386" s="6"/>
      <c r="S386" s="6"/>
      <c r="T386" s="6"/>
      <c r="U386" s="6"/>
      <c r="V386" s="20"/>
      <c r="W386" s="20"/>
      <c r="X386" s="20"/>
      <c r="Y386" s="20"/>
      <c r="Z386" s="20"/>
      <c r="AA386" s="20"/>
      <c r="AB386" s="20"/>
      <c r="AD386" s="6">
        <f>IF((D382&lt;&gt;"")*(D386=""),IF((D382&lt;=$B$444)*((D383&gt;=$C$444)+(D383&lt;2/24)),1,0),0)</f>
        <v>0</v>
      </c>
      <c r="AE386" s="6">
        <f>IF((E382&lt;&gt;"")*(E386=""),IF((E382&lt;=$B$444)*((E383&gt;=$C$444)+(E383&lt;2/24)),1,0),0)</f>
        <v>0</v>
      </c>
      <c r="AF386" s="6">
        <f>IF((F382&lt;&gt;"")*(F386=""),IF((F382&lt;=$B$444)*((F383&gt;=$C$444)+(F383&lt;2/24)),1,0),0)</f>
        <v>0</v>
      </c>
      <c r="AG386" s="6">
        <f>IF((G382&lt;&gt;"")*(G386=""),IF((G382&lt;=$B$444)*((G383&gt;=$C$444)+(G383&lt;2/24)),1,0),0)</f>
        <v>1</v>
      </c>
      <c r="AH386" s="6">
        <f>IF((H382&lt;&gt;"")*(H386=""),IF((H382&lt;=$B$444)*((H383&gt;=$C$444)+(H383&lt;2/24)),1,0),0)</f>
        <v>1</v>
      </c>
      <c r="AI386" s="6">
        <f>IF((I382&lt;&gt;"")*(I386=""),IF((I382&lt;=$B$444)*((I383&gt;=$C$444)+(I383&lt;2/24)),1,0),0)</f>
        <v>0</v>
      </c>
      <c r="AJ386" s="6">
        <f>IF((J382&lt;&gt;"")*(J386=""),IF((J382&lt;=$B$444)*((J383&gt;=$C$444)+(J383&lt;2/24)),1,0),0)</f>
        <v>0</v>
      </c>
    </row>
    <row r="387" spans="1:36" ht="13.5" thickBot="1" x14ac:dyDescent="0.25">
      <c r="A387" s="41"/>
      <c r="B387" s="42"/>
      <c r="C387" s="35" t="s">
        <v>28</v>
      </c>
      <c r="D387" s="54"/>
      <c r="E387" s="54"/>
      <c r="F387" s="36"/>
      <c r="G387" s="36"/>
      <c r="H387" s="36"/>
      <c r="I387" s="36"/>
      <c r="J387" s="36"/>
      <c r="K387" s="34"/>
      <c r="L387" s="6"/>
      <c r="M387" s="25"/>
      <c r="N387" s="6"/>
      <c r="O387" s="6"/>
      <c r="P387" s="6"/>
      <c r="Q387" s="6"/>
      <c r="R387" s="6"/>
      <c r="S387" s="6"/>
      <c r="T387" s="6"/>
      <c r="U387" s="6"/>
      <c r="V387" s="20"/>
      <c r="W387" s="20"/>
      <c r="X387" s="20"/>
      <c r="Y387" s="20"/>
      <c r="Z387" s="20"/>
      <c r="AA387" s="20"/>
      <c r="AB387" s="20"/>
      <c r="AD387" s="6"/>
      <c r="AE387" s="6"/>
      <c r="AF387" s="6"/>
      <c r="AG387" s="6"/>
      <c r="AH387" s="6"/>
      <c r="AI387" s="6"/>
      <c r="AJ387" s="6"/>
    </row>
    <row r="388" spans="1:36" x14ac:dyDescent="0.2">
      <c r="A388" s="37" t="s">
        <v>133</v>
      </c>
      <c r="B388" s="38" t="s">
        <v>134</v>
      </c>
      <c r="C388" s="14" t="s">
        <v>0</v>
      </c>
      <c r="D388" s="26"/>
      <c r="E388" s="26">
        <v>0.54166666666666663</v>
      </c>
      <c r="F388" s="26"/>
      <c r="G388" s="26"/>
      <c r="H388" s="26">
        <v>0.54166666666666663</v>
      </c>
      <c r="I388" s="26"/>
      <c r="J388" s="26"/>
      <c r="K388" s="16"/>
      <c r="L388" s="6"/>
      <c r="M388" s="21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D388" s="6">
        <f>IF((D388&lt;&gt;"")*(D392=""),IF((D388&lt;=$B$440)*((D389&gt;=$C$440)+(D389&lt;2/24)),1,0),0)</f>
        <v>0</v>
      </c>
      <c r="AE388" s="6">
        <f>IF((E388&lt;&gt;"")*(E392=""),IF((E388&lt;=$B$440)*((E389&gt;=$C$440)+(E389&lt;2/24)),1,0),0)</f>
        <v>0</v>
      </c>
      <c r="AF388" s="6">
        <f>IF((F388&lt;&gt;"")*(F392=""),IF((F388&lt;=$B$440)*((F389&gt;=$C$440)+(F389&lt;2/24)),1,0),0)</f>
        <v>0</v>
      </c>
      <c r="AG388" s="6">
        <f>IF((G388&lt;&gt;"")*(G392=""),IF((G388&lt;=$B$440)*((G389&gt;=$C$440)+(G389&lt;2/24)),1,0),0)</f>
        <v>0</v>
      </c>
      <c r="AH388" s="6">
        <f>IF((H388&lt;&gt;"")*(H392=""),IF((H388&lt;=$B$440)*((H389&gt;=$C$440)+(H389&lt;2/24)),1,0),0)</f>
        <v>0</v>
      </c>
      <c r="AI388" s="6">
        <f>IF((I388&lt;&gt;"")*(I392=""),IF((I388&lt;=$B$440)*((I389&gt;=$C$440)+(I389&lt;2/24)),1,0),0)</f>
        <v>0</v>
      </c>
      <c r="AJ388" s="6">
        <f>IF((J388&lt;&gt;"")*(J392=""),IF((J388&lt;=$B$440)*((J389&gt;=$C$440)+(J389&lt;2/24)),1,0),0)</f>
        <v>0</v>
      </c>
    </row>
    <row r="389" spans="1:36" x14ac:dyDescent="0.2">
      <c r="A389" s="39"/>
      <c r="B389" s="40"/>
      <c r="C389" s="15" t="s">
        <v>1</v>
      </c>
      <c r="D389" s="27"/>
      <c r="E389" s="27">
        <v>0.75</v>
      </c>
      <c r="F389" s="27"/>
      <c r="G389" s="27"/>
      <c r="H389" s="27">
        <v>0.75</v>
      </c>
      <c r="I389" s="27"/>
      <c r="J389" s="27"/>
      <c r="K389" s="17"/>
      <c r="L389" s="6"/>
      <c r="M389" s="21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D389" s="6">
        <f>IF((D388&lt;&gt;"")*(D392=""),IF((D388&lt;=$B$441)*((D389&gt;=$C$441)+(D389&lt;2/24)),1,0),0)</f>
        <v>0</v>
      </c>
      <c r="AE389" s="6">
        <f>IF((E388&lt;&gt;"")*(E392=""),IF((E388&lt;=$B$441)*((E389&gt;=$C$441)+(E389&lt;2/24)),1,0),0)</f>
        <v>1</v>
      </c>
      <c r="AF389" s="6">
        <f>IF((F388&lt;&gt;"")*(F392=""),IF((F388&lt;=$B$441)*((F389&gt;=$C$441)+(F389&lt;2/24)),1,0),0)</f>
        <v>0</v>
      </c>
      <c r="AG389" s="6">
        <f>IF((G388&lt;&gt;"")*(G392=""),IF((G388&lt;=$B$441)*((G389&gt;=$C$441)+(G389&lt;2/24)),1,0),0)</f>
        <v>0</v>
      </c>
      <c r="AH389" s="6">
        <f>IF((H388&lt;&gt;"")*(H392=""),IF((H388&lt;=$B$441)*((H389&gt;=$C$441)+(H389&lt;2/24)),1,0),0)</f>
        <v>1</v>
      </c>
      <c r="AI389" s="6">
        <f>IF((I388&lt;&gt;"")*(I392=""),IF((I388&lt;=$B$441)*((I389&gt;=$C$441)+(I389&lt;2/24)),1,0),0)</f>
        <v>0</v>
      </c>
      <c r="AJ389" s="6">
        <f>IF((J388&lt;&gt;"")*(J392=""),IF((J388&lt;=$B$441)*((J389&gt;=$C$441)+(J389&lt;2/24)),1,0),0)</f>
        <v>0</v>
      </c>
    </row>
    <row r="390" spans="1:36" x14ac:dyDescent="0.2">
      <c r="A390" s="39"/>
      <c r="B390" s="40"/>
      <c r="C390" s="15" t="s">
        <v>2</v>
      </c>
      <c r="D390" s="4"/>
      <c r="E390" s="4"/>
      <c r="F390" s="4"/>
      <c r="G390" s="4"/>
      <c r="H390" s="4"/>
      <c r="I390" s="4"/>
      <c r="J390" s="4"/>
      <c r="K390" s="17"/>
      <c r="L390" s="6"/>
      <c r="M390" s="21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D390" s="6">
        <f>IF((D388&lt;&gt;"")*(D392=""),IF((D388&lt;=$B$442)*((D389&gt;=$C$442)+(D389&lt;2/24)),1,0),0)</f>
        <v>0</v>
      </c>
      <c r="AE390" s="6">
        <f>IF((E388&lt;&gt;"")*(E392=""),IF((E388&lt;=$B$442)*((E389&gt;=$C$442)+(E389&lt;2/24)),1,0),0)</f>
        <v>1</v>
      </c>
      <c r="AF390" s="6">
        <f>IF((F388&lt;&gt;"")*(F392=""),IF((F388&lt;=$B$442)*((F389&gt;=$C$442)+(F389&lt;2/24)),1,0),0)</f>
        <v>0</v>
      </c>
      <c r="AG390" s="6">
        <f>IF((G388&lt;&gt;"")*(G392=""),IF((G388&lt;=$B$442)*((G389&gt;=$C$442)+(G389&lt;2/24)),1,0),0)</f>
        <v>0</v>
      </c>
      <c r="AH390" s="6">
        <f>IF((H388&lt;&gt;"")*(H392=""),IF((H388&lt;=$B$442)*((H389&gt;=$C$442)+(H389&lt;2/24)),1,0),0)</f>
        <v>1</v>
      </c>
      <c r="AI390" s="6">
        <f>IF((I388&lt;&gt;"")*(I392=""),IF((I388&lt;=$B$442)*((I389&gt;=$C$442)+(I389&lt;2/24)),1,0),0)</f>
        <v>0</v>
      </c>
      <c r="AJ390" s="6">
        <f>IF((J388&lt;&gt;"")*(J392=""),IF((J388&lt;=$B$442)*((J389&gt;=$C$442)+(J389&lt;2/24)),1,0),0)</f>
        <v>0</v>
      </c>
    </row>
    <row r="391" spans="1:36" x14ac:dyDescent="0.2">
      <c r="A391" s="39"/>
      <c r="B391" s="40"/>
      <c r="C391" s="15" t="s">
        <v>3</v>
      </c>
      <c r="D391" s="43" t="str">
        <f t="shared" ref="D391:J391" si="387">IF(D388="","",IF(D389&gt;D388,(D389-D388-D390)*24,(1-D388-D390+D389)*24))</f>
        <v/>
      </c>
      <c r="E391" s="43">
        <f t="shared" si="387"/>
        <v>5.0000000000000009</v>
      </c>
      <c r="F391" s="43" t="str">
        <f t="shared" si="387"/>
        <v/>
      </c>
      <c r="G391" s="43" t="str">
        <f t="shared" si="387"/>
        <v/>
      </c>
      <c r="H391" s="43">
        <v>5</v>
      </c>
      <c r="I391" s="43" t="str">
        <f t="shared" si="387"/>
        <v/>
      </c>
      <c r="J391" s="44" t="str">
        <f t="shared" si="387"/>
        <v/>
      </c>
      <c r="K391" s="18">
        <f>SUMIF(D392:J392,"",D391:J391)</f>
        <v>10</v>
      </c>
      <c r="L391" s="12">
        <f>SUM(D391:J391)</f>
        <v>10</v>
      </c>
      <c r="M391" s="24"/>
      <c r="N391" s="10" t="str">
        <f t="shared" ref="N391" si="388">IF(D392="",D391,0)</f>
        <v/>
      </c>
      <c r="O391" s="10">
        <f t="shared" ref="O391" si="389">IF(E392="",E391,0)</f>
        <v>5.0000000000000009</v>
      </c>
      <c r="P391" s="10" t="str">
        <f t="shared" ref="P391" si="390">IF(F392="",F391,0)</f>
        <v/>
      </c>
      <c r="Q391" s="10" t="str">
        <f t="shared" ref="Q391" si="391">IF(G392="",G391,0)</f>
        <v/>
      </c>
      <c r="R391" s="10">
        <f t="shared" ref="R391" si="392">IF(H392="",H391,0)</f>
        <v>5</v>
      </c>
      <c r="S391" s="10" t="str">
        <f t="shared" ref="S391" si="393">IF(I392="",I391,0)</f>
        <v/>
      </c>
      <c r="T391" s="10" t="str">
        <f t="shared" ref="T391" si="394">IF(J392="",J391,0)</f>
        <v/>
      </c>
      <c r="U391" s="10"/>
      <c r="V391" s="10" t="str">
        <f t="shared" ref="V391" si="395">D391</f>
        <v/>
      </c>
      <c r="W391" s="10">
        <f t="shared" ref="W391" si="396">E391</f>
        <v>5.0000000000000009</v>
      </c>
      <c r="X391" s="10" t="str">
        <f t="shared" ref="X391" si="397">F391</f>
        <v/>
      </c>
      <c r="Y391" s="10" t="str">
        <f t="shared" ref="Y391" si="398">G391</f>
        <v/>
      </c>
      <c r="Z391" s="10">
        <f t="shared" ref="Z391" si="399">H391</f>
        <v>5</v>
      </c>
      <c r="AA391" s="10" t="str">
        <f t="shared" ref="AA391" si="400">I391</f>
        <v/>
      </c>
      <c r="AB391" s="10" t="str">
        <f t="shared" ref="AB391" si="401">J391</f>
        <v/>
      </c>
      <c r="AD391" s="6">
        <f>IF((D388&lt;&gt;"")*(D392=""),IF((D388&lt;=$B$443)*((D389&gt;=$C$443)+(D389&lt;2/24)),1,0),0)</f>
        <v>0</v>
      </c>
      <c r="AE391" s="6">
        <f>IF((E388&lt;&gt;"")*(E392=""),IF((E388&lt;=$B$443)*((E389&gt;=$C$443)+(E389&lt;2/24)),1,0),0)</f>
        <v>0</v>
      </c>
      <c r="AF391" s="6">
        <f>IF((F388&lt;&gt;"")*(F392=""),IF((F388&lt;=$B$443)*((F389&gt;=$C$443)+(F389&lt;2/24)),1,0),0)</f>
        <v>0</v>
      </c>
      <c r="AG391" s="6">
        <f>IF((G388&lt;&gt;"")*(G392=""),IF((G388&lt;=$B$443)*((G389&gt;=$C$443)+(G389&lt;2/24)),1,0),0)</f>
        <v>0</v>
      </c>
      <c r="AH391" s="6">
        <f>IF((H388&lt;&gt;"")*(H392=""),IF((H388&lt;=$B$443)*((H389&gt;=$C$443)+(H389&lt;2/24)),1,0),0)</f>
        <v>0</v>
      </c>
      <c r="AI391" s="6">
        <f>IF((I388&lt;&gt;"")*(I392=""),IF((I388&lt;=$B$443)*((I389&gt;=$C$443)+(I389&lt;2/24)),1,0),0)</f>
        <v>0</v>
      </c>
      <c r="AJ391" s="6">
        <f>IF((J388&lt;&gt;"")*(J392=""),IF((J388&lt;=$B$443)*((J389&gt;=$C$443)+(J389&lt;2/24)),1,0),0)</f>
        <v>0</v>
      </c>
    </row>
    <row r="392" spans="1:36" x14ac:dyDescent="0.2">
      <c r="A392" s="39"/>
      <c r="B392" s="40"/>
      <c r="C392" s="32" t="s">
        <v>4</v>
      </c>
      <c r="D392" s="33"/>
      <c r="E392" s="33"/>
      <c r="F392" s="33"/>
      <c r="G392" s="33"/>
      <c r="H392" s="33"/>
      <c r="I392" s="33"/>
      <c r="J392" s="33"/>
      <c r="K392" s="17"/>
      <c r="L392" s="6"/>
      <c r="M392" s="25"/>
      <c r="N392" s="6"/>
      <c r="O392" s="6"/>
      <c r="P392" s="6"/>
      <c r="Q392" s="6"/>
      <c r="R392" s="6"/>
      <c r="S392" s="6"/>
      <c r="T392" s="6"/>
      <c r="U392" s="6"/>
      <c r="V392" s="20"/>
      <c r="W392" s="20"/>
      <c r="X392" s="20"/>
      <c r="Y392" s="20"/>
      <c r="Z392" s="20"/>
      <c r="AA392" s="20"/>
      <c r="AB392" s="20"/>
      <c r="AD392" s="6">
        <f>IF((D388&lt;&gt;"")*(D392=""),IF((D388&lt;=$B$444)*((D389&gt;=$C$444)+(D389&lt;2/24)),1,0),0)</f>
        <v>0</v>
      </c>
      <c r="AE392" s="6">
        <f>IF((E388&lt;&gt;"")*(E392=""),IF((E388&lt;=$B$444)*((E389&gt;=$C$444)+(E389&lt;2/24)),1,0),0)</f>
        <v>0</v>
      </c>
      <c r="AF392" s="6">
        <f>IF((F388&lt;&gt;"")*(F392=""),IF((F388&lt;=$B$444)*((F389&gt;=$C$444)+(F389&lt;2/24)),1,0),0)</f>
        <v>0</v>
      </c>
      <c r="AG392" s="6">
        <f>IF((G388&lt;&gt;"")*(G392=""),IF((G388&lt;=$B$444)*((G389&gt;=$C$444)+(G389&lt;2/24)),1,0),0)</f>
        <v>0</v>
      </c>
      <c r="AH392" s="6">
        <f>IF((H388&lt;&gt;"")*(H392=""),IF((H388&lt;=$B$444)*((H389&gt;=$C$444)+(H389&lt;2/24)),1,0),0)</f>
        <v>0</v>
      </c>
      <c r="AI392" s="6">
        <f>IF((I388&lt;&gt;"")*(I392=""),IF((I388&lt;=$B$444)*((I389&gt;=$C$444)+(I389&lt;2/24)),1,0),0)</f>
        <v>0</v>
      </c>
      <c r="AJ392" s="6">
        <f>IF((J388&lt;&gt;"")*(J392=""),IF((J388&lt;=$B$444)*((J389&gt;=$C$444)+(J389&lt;2/24)),1,0),0)</f>
        <v>0</v>
      </c>
    </row>
    <row r="393" spans="1:36" ht="13.5" thickBot="1" x14ac:dyDescent="0.25">
      <c r="A393" s="41"/>
      <c r="B393" s="42"/>
      <c r="C393" s="35" t="s">
        <v>28</v>
      </c>
      <c r="D393" s="54"/>
      <c r="E393" s="54"/>
      <c r="F393" s="36"/>
      <c r="G393" s="36"/>
      <c r="H393" s="36"/>
      <c r="I393" s="36"/>
      <c r="J393" s="36"/>
      <c r="K393" s="34"/>
      <c r="L393" s="6"/>
      <c r="M393" s="25"/>
      <c r="N393" s="6"/>
      <c r="O393" s="6"/>
      <c r="P393" s="6"/>
      <c r="Q393" s="6"/>
      <c r="R393" s="6"/>
      <c r="S393" s="6"/>
      <c r="T393" s="6"/>
      <c r="U393" s="6"/>
      <c r="V393" s="20"/>
      <c r="W393" s="20"/>
      <c r="X393" s="20"/>
      <c r="Y393" s="20"/>
      <c r="Z393" s="20"/>
      <c r="AA393" s="20"/>
      <c r="AB393" s="20"/>
      <c r="AD393" s="6"/>
      <c r="AE393" s="6"/>
      <c r="AF393" s="6"/>
      <c r="AG393" s="6"/>
      <c r="AH393" s="6"/>
      <c r="AI393" s="6"/>
      <c r="AJ393" s="6"/>
    </row>
    <row r="394" spans="1:36" x14ac:dyDescent="0.2">
      <c r="A394" s="37" t="s">
        <v>145</v>
      </c>
      <c r="B394" s="38" t="s">
        <v>146</v>
      </c>
      <c r="C394" s="14" t="s">
        <v>0</v>
      </c>
      <c r="D394" s="26"/>
      <c r="E394" s="26"/>
      <c r="F394" s="26"/>
      <c r="G394" s="26"/>
      <c r="H394" s="26"/>
      <c r="I394" s="26">
        <v>0.54166666666666663</v>
      </c>
      <c r="J394" s="26"/>
      <c r="K394" s="16"/>
      <c r="L394" s="6"/>
      <c r="M394" s="21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D394" s="6">
        <f>IF((D394&lt;&gt;"")*(D398=""),IF((D394&lt;=$B$434)*((D395&gt;=$C$434)+(D395&lt;2/24)),1,0),0)</f>
        <v>0</v>
      </c>
      <c r="AE394" s="6">
        <f>IF((E394&lt;&gt;"")*(E398=""),IF((E394&lt;=$B$434)*((E395&gt;=$C$434)+(E395&lt;2/24)),1,0),0)</f>
        <v>0</v>
      </c>
      <c r="AF394" s="6">
        <f>IF((F394&lt;&gt;"")*(F398=""),IF((F394&lt;=$B$434)*((F395&gt;=$C$434)+(F395&lt;2/24)),1,0),0)</f>
        <v>0</v>
      </c>
      <c r="AG394" s="6">
        <f>IF((G394&lt;&gt;"")*(G398=""),IF((G394&lt;=$B$434)*((G395&gt;=$C$434)+(G395&lt;2/24)),1,0),0)</f>
        <v>0</v>
      </c>
      <c r="AH394" s="6">
        <f>IF((H394&lt;&gt;"")*(H398=""),IF((H394&lt;=$B$434)*((H395&gt;=$C$434)+(H395&lt;2/24)),1,0),0)</f>
        <v>0</v>
      </c>
      <c r="AI394" s="6">
        <f>IF((I394&lt;&gt;"")*(I398=""),IF((I394&lt;=$B$434)*((I395&gt;=$C$434)+(I395&lt;2/24)),1,0),0)</f>
        <v>0</v>
      </c>
      <c r="AJ394" s="6">
        <f>IF((J394&lt;&gt;"")*(J398=""),IF((J394&lt;=$B$434)*((J395&gt;=$C$434)+(J395&lt;2/24)),1,0),0)</f>
        <v>0</v>
      </c>
    </row>
    <row r="395" spans="1:36" x14ac:dyDescent="0.2">
      <c r="A395" s="39"/>
      <c r="B395" s="40"/>
      <c r="C395" s="15" t="s">
        <v>1</v>
      </c>
      <c r="D395" s="27"/>
      <c r="E395" s="27"/>
      <c r="F395" s="27"/>
      <c r="G395" s="27"/>
      <c r="H395" s="27"/>
      <c r="I395" s="27">
        <v>0.75</v>
      </c>
      <c r="J395" s="27"/>
      <c r="K395" s="17"/>
      <c r="L395" s="6"/>
      <c r="M395" s="21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D395" s="6">
        <f>IF((D394&lt;&gt;"")*(D398=""),IF((D394&lt;=$B$435)*((D395&gt;=$C$435)+(D395&lt;2/24)),1,0),0)</f>
        <v>0</v>
      </c>
      <c r="AE395" s="6">
        <f>IF((E394&lt;&gt;"")*(E398=""),IF((E394&lt;=$B$435)*((E395&gt;=$C$435)+(E395&lt;2/24)),1,0),0)</f>
        <v>0</v>
      </c>
      <c r="AF395" s="6">
        <f>IF((F394&lt;&gt;"")*(F398=""),IF((F394&lt;=$B$435)*((F395&gt;=$C$435)+(F395&lt;2/24)),1,0),0)</f>
        <v>0</v>
      </c>
      <c r="AG395" s="6">
        <f>IF((G394&lt;&gt;"")*(G398=""),IF((G394&lt;=$B$435)*((G395&gt;=$C$435)+(G395&lt;2/24)),1,0),0)</f>
        <v>0</v>
      </c>
      <c r="AH395" s="6">
        <f>IF((H394&lt;&gt;"")*(H398=""),IF((H394&lt;=$B$435)*((H395&gt;=$C$435)+(H395&lt;2/24)),1,0),0)</f>
        <v>0</v>
      </c>
      <c r="AI395" s="6">
        <f>IF((I394&lt;&gt;"")*(I398=""),IF((I394&lt;=$B$435)*((I395&gt;=$C$435)+(I395&lt;2/24)),1,0),0)</f>
        <v>0</v>
      </c>
      <c r="AJ395" s="6">
        <f>IF((J394&lt;&gt;"")*(J398=""),IF((J394&lt;=$B$435)*((J395&gt;=$C$435)+(J395&lt;2/24)),1,0),0)</f>
        <v>0</v>
      </c>
    </row>
    <row r="396" spans="1:36" x14ac:dyDescent="0.2">
      <c r="A396" s="64"/>
      <c r="B396" s="40"/>
      <c r="C396" s="15" t="s">
        <v>2</v>
      </c>
      <c r="D396" s="4"/>
      <c r="E396" s="4"/>
      <c r="F396" s="4"/>
      <c r="G396" s="4"/>
      <c r="H396" s="4"/>
      <c r="I396" s="4"/>
      <c r="J396" s="4"/>
      <c r="K396" s="17"/>
      <c r="L396" s="6"/>
      <c r="M396" s="21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D396" s="6">
        <f>IF((D394&lt;&gt;"")*(D398=""),IF((D394&lt;=$B$436)*((D395&gt;=$C$436)+(D395&lt;2/24)),1,0),0)</f>
        <v>0</v>
      </c>
      <c r="AE396" s="6">
        <f>IF((E394&lt;&gt;"")*(E398=""),IF((E394&lt;=$B$436)*((E395&gt;=$C$436)+(E395&lt;2/24)),1,0),0)</f>
        <v>0</v>
      </c>
      <c r="AF396" s="6">
        <f>IF((F394&lt;&gt;"")*(F398=""),IF((F394&lt;=$B$436)*((F395&gt;=$C$436)+(F395&lt;2/24)),1,0),0)</f>
        <v>0</v>
      </c>
      <c r="AG396" s="6">
        <f>IF((G394&lt;&gt;"")*(G398=""),IF((G394&lt;=$B$436)*((G395&gt;=$C$436)+(G395&lt;2/24)),1,0),0)</f>
        <v>0</v>
      </c>
      <c r="AH396" s="6">
        <f>IF((H394&lt;&gt;"")*(H398=""),IF((H394&lt;=$B$436)*((H395&gt;=$C$436)+(H395&lt;2/24)),1,0),0)</f>
        <v>0</v>
      </c>
      <c r="AI396" s="6">
        <f>IF((I394&lt;&gt;"")*(I398=""),IF((I394&lt;=$B$436)*((I395&gt;=$C$436)+(I395&lt;2/24)),1,0),0)</f>
        <v>0</v>
      </c>
      <c r="AJ396" s="6">
        <f>IF((J394&lt;&gt;"")*(J398=""),IF((J394&lt;=$B$436)*((J395&gt;=$C$436)+(J395&lt;2/24)),1,0),0)</f>
        <v>0</v>
      </c>
    </row>
    <row r="397" spans="1:36" x14ac:dyDescent="0.2">
      <c r="A397" s="64"/>
      <c r="B397" s="40"/>
      <c r="C397" s="15" t="s">
        <v>3</v>
      </c>
      <c r="D397" s="43" t="str">
        <f t="shared" ref="D397:J397" si="402">IF(D394="","",IF(D395&gt;D394,(D395-D394-D396)*24,(1-D394-D396+D395)*24))</f>
        <v/>
      </c>
      <c r="E397" s="43" t="str">
        <f t="shared" si="402"/>
        <v/>
      </c>
      <c r="F397" s="43" t="str">
        <f t="shared" si="402"/>
        <v/>
      </c>
      <c r="G397" s="43" t="str">
        <f t="shared" si="402"/>
        <v/>
      </c>
      <c r="H397" s="43" t="str">
        <f t="shared" si="402"/>
        <v/>
      </c>
      <c r="I397" s="43">
        <f t="shared" si="402"/>
        <v>5.0000000000000009</v>
      </c>
      <c r="J397" s="44" t="str">
        <f t="shared" si="402"/>
        <v/>
      </c>
      <c r="K397" s="18">
        <f>SUMIF(D398:J398,"",D397:J397)</f>
        <v>5.0000000000000009</v>
      </c>
      <c r="L397" s="12">
        <f>SUM(D397:J397)</f>
        <v>5.0000000000000009</v>
      </c>
      <c r="M397" s="24"/>
      <c r="N397" s="10" t="str">
        <f t="shared" ref="N397:T397" si="403">IF(D398="",D397,0)</f>
        <v/>
      </c>
      <c r="O397" s="10" t="str">
        <f t="shared" si="403"/>
        <v/>
      </c>
      <c r="P397" s="10" t="str">
        <f t="shared" si="403"/>
        <v/>
      </c>
      <c r="Q397" s="10" t="str">
        <f t="shared" si="403"/>
        <v/>
      </c>
      <c r="R397" s="10" t="str">
        <f t="shared" si="403"/>
        <v/>
      </c>
      <c r="S397" s="10">
        <f t="shared" si="403"/>
        <v>5.0000000000000009</v>
      </c>
      <c r="T397" s="10" t="str">
        <f t="shared" si="403"/>
        <v/>
      </c>
      <c r="U397" s="10"/>
      <c r="V397" s="10" t="str">
        <f t="shared" ref="V397:AB397" si="404">D397</f>
        <v/>
      </c>
      <c r="W397" s="10" t="str">
        <f t="shared" si="404"/>
        <v/>
      </c>
      <c r="X397" s="10" t="str">
        <f t="shared" si="404"/>
        <v/>
      </c>
      <c r="Y397" s="10" t="str">
        <f t="shared" si="404"/>
        <v/>
      </c>
      <c r="Z397" s="10" t="str">
        <f t="shared" si="404"/>
        <v/>
      </c>
      <c r="AA397" s="10">
        <f t="shared" si="404"/>
        <v>5.0000000000000009</v>
      </c>
      <c r="AB397" s="10" t="str">
        <f t="shared" si="404"/>
        <v/>
      </c>
      <c r="AD397" s="6">
        <f>IF((D394&lt;&gt;"")*(D398=""),IF((D394&lt;=$B$437)*((D395&gt;=$C$437)+(D395&lt;2/24)),1,0),0)</f>
        <v>0</v>
      </c>
      <c r="AE397" s="6">
        <f>IF((E394&lt;&gt;"")*(E398=""),IF((E394&lt;=$B$437)*((E395&gt;=$C$437)+(E395&lt;2/24)),1,0),0)</f>
        <v>0</v>
      </c>
      <c r="AF397" s="6">
        <f>IF((F394&lt;&gt;"")*(F398=""),IF((F394&lt;=$B$437)*((F395&gt;=$C$437)+(F395&lt;2/24)),1,0),0)</f>
        <v>0</v>
      </c>
      <c r="AG397" s="6">
        <f>IF((G394&lt;&gt;"")*(G398=""),IF((G394&lt;=$B$437)*((G395&gt;=$C$437)+(G395&lt;2/24)),1,0),0)</f>
        <v>0</v>
      </c>
      <c r="AH397" s="6">
        <f>IF((H394&lt;&gt;"")*(H398=""),IF((H394&lt;=$B$437)*((H395&gt;=$C$437)+(H395&lt;2/24)),1,0),0)</f>
        <v>0</v>
      </c>
      <c r="AI397" s="6">
        <f>IF((I394&lt;&gt;"")*(I398=""),IF((I394&lt;=$B$437)*((I395&gt;=$C$437)+(I395&lt;2/24)),1,0),0)</f>
        <v>0</v>
      </c>
      <c r="AJ397" s="6">
        <f>IF((J394&lt;&gt;"")*(J398=""),IF((J394&lt;=$B$437)*((J395&gt;=$C$437)+(J395&lt;2/24)),1,0),0)</f>
        <v>0</v>
      </c>
    </row>
    <row r="398" spans="1:36" x14ac:dyDescent="0.2">
      <c r="A398" s="39"/>
      <c r="B398" s="40"/>
      <c r="C398" s="32" t="s">
        <v>4</v>
      </c>
      <c r="D398" s="33"/>
      <c r="E398" s="33"/>
      <c r="F398" s="33"/>
      <c r="G398" s="33"/>
      <c r="H398" s="33"/>
      <c r="I398" s="33"/>
      <c r="J398" s="33"/>
      <c r="K398" s="17"/>
      <c r="L398" s="6"/>
      <c r="M398" s="25"/>
      <c r="N398" s="6"/>
      <c r="O398" s="6"/>
      <c r="P398" s="6"/>
      <c r="Q398" s="6"/>
      <c r="R398" s="6"/>
      <c r="S398" s="6"/>
      <c r="T398" s="6"/>
      <c r="U398" s="6"/>
      <c r="V398" s="20"/>
      <c r="W398" s="20"/>
      <c r="X398" s="20"/>
      <c r="Y398" s="20"/>
      <c r="Z398" s="20"/>
      <c r="AA398" s="20"/>
      <c r="AB398" s="20"/>
      <c r="AD398" s="6">
        <f>IF((D394&lt;&gt;"")*(D398=""),IF((D394&lt;=$B$438)*((D395&gt;=$C$438)+(D395&lt;2/24)),1,0),0)</f>
        <v>0</v>
      </c>
      <c r="AE398" s="6">
        <f>IF((E394&lt;&gt;"")*(E398=""),IF((E394&lt;=$B$438)*((E395&gt;=$C$438)+(E395&lt;2/24)),1,0),0)</f>
        <v>0</v>
      </c>
      <c r="AF398" s="6">
        <f>IF((F394&lt;&gt;"")*(F398=""),IF((F394&lt;=$B$438)*((F395&gt;=$C$438)+(F395&lt;2/24)),1,0),0)</f>
        <v>0</v>
      </c>
      <c r="AG398" s="6">
        <f>IF((G394&lt;&gt;"")*(G398=""),IF((G394&lt;=$B$438)*((G395&gt;=$C$438)+(G395&lt;2/24)),1,0),0)</f>
        <v>0</v>
      </c>
      <c r="AH398" s="6">
        <f>IF((H394&lt;&gt;"")*(H398=""),IF((H394&lt;=$B$438)*((H395&gt;=$C$438)+(H395&lt;2/24)),1,0),0)</f>
        <v>0</v>
      </c>
      <c r="AI398" s="6">
        <f>IF((I394&lt;&gt;"")*(I398=""),IF((I394&lt;=$B$438)*((I395&gt;=$C$438)+(I395&lt;2/24)),1,0),0)</f>
        <v>0</v>
      </c>
      <c r="AJ398" s="6">
        <f>IF((J394&lt;&gt;"")*(J398=""),IF((J394&lt;=$B$438)*((J395&gt;=$C$438)+(J395&lt;2/24)),1,0),0)</f>
        <v>0</v>
      </c>
    </row>
    <row r="399" spans="1:36" ht="13.5" thickBot="1" x14ac:dyDescent="0.25">
      <c r="A399" s="41"/>
      <c r="B399" s="42"/>
      <c r="C399" s="35" t="s">
        <v>28</v>
      </c>
      <c r="D399" s="36"/>
      <c r="E399" s="36"/>
      <c r="F399" s="36"/>
      <c r="G399" s="36"/>
      <c r="H399" s="54"/>
      <c r="I399" s="36"/>
      <c r="J399" s="36"/>
      <c r="K399" s="34"/>
      <c r="L399" s="6"/>
      <c r="M399" s="25"/>
      <c r="N399" s="6"/>
      <c r="O399" s="6"/>
      <c r="P399" s="6"/>
      <c r="Q399" s="6"/>
      <c r="R399" s="6"/>
      <c r="S399" s="6"/>
      <c r="T399" s="6"/>
      <c r="U399" s="6"/>
      <c r="V399" s="20"/>
      <c r="W399" s="20"/>
      <c r="X399" s="20"/>
      <c r="Y399" s="20"/>
      <c r="Z399" s="20"/>
      <c r="AA399" s="20"/>
      <c r="AB399" s="20"/>
      <c r="AD399" s="6"/>
      <c r="AE399" s="6"/>
      <c r="AF399" s="6"/>
      <c r="AG399" s="6"/>
      <c r="AH399" s="6"/>
      <c r="AI399" s="6"/>
      <c r="AJ399" s="6"/>
    </row>
    <row r="400" spans="1:36" x14ac:dyDescent="0.2">
      <c r="A400" s="37" t="s">
        <v>154</v>
      </c>
      <c r="B400" s="38" t="s">
        <v>155</v>
      </c>
      <c r="C400" s="14" t="s">
        <v>0</v>
      </c>
      <c r="D400" s="26"/>
      <c r="E400" s="26"/>
      <c r="F400" s="26"/>
      <c r="G400" s="26"/>
      <c r="H400" s="26"/>
      <c r="I400" s="26"/>
      <c r="J400" s="26"/>
      <c r="K400" s="16"/>
      <c r="L400" s="6"/>
      <c r="M400" s="21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D400" s="6">
        <f>IF((D400&lt;&gt;"")*(D404=""),IF((D400&lt;=$B$440)*((D401&gt;=$C$440)+(D401&lt;2/24)),1,0),0)</f>
        <v>0</v>
      </c>
      <c r="AE400" s="6">
        <f>IF((E400&lt;&gt;"")*(E404=""),IF((E400&lt;=$B$440)*((E401&gt;=$C$440)+(E401&lt;2/24)),1,0),0)</f>
        <v>0</v>
      </c>
      <c r="AF400" s="6">
        <f>IF((F400&lt;&gt;"")*(F404=""),IF((F400&lt;=$B$440)*((F401&gt;=$C$440)+(F401&lt;2/24)),1,0),0)</f>
        <v>0</v>
      </c>
      <c r="AG400" s="6">
        <f>IF((G400&lt;&gt;"")*(G404=""),IF((G400&lt;=$B$440)*((G401&gt;=$C$440)+(G401&lt;2/24)),1,0),0)</f>
        <v>0</v>
      </c>
      <c r="AH400" s="6">
        <f>IF((H400&lt;&gt;"")*(H404=""),IF((H400&lt;=$B$440)*((H401&gt;=$C$440)+(H401&lt;2/24)),1,0),0)</f>
        <v>0</v>
      </c>
      <c r="AI400" s="6">
        <f>IF((I400&lt;&gt;"")*(I404=""),IF((I400&lt;=$B$440)*((I401&gt;=$C$440)+(I401&lt;2/24)),1,0),0)</f>
        <v>0</v>
      </c>
      <c r="AJ400" s="6">
        <f>IF((J400&lt;&gt;"")*(J404=""),IF((J400&lt;=$B$440)*((J401&gt;=$C$440)+(J401&lt;2/24)),1,0),0)</f>
        <v>0</v>
      </c>
    </row>
    <row r="401" spans="1:36" x14ac:dyDescent="0.2">
      <c r="A401" s="39"/>
      <c r="B401" s="40"/>
      <c r="C401" s="15" t="s">
        <v>1</v>
      </c>
      <c r="D401" s="27"/>
      <c r="E401" s="27"/>
      <c r="F401" s="27"/>
      <c r="G401" s="27"/>
      <c r="H401" s="27"/>
      <c r="I401" s="27"/>
      <c r="J401" s="27"/>
      <c r="K401" s="17"/>
      <c r="L401" s="6"/>
      <c r="M401" s="21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D401" s="6">
        <f>IF((D400&lt;&gt;"")*(D404=""),IF((D400&lt;=$B$441)*((D401&gt;=$C$441)+(D401&lt;2/24)),1,0),0)</f>
        <v>0</v>
      </c>
      <c r="AE401" s="6">
        <f>IF((E400&lt;&gt;"")*(E404=""),IF((E400&lt;=$B$441)*((E401&gt;=$C$441)+(E401&lt;2/24)),1,0),0)</f>
        <v>0</v>
      </c>
      <c r="AF401" s="6">
        <f>IF((F400&lt;&gt;"")*(F404=""),IF((F400&lt;=$B$441)*((F401&gt;=$C$441)+(F401&lt;2/24)),1,0),0)</f>
        <v>0</v>
      </c>
      <c r="AG401" s="6">
        <f>IF((G400&lt;&gt;"")*(G404=""),IF((G400&lt;=$B$441)*((G401&gt;=$C$441)+(G401&lt;2/24)),1,0),0)</f>
        <v>0</v>
      </c>
      <c r="AH401" s="6">
        <f>IF((H400&lt;&gt;"")*(H404=""),IF((H400&lt;=$B$441)*((H401&gt;=$C$441)+(H401&lt;2/24)),1,0),0)</f>
        <v>0</v>
      </c>
      <c r="AI401" s="6">
        <f>IF((I400&lt;&gt;"")*(I404=""),IF((I400&lt;=$B$441)*((I401&gt;=$C$441)+(I401&lt;2/24)),1,0),0)</f>
        <v>0</v>
      </c>
      <c r="AJ401" s="6">
        <f>IF((J400&lt;&gt;"")*(J404=""),IF((J400&lt;=$B$441)*((J401&gt;=$C$441)+(J401&lt;2/24)),1,0),0)</f>
        <v>0</v>
      </c>
    </row>
    <row r="402" spans="1:36" x14ac:dyDescent="0.2">
      <c r="A402" s="39"/>
      <c r="B402" s="40"/>
      <c r="C402" s="15" t="s">
        <v>2</v>
      </c>
      <c r="D402" s="4"/>
      <c r="E402" s="4"/>
      <c r="F402" s="4"/>
      <c r="G402" s="4"/>
      <c r="H402" s="4"/>
      <c r="I402" s="4"/>
      <c r="J402" s="4"/>
      <c r="K402" s="17"/>
      <c r="L402" s="6"/>
      <c r="M402" s="21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D402" s="6">
        <f>IF((D400&lt;&gt;"")*(D404=""),IF((D400&lt;=$B$442)*((D401&gt;=$C$442)+(D401&lt;2/24)),1,0),0)</f>
        <v>0</v>
      </c>
      <c r="AE402" s="6">
        <f>IF((E400&lt;&gt;"")*(E404=""),IF((E400&lt;=$B$442)*((E401&gt;=$C$442)+(E401&lt;2/24)),1,0),0)</f>
        <v>0</v>
      </c>
      <c r="AF402" s="6">
        <f>IF((F400&lt;&gt;"")*(F404=""),IF((F400&lt;=$B$442)*((F401&gt;=$C$442)+(F401&lt;2/24)),1,0),0)</f>
        <v>0</v>
      </c>
      <c r="AG402" s="6">
        <f>IF((G400&lt;&gt;"")*(G404=""),IF((G400&lt;=$B$442)*((G401&gt;=$C$442)+(G401&lt;2/24)),1,0),0)</f>
        <v>0</v>
      </c>
      <c r="AH402" s="6">
        <f>IF((H400&lt;&gt;"")*(H404=""),IF((H400&lt;=$B$442)*((H401&gt;=$C$442)+(H401&lt;2/24)),1,0),0)</f>
        <v>0</v>
      </c>
      <c r="AI402" s="6">
        <f>IF((I400&lt;&gt;"")*(I404=""),IF((I400&lt;=$B$442)*((I401&gt;=$C$442)+(I401&lt;2/24)),1,0),0)</f>
        <v>0</v>
      </c>
      <c r="AJ402" s="6">
        <f>IF((J400&lt;&gt;"")*(J404=""),IF((J400&lt;=$B$442)*((J401&gt;=$C$442)+(J401&lt;2/24)),1,0),0)</f>
        <v>0</v>
      </c>
    </row>
    <row r="403" spans="1:36" x14ac:dyDescent="0.2">
      <c r="A403" s="39"/>
      <c r="B403" s="40"/>
      <c r="C403" s="15" t="s">
        <v>3</v>
      </c>
      <c r="D403" s="43" t="str">
        <f t="shared" ref="D403:J403" si="405">IF(D400="","",IF(D401&gt;D400,(D401-D400-D402)*24,(1-D400-D402+D401)*24))</f>
        <v/>
      </c>
      <c r="E403" s="43" t="str">
        <f t="shared" si="405"/>
        <v/>
      </c>
      <c r="F403" s="43" t="str">
        <f t="shared" si="405"/>
        <v/>
      </c>
      <c r="G403" s="43" t="str">
        <f t="shared" si="405"/>
        <v/>
      </c>
      <c r="H403" s="43" t="str">
        <f t="shared" si="405"/>
        <v/>
      </c>
      <c r="I403" s="55" t="str">
        <f t="shared" si="405"/>
        <v/>
      </c>
      <c r="J403" s="44" t="str">
        <f t="shared" si="405"/>
        <v/>
      </c>
      <c r="K403" s="18">
        <f>SUMIF(D404:J404,"",D403:J403)</f>
        <v>0</v>
      </c>
      <c r="L403" s="12">
        <f>SUM(D403:J403)</f>
        <v>0</v>
      </c>
      <c r="M403" s="24"/>
      <c r="N403" s="10" t="str">
        <f t="shared" ref="N403" si="406">IF(D404="",D403,0)</f>
        <v/>
      </c>
      <c r="O403" s="10" t="str">
        <f t="shared" ref="O403" si="407">IF(E404="",E403,0)</f>
        <v/>
      </c>
      <c r="P403" s="10" t="str">
        <f t="shared" ref="P403" si="408">IF(F404="",F403,0)</f>
        <v/>
      </c>
      <c r="Q403" s="10" t="str">
        <f t="shared" ref="Q403" si="409">IF(G404="",G403,0)</f>
        <v/>
      </c>
      <c r="R403" s="10" t="str">
        <f t="shared" ref="R403" si="410">IF(H404="",H403,0)</f>
        <v/>
      </c>
      <c r="S403" s="10" t="str">
        <f t="shared" ref="S403" si="411">IF(I404="",I403,0)</f>
        <v/>
      </c>
      <c r="T403" s="10" t="str">
        <f t="shared" ref="T403" si="412">IF(J404="",J403,0)</f>
        <v/>
      </c>
      <c r="U403" s="10"/>
      <c r="V403" s="10" t="str">
        <f t="shared" ref="V403" si="413">D403</f>
        <v/>
      </c>
      <c r="W403" s="10" t="str">
        <f t="shared" ref="W403" si="414">E403</f>
        <v/>
      </c>
      <c r="X403" s="10" t="str">
        <f t="shared" ref="X403" si="415">F403</f>
        <v/>
      </c>
      <c r="Y403" s="10" t="str">
        <f t="shared" ref="Y403" si="416">G403</f>
        <v/>
      </c>
      <c r="Z403" s="10" t="str">
        <f t="shared" ref="Z403" si="417">H403</f>
        <v/>
      </c>
      <c r="AA403" s="10" t="str">
        <f t="shared" ref="AA403" si="418">I403</f>
        <v/>
      </c>
      <c r="AB403" s="10" t="str">
        <f t="shared" ref="AB403" si="419">J403</f>
        <v/>
      </c>
      <c r="AD403" s="6">
        <f>IF((D400&lt;&gt;"")*(D404=""),IF((D400&lt;=$B$443)*((D401&gt;=$C$443)+(D401&lt;2/24)),1,0),0)</f>
        <v>0</v>
      </c>
      <c r="AE403" s="6">
        <f>IF((E400&lt;&gt;"")*(E404=""),IF((E400&lt;=$B$443)*((E401&gt;=$C$443)+(E401&lt;2/24)),1,0),0)</f>
        <v>0</v>
      </c>
      <c r="AF403" s="6">
        <f>IF((F400&lt;&gt;"")*(F404=""),IF((F400&lt;=$B$443)*((F401&gt;=$C$443)+(F401&lt;2/24)),1,0),0)</f>
        <v>0</v>
      </c>
      <c r="AG403" s="6">
        <f>IF((G400&lt;&gt;"")*(G404=""),IF((G400&lt;=$B$443)*((G401&gt;=$C$443)+(G401&lt;2/24)),1,0),0)</f>
        <v>0</v>
      </c>
      <c r="AH403" s="6">
        <f>IF((H400&lt;&gt;"")*(H404=""),IF((H400&lt;=$B$443)*((H401&gt;=$C$443)+(H401&lt;2/24)),1,0),0)</f>
        <v>0</v>
      </c>
      <c r="AI403" s="6">
        <f>IF((I400&lt;&gt;"")*(I404=""),IF((I400&lt;=$B$443)*((I401&gt;=$C$443)+(I401&lt;2/24)),1,0),0)</f>
        <v>0</v>
      </c>
      <c r="AJ403" s="6">
        <f>IF((J400&lt;&gt;"")*(J404=""),IF((J400&lt;=$B$443)*((J401&gt;=$C$443)+(J401&lt;2/24)),1,0),0)</f>
        <v>0</v>
      </c>
    </row>
    <row r="404" spans="1:36" x14ac:dyDescent="0.2">
      <c r="A404" s="39"/>
      <c r="B404" s="40"/>
      <c r="C404" s="32" t="s">
        <v>4</v>
      </c>
      <c r="D404" s="33"/>
      <c r="E404" s="33"/>
      <c r="F404" s="33"/>
      <c r="G404" s="33"/>
      <c r="H404" s="33"/>
      <c r="I404" s="33"/>
      <c r="J404" s="33"/>
      <c r="K404" s="17"/>
      <c r="L404" s="6"/>
      <c r="M404" s="25"/>
      <c r="N404" s="6"/>
      <c r="O404" s="6"/>
      <c r="P404" s="6"/>
      <c r="Q404" s="6"/>
      <c r="R404" s="6"/>
      <c r="S404" s="6"/>
      <c r="T404" s="6"/>
      <c r="U404" s="6"/>
      <c r="V404" s="20"/>
      <c r="W404" s="20"/>
      <c r="X404" s="20"/>
      <c r="Y404" s="20"/>
      <c r="Z404" s="20"/>
      <c r="AA404" s="20"/>
      <c r="AB404" s="20"/>
      <c r="AD404" s="6">
        <f>IF((D400&lt;&gt;"")*(D404=""),IF((D400&lt;=$B$444)*((D401&gt;=$C$444)+(D401&lt;2/24)),1,0),0)</f>
        <v>0</v>
      </c>
      <c r="AE404" s="6">
        <f>IF((E400&lt;&gt;"")*(E404=""),IF((E400&lt;=$B$444)*((E401&gt;=$C$444)+(E401&lt;2/24)),1,0),0)</f>
        <v>0</v>
      </c>
      <c r="AF404" s="6">
        <f>IF((F400&lt;&gt;"")*(F404=""),IF((F400&lt;=$B$444)*((F401&gt;=$C$444)+(F401&lt;2/24)),1,0),0)</f>
        <v>0</v>
      </c>
      <c r="AG404" s="6">
        <f>IF((G400&lt;&gt;"")*(G404=""),IF((G400&lt;=$B$444)*((G401&gt;=$C$444)+(G401&lt;2/24)),1,0),0)</f>
        <v>0</v>
      </c>
      <c r="AH404" s="6">
        <f>IF((H400&lt;&gt;"")*(H404=""),IF((H400&lt;=$B$444)*((H401&gt;=$C$444)+(H401&lt;2/24)),1,0),0)</f>
        <v>0</v>
      </c>
      <c r="AI404" s="6">
        <f>IF((I400&lt;&gt;"")*(I404=""),IF((I400&lt;=$B$444)*((I401&gt;=$C$444)+(I401&lt;2/24)),1,0),0)</f>
        <v>0</v>
      </c>
      <c r="AJ404" s="6">
        <f>IF((J400&lt;&gt;"")*(J404=""),IF((J400&lt;=$B$444)*((J401&gt;=$C$444)+(J401&lt;2/24)),1,0),0)</f>
        <v>0</v>
      </c>
    </row>
    <row r="405" spans="1:36" ht="13.5" thickBot="1" x14ac:dyDescent="0.25">
      <c r="A405" s="41"/>
      <c r="B405" s="42"/>
      <c r="C405" s="35" t="s">
        <v>28</v>
      </c>
      <c r="D405" s="67"/>
      <c r="E405" s="36"/>
      <c r="F405" s="36"/>
      <c r="G405" s="36"/>
      <c r="H405" s="36"/>
      <c r="I405" s="36"/>
      <c r="J405" s="36"/>
      <c r="K405" s="34"/>
      <c r="L405" s="6"/>
      <c r="M405" s="25"/>
      <c r="N405" s="6"/>
      <c r="O405" s="6"/>
      <c r="P405" s="6"/>
      <c r="Q405" s="6"/>
      <c r="R405" s="6"/>
      <c r="S405" s="6"/>
      <c r="T405" s="6"/>
      <c r="U405" s="6"/>
      <c r="V405" s="20"/>
      <c r="W405" s="20"/>
      <c r="X405" s="20"/>
      <c r="Y405" s="20"/>
      <c r="Z405" s="20"/>
      <c r="AA405" s="20"/>
      <c r="AB405" s="20"/>
      <c r="AD405" s="6"/>
      <c r="AE405" s="6"/>
      <c r="AF405" s="6"/>
      <c r="AG405" s="6"/>
      <c r="AH405" s="6"/>
      <c r="AI405" s="6"/>
      <c r="AJ405" s="6"/>
    </row>
    <row r="406" spans="1:36" x14ac:dyDescent="0.2">
      <c r="A406" s="37" t="s">
        <v>148</v>
      </c>
      <c r="B406" s="38" t="s">
        <v>149</v>
      </c>
      <c r="C406" s="14" t="s">
        <v>0</v>
      </c>
      <c r="D406" s="26"/>
      <c r="E406" s="26"/>
      <c r="F406" s="26"/>
      <c r="G406" s="26"/>
      <c r="H406" s="26"/>
      <c r="I406" s="26"/>
      <c r="J406" s="26">
        <v>0.77083333333333337</v>
      </c>
      <c r="K406" s="16"/>
      <c r="L406" s="6"/>
      <c r="M406" s="21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D406" s="6">
        <f>IF((D406&lt;&gt;"")*(D410=""),IF((D406&lt;=#REF!)*((D407&gt;=#REF!)+(D407&lt;2/24)),1,0),0)</f>
        <v>0</v>
      </c>
      <c r="AE406" s="6">
        <f>IF((E406&lt;&gt;"")*(E410=""),IF((E406&lt;=#REF!)*((E407&gt;=#REF!)+(E407&lt;2/24)),1,0),0)</f>
        <v>0</v>
      </c>
      <c r="AF406" s="6">
        <f>IF((F406&lt;&gt;"")*(F410=""),IF((F406&lt;=#REF!)*((F407&gt;=#REF!)+(F407&lt;2/24)),1,0),0)</f>
        <v>0</v>
      </c>
      <c r="AG406" s="6">
        <f>IF((G406&lt;&gt;"")*(G410=""),IF((G406&lt;=#REF!)*((G407&gt;=#REF!)+(G407&lt;2/24)),1,0),0)</f>
        <v>0</v>
      </c>
      <c r="AH406" s="6">
        <f>IF((H406&lt;&gt;"")*(H410=""),IF((H406&lt;=#REF!)*((H407&gt;=#REF!)+(H407&lt;2/24)),1,0),0)</f>
        <v>0</v>
      </c>
      <c r="AI406" s="6">
        <f>IF((I406&lt;&gt;"")*(I410=""),IF((I406&lt;=#REF!)*((I407&gt;=#REF!)+(I407&lt;2/24)),1,0),0)</f>
        <v>0</v>
      </c>
      <c r="AJ406" s="6" t="e">
        <f>IF((J406&lt;&gt;"")*(J410=""),IF((J406&lt;=#REF!)*((J407&gt;=#REF!)+(J407&lt;2/24)),1,0),0)</f>
        <v>#REF!</v>
      </c>
    </row>
    <row r="407" spans="1:36" x14ac:dyDescent="0.2">
      <c r="A407" s="39"/>
      <c r="B407" s="40"/>
      <c r="C407" s="15" t="s">
        <v>1</v>
      </c>
      <c r="D407" s="27"/>
      <c r="E407" s="27"/>
      <c r="F407" s="27"/>
      <c r="G407" s="27"/>
      <c r="H407" s="27"/>
      <c r="I407" s="27"/>
      <c r="J407" s="27">
        <v>0.95833333333333337</v>
      </c>
      <c r="K407" s="17"/>
      <c r="L407" s="6"/>
      <c r="M407" s="21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D407" s="6">
        <f>IF((D406&lt;&gt;"")*(D410=""),IF((D406&lt;=#REF!)*((D407&gt;=#REF!)+(D407&lt;2/24)),1,0),0)</f>
        <v>0</v>
      </c>
      <c r="AE407" s="6">
        <f>IF((E406&lt;&gt;"")*(E410=""),IF((E406&lt;=#REF!)*((E407&gt;=#REF!)+(E407&lt;2/24)),1,0),0)</f>
        <v>0</v>
      </c>
      <c r="AF407" s="6">
        <f>IF((F406&lt;&gt;"")*(F410=""),IF((F406&lt;=#REF!)*((F407&gt;=#REF!)+(F407&lt;2/24)),1,0),0)</f>
        <v>0</v>
      </c>
      <c r="AG407" s="6">
        <f>IF((G406&lt;&gt;"")*(G410=""),IF((G406&lt;=#REF!)*((G407&gt;=#REF!)+(G407&lt;2/24)),1,0),0)</f>
        <v>0</v>
      </c>
      <c r="AH407" s="6">
        <f>IF((H406&lt;&gt;"")*(H410=""),IF((H406&lt;=#REF!)*((H407&gt;=#REF!)+(H407&lt;2/24)),1,0),0)</f>
        <v>0</v>
      </c>
      <c r="AI407" s="6">
        <f>IF((I406&lt;&gt;"")*(I410=""),IF((I406&lt;=#REF!)*((I407&gt;=#REF!)+(I407&lt;2/24)),1,0),0)</f>
        <v>0</v>
      </c>
      <c r="AJ407" s="6" t="e">
        <f>IF((J406&lt;&gt;"")*(J410=""),IF((J406&lt;=#REF!)*((J407&gt;=#REF!)+(J407&lt;2/24)),1,0),0)</f>
        <v>#REF!</v>
      </c>
    </row>
    <row r="408" spans="1:36" x14ac:dyDescent="0.2">
      <c r="A408" s="39"/>
      <c r="B408" s="40"/>
      <c r="C408" s="15" t="s">
        <v>2</v>
      </c>
      <c r="D408" s="27"/>
      <c r="E408" s="27"/>
      <c r="F408" s="27"/>
      <c r="G408" s="27"/>
      <c r="H408" s="27"/>
      <c r="I408" s="27"/>
      <c r="J408" s="4"/>
      <c r="K408" s="17"/>
      <c r="L408" s="6"/>
      <c r="M408" s="21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D408" s="6">
        <f>IF((D406&lt;&gt;"")*(D410=""),IF((D406&lt;=#REF!)*((D407&gt;=#REF!)+(D407&lt;2/24)),1,0),0)</f>
        <v>0</v>
      </c>
      <c r="AE408" s="6">
        <f>IF((E406&lt;&gt;"")*(E410=""),IF((E406&lt;=#REF!)*((E407&gt;=#REF!)+(E407&lt;2/24)),1,0),0)</f>
        <v>0</v>
      </c>
      <c r="AF408" s="6">
        <f>IF((F406&lt;&gt;"")*(F410=""),IF((F406&lt;=#REF!)*((F407&gt;=#REF!)+(F407&lt;2/24)),1,0),0)</f>
        <v>0</v>
      </c>
      <c r="AG408" s="6">
        <f>IF((G406&lt;&gt;"")*(G410=""),IF((G406&lt;=#REF!)*((G407&gt;=#REF!)+(G407&lt;2/24)),1,0),0)</f>
        <v>0</v>
      </c>
      <c r="AH408" s="6">
        <f>IF((H406&lt;&gt;"")*(H410=""),IF((H406&lt;=#REF!)*((H407&gt;=#REF!)+(H407&lt;2/24)),1,0),0)</f>
        <v>0</v>
      </c>
      <c r="AI408" s="6">
        <f>IF((I406&lt;&gt;"")*(I410=""),IF((I406&lt;=#REF!)*((I407&gt;=#REF!)+(I407&lt;2/24)),1,0),0)</f>
        <v>0</v>
      </c>
      <c r="AJ408" s="6" t="e">
        <f>IF((J406&lt;&gt;"")*(J410=""),IF((J406&lt;=#REF!)*((J407&gt;=#REF!)+(J407&lt;2/24)),1,0),0)</f>
        <v>#REF!</v>
      </c>
    </row>
    <row r="409" spans="1:36" x14ac:dyDescent="0.2">
      <c r="A409" s="39"/>
      <c r="B409" s="40"/>
      <c r="C409" s="15" t="s">
        <v>3</v>
      </c>
      <c r="D409" s="57" t="str">
        <f t="shared" ref="D409:G409" si="420">IF(D406="","",IF(D407&gt;D406,(D407-D406-D408)*24,(1-D406-D408+D407)*24))</f>
        <v/>
      </c>
      <c r="E409" s="43" t="str">
        <f t="shared" si="420"/>
        <v/>
      </c>
      <c r="F409" s="43" t="str">
        <f t="shared" si="420"/>
        <v/>
      </c>
      <c r="G409" s="43" t="str">
        <f t="shared" si="420"/>
        <v/>
      </c>
      <c r="H409" s="43"/>
      <c r="I409" s="43"/>
      <c r="J409" s="44">
        <f t="shared" ref="J409" si="421">IF(J406="","",IF(J407&gt;J406,(J407-J406-J408)*24,(1-J406-J408+J407)*24))</f>
        <v>4.5</v>
      </c>
      <c r="K409" s="18">
        <f>SUMIF(D410:J410,"",D409:J409)</f>
        <v>4.5</v>
      </c>
      <c r="L409" s="12">
        <f>SUM(D409:J409)</f>
        <v>4.5</v>
      </c>
      <c r="M409" s="24"/>
      <c r="N409" s="10" t="str">
        <f t="shared" ref="N409" si="422">IF(D410="",D409,0)</f>
        <v/>
      </c>
      <c r="O409" s="10" t="str">
        <f t="shared" ref="O409" si="423">IF(E410="",E409,0)</f>
        <v/>
      </c>
      <c r="P409" s="10" t="str">
        <f t="shared" ref="P409" si="424">IF(F410="",F409,0)</f>
        <v/>
      </c>
      <c r="Q409" s="10" t="str">
        <f t="shared" ref="Q409" si="425">IF(G410="",G409,0)</f>
        <v/>
      </c>
      <c r="R409" s="10">
        <f t="shared" ref="R409" si="426">IF(H410="",H409,0)</f>
        <v>0</v>
      </c>
      <c r="S409" s="10">
        <f t="shared" ref="S409" si="427">IF(I410="",I409,0)</f>
        <v>0</v>
      </c>
      <c r="T409" s="10">
        <f t="shared" ref="T409" si="428">IF(J410="",J409,0)</f>
        <v>4.5</v>
      </c>
      <c r="U409" s="10"/>
      <c r="V409" s="10" t="str">
        <f t="shared" ref="V409" si="429">D409</f>
        <v/>
      </c>
      <c r="W409" s="10" t="str">
        <f t="shared" ref="W409" si="430">E409</f>
        <v/>
      </c>
      <c r="X409" s="10" t="str">
        <f t="shared" ref="X409" si="431">F409</f>
        <v/>
      </c>
      <c r="Y409" s="10" t="str">
        <f t="shared" ref="Y409" si="432">G409</f>
        <v/>
      </c>
      <c r="Z409" s="10">
        <f t="shared" ref="Z409" si="433">H409</f>
        <v>0</v>
      </c>
      <c r="AA409" s="10">
        <f t="shared" ref="AA409" si="434">I409</f>
        <v>0</v>
      </c>
      <c r="AB409" s="10">
        <f t="shared" ref="AB409" si="435">J409</f>
        <v>4.5</v>
      </c>
      <c r="AD409" s="6">
        <f>IF((D406&lt;&gt;"")*(D410=""),IF((D406&lt;=#REF!)*((D407&gt;=#REF!)+(D407&lt;2/24)),1,0),0)</f>
        <v>0</v>
      </c>
      <c r="AE409" s="6">
        <f>IF((E406&lt;&gt;"")*(E410=""),IF((E406&lt;=#REF!)*((E407&gt;=#REF!)+(E407&lt;2/24)),1,0),0)</f>
        <v>0</v>
      </c>
      <c r="AF409" s="6">
        <f>IF((F406&lt;&gt;"")*(F410=""),IF((F406&lt;=#REF!)*((F407&gt;=#REF!)+(F407&lt;2/24)),1,0),0)</f>
        <v>0</v>
      </c>
      <c r="AG409" s="6">
        <f>IF((G406&lt;&gt;"")*(G410=""),IF((G406&lt;=#REF!)*((G407&gt;=#REF!)+(G407&lt;2/24)),1,0),0)</f>
        <v>0</v>
      </c>
      <c r="AH409" s="6">
        <f>IF((H406&lt;&gt;"")*(H410=""),IF((H406&lt;=#REF!)*((H407&gt;=#REF!)+(H407&lt;2/24)),1,0),0)</f>
        <v>0</v>
      </c>
      <c r="AI409" s="6">
        <f>IF((I406&lt;&gt;"")*(I410=""),IF((I406&lt;=#REF!)*((I407&gt;=#REF!)+(I407&lt;2/24)),1,0),0)</f>
        <v>0</v>
      </c>
      <c r="AJ409" s="6" t="e">
        <f>IF((J406&lt;&gt;"")*(J410=""),IF((J406&lt;=#REF!)*((J407&gt;=#REF!)+(J407&lt;2/24)),1,0),0)</f>
        <v>#REF!</v>
      </c>
    </row>
    <row r="410" spans="1:36" x14ac:dyDescent="0.2">
      <c r="A410" s="39"/>
      <c r="B410" s="40"/>
      <c r="C410" s="32" t="s">
        <v>4</v>
      </c>
      <c r="D410" s="33"/>
      <c r="E410" s="33"/>
      <c r="F410" s="33"/>
      <c r="G410" s="33"/>
      <c r="H410" s="33"/>
      <c r="I410" s="33"/>
      <c r="J410" s="33"/>
      <c r="K410" s="17"/>
      <c r="L410" s="6"/>
      <c r="M410" s="25"/>
      <c r="N410" s="6"/>
      <c r="O410" s="6"/>
      <c r="P410" s="6"/>
      <c r="Q410" s="6"/>
      <c r="R410" s="6"/>
      <c r="S410" s="6"/>
      <c r="T410" s="6"/>
      <c r="U410" s="6"/>
      <c r="V410" s="20"/>
      <c r="W410" s="20"/>
      <c r="X410" s="20"/>
      <c r="Y410" s="20"/>
      <c r="Z410" s="20"/>
      <c r="AA410" s="20"/>
      <c r="AB410" s="20"/>
      <c r="AD410" s="6">
        <f>IF((D406&lt;&gt;"")*(D410=""),IF((D406&lt;=#REF!)*((D407&gt;=#REF!)+(D407&lt;2/24)),1,0),0)</f>
        <v>0</v>
      </c>
      <c r="AE410" s="6">
        <f>IF((E406&lt;&gt;"")*(E410=""),IF((E406&lt;=#REF!)*((E407&gt;=#REF!)+(E407&lt;2/24)),1,0),0)</f>
        <v>0</v>
      </c>
      <c r="AF410" s="6">
        <f>IF((F406&lt;&gt;"")*(F410=""),IF((F406&lt;=#REF!)*((F407&gt;=#REF!)+(F407&lt;2/24)),1,0),0)</f>
        <v>0</v>
      </c>
      <c r="AG410" s="6">
        <f>IF((G406&lt;&gt;"")*(G410=""),IF((G406&lt;=#REF!)*((G407&gt;=#REF!)+(G407&lt;2/24)),1,0),0)</f>
        <v>0</v>
      </c>
      <c r="AH410" s="6">
        <f>IF((H406&lt;&gt;"")*(H410=""),IF((H406&lt;=#REF!)*((H407&gt;=#REF!)+(H407&lt;2/24)),1,0),0)</f>
        <v>0</v>
      </c>
      <c r="AI410" s="6">
        <f>IF((I406&lt;&gt;"")*(I410=""),IF((I406&lt;=#REF!)*((I407&gt;=#REF!)+(I407&lt;2/24)),1,0),0)</f>
        <v>0</v>
      </c>
      <c r="AJ410" s="6" t="e">
        <f>IF((J406&lt;&gt;"")*(J410=""),IF((J406&lt;=#REF!)*((J407&gt;=#REF!)+(J407&lt;2/24)),1,0),0)</f>
        <v>#REF!</v>
      </c>
    </row>
    <row r="411" spans="1:36" ht="13.5" thickBot="1" x14ac:dyDescent="0.25">
      <c r="A411" s="41"/>
      <c r="B411" s="42"/>
      <c r="C411" s="35" t="s">
        <v>28</v>
      </c>
      <c r="D411" s="36"/>
      <c r="E411" s="36"/>
      <c r="F411" s="36"/>
      <c r="G411" s="36"/>
      <c r="H411" s="36"/>
      <c r="I411" s="36"/>
      <c r="J411" s="36"/>
      <c r="K411" s="34"/>
      <c r="L411" s="6"/>
      <c r="M411" s="25"/>
      <c r="N411" s="6"/>
      <c r="O411" s="6"/>
      <c r="P411" s="6"/>
      <c r="Q411" s="6"/>
      <c r="R411" s="6"/>
      <c r="S411" s="6"/>
      <c r="T411" s="6"/>
      <c r="U411" s="6"/>
      <c r="V411" s="20"/>
      <c r="W411" s="20"/>
      <c r="X411" s="20"/>
      <c r="Y411" s="20"/>
      <c r="Z411" s="20"/>
      <c r="AA411" s="20"/>
      <c r="AB411" s="20"/>
      <c r="AD411" s="6"/>
      <c r="AE411" s="6"/>
      <c r="AF411" s="6"/>
      <c r="AG411" s="6"/>
      <c r="AH411" s="6"/>
      <c r="AI411" s="6"/>
      <c r="AJ411" s="6"/>
    </row>
    <row r="412" spans="1:36" x14ac:dyDescent="0.2">
      <c r="A412" s="37" t="s">
        <v>52</v>
      </c>
      <c r="B412" s="38" t="s">
        <v>51</v>
      </c>
      <c r="C412" s="14" t="s">
        <v>0</v>
      </c>
      <c r="D412" s="26"/>
      <c r="E412" s="26"/>
      <c r="F412" s="26">
        <v>0.77083333333333337</v>
      </c>
      <c r="G412" s="26">
        <v>0.77083333333333337</v>
      </c>
      <c r="H412" s="26"/>
      <c r="I412" s="26"/>
      <c r="J412" s="26"/>
      <c r="K412" s="16"/>
      <c r="L412" s="6"/>
      <c r="M412" s="21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D412" s="6">
        <f>IF((D412&lt;&gt;"")*(D416=""),IF((D412&lt;=#REF!)*((D413&gt;=#REF!)+(D413&lt;2/24)),1,0),0)</f>
        <v>0</v>
      </c>
      <c r="AE412" s="6">
        <f>IF((E412&lt;&gt;"")*(E416=""),IF((E412&lt;=#REF!)*((E413&gt;=#REF!)+(E413&lt;2/24)),1,0),0)</f>
        <v>0</v>
      </c>
      <c r="AF412" s="6" t="e">
        <f>IF((F412&lt;&gt;"")*(F416=""),IF((F412&lt;=#REF!)*((F413&gt;=#REF!)+(F413&lt;2/24)),1,0),0)</f>
        <v>#REF!</v>
      </c>
      <c r="AG412" s="6" t="e">
        <f>IF((G412&lt;&gt;"")*(G416=""),IF((G412&lt;=#REF!)*((G413&gt;=#REF!)+(G413&lt;2/24)),1,0),0)</f>
        <v>#REF!</v>
      </c>
      <c r="AH412" s="6">
        <f>IF((H412&lt;&gt;"")*(H416=""),IF((H412&lt;=#REF!)*((H413&gt;=#REF!)+(H413&lt;2/24)),1,0),0)</f>
        <v>0</v>
      </c>
      <c r="AI412" s="6">
        <f>IF((I412&lt;&gt;"")*(I416=""),IF((I412&lt;=#REF!)*((I413&gt;=#REF!)+(I413&lt;2/24)),1,0),0)</f>
        <v>0</v>
      </c>
      <c r="AJ412" s="6">
        <f>IF((J412&lt;&gt;"")*(J416=""),IF((J412&lt;=#REF!)*((J413&gt;=#REF!)+(J413&lt;2/24)),1,0),0)</f>
        <v>0</v>
      </c>
    </row>
    <row r="413" spans="1:36" x14ac:dyDescent="0.2">
      <c r="A413" s="39"/>
      <c r="B413" s="40"/>
      <c r="C413" s="15" t="s">
        <v>1</v>
      </c>
      <c r="D413" s="27"/>
      <c r="E413" s="27"/>
      <c r="F413" s="27">
        <v>0.95833333333333337</v>
      </c>
      <c r="G413" s="27">
        <v>0.95833333333333337</v>
      </c>
      <c r="H413" s="27"/>
      <c r="I413" s="27"/>
      <c r="J413" s="27"/>
      <c r="K413" s="17"/>
      <c r="L413" s="6"/>
      <c r="M413" s="21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D413" s="6">
        <f>IF((D412&lt;&gt;"")*(D416=""),IF((D412&lt;=#REF!)*((D413&gt;=#REF!)+(D413&lt;2/24)),1,0),0)</f>
        <v>0</v>
      </c>
      <c r="AE413" s="6">
        <f>IF((E412&lt;&gt;"")*(E416=""),IF((E412&lt;=#REF!)*((E413&gt;=#REF!)+(E413&lt;2/24)),1,0),0)</f>
        <v>0</v>
      </c>
      <c r="AF413" s="6" t="e">
        <f>IF((F412&lt;&gt;"")*(F416=""),IF((F412&lt;=#REF!)*((F413&gt;=#REF!)+(F413&lt;2/24)),1,0),0)</f>
        <v>#REF!</v>
      </c>
      <c r="AG413" s="6" t="e">
        <f>IF((G412&lt;&gt;"")*(G416=""),IF((G412&lt;=#REF!)*((G413&gt;=#REF!)+(G413&lt;2/24)),1,0),0)</f>
        <v>#REF!</v>
      </c>
      <c r="AH413" s="6">
        <f>IF((H412&lt;&gt;"")*(H416=""),IF((H412&lt;=#REF!)*((H413&gt;=#REF!)+(H413&lt;2/24)),1,0),0)</f>
        <v>0</v>
      </c>
      <c r="AI413" s="6">
        <f>IF((I412&lt;&gt;"")*(I416=""),IF((I412&lt;=#REF!)*((I413&gt;=#REF!)+(I413&lt;2/24)),1,0),0)</f>
        <v>0</v>
      </c>
      <c r="AJ413" s="6">
        <f>IF((J412&lt;&gt;"")*(J416=""),IF((J412&lt;=#REF!)*((J413&gt;=#REF!)+(J413&lt;2/24)),1,0),0)</f>
        <v>0</v>
      </c>
    </row>
    <row r="414" spans="1:36" x14ac:dyDescent="0.2">
      <c r="A414" s="39"/>
      <c r="B414" s="40"/>
      <c r="C414" s="15" t="s">
        <v>2</v>
      </c>
      <c r="D414" s="27"/>
      <c r="E414" s="27"/>
      <c r="F414" s="27"/>
      <c r="G414" s="27"/>
      <c r="H414" s="27"/>
      <c r="I414" s="27"/>
      <c r="J414" s="4"/>
      <c r="K414" s="17"/>
      <c r="L414" s="6"/>
      <c r="M414" s="21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D414" s="6">
        <f>IF((D412&lt;&gt;"")*(D416=""),IF((D412&lt;=#REF!)*((D413&gt;=#REF!)+(D413&lt;2/24)),1,0),0)</f>
        <v>0</v>
      </c>
      <c r="AE414" s="6">
        <f>IF((E412&lt;&gt;"")*(E416=""),IF((E412&lt;=#REF!)*((E413&gt;=#REF!)+(E413&lt;2/24)),1,0),0)</f>
        <v>0</v>
      </c>
      <c r="AF414" s="6" t="e">
        <f>IF((F412&lt;&gt;"")*(F416=""),IF((F412&lt;=#REF!)*((F413&gt;=#REF!)+(F413&lt;2/24)),1,0),0)</f>
        <v>#REF!</v>
      </c>
      <c r="AG414" s="6" t="e">
        <f>IF((G412&lt;&gt;"")*(G416=""),IF((G412&lt;=#REF!)*((G413&gt;=#REF!)+(G413&lt;2/24)),1,0),0)</f>
        <v>#REF!</v>
      </c>
      <c r="AH414" s="6">
        <f>IF((H412&lt;&gt;"")*(H416=""),IF((H412&lt;=#REF!)*((H413&gt;=#REF!)+(H413&lt;2/24)),1,0),0)</f>
        <v>0</v>
      </c>
      <c r="AI414" s="6">
        <f>IF((I412&lt;&gt;"")*(I416=""),IF((I412&lt;=#REF!)*((I413&gt;=#REF!)+(I413&lt;2/24)),1,0),0)</f>
        <v>0</v>
      </c>
      <c r="AJ414" s="6">
        <f>IF((J412&lt;&gt;"")*(J416=""),IF((J412&lt;=#REF!)*((J413&gt;=#REF!)+(J413&lt;2/24)),1,0),0)</f>
        <v>0</v>
      </c>
    </row>
    <row r="415" spans="1:36" x14ac:dyDescent="0.2">
      <c r="A415" s="39"/>
      <c r="B415" s="40"/>
      <c r="C415" s="15" t="s">
        <v>3</v>
      </c>
      <c r="D415" s="57" t="str">
        <f t="shared" ref="D415:J415" si="436">IF(D412="","",IF(D413&gt;D412,(D413-D412-D414)*24,(1-D412-D414+D413)*24))</f>
        <v/>
      </c>
      <c r="E415" s="43" t="str">
        <f t="shared" si="436"/>
        <v/>
      </c>
      <c r="F415" s="43">
        <f t="shared" si="436"/>
        <v>4.5</v>
      </c>
      <c r="G415" s="43">
        <f t="shared" si="436"/>
        <v>4.5</v>
      </c>
      <c r="H415" s="43"/>
      <c r="I415" s="43"/>
      <c r="J415" s="44" t="str">
        <f t="shared" si="436"/>
        <v/>
      </c>
      <c r="K415" s="18">
        <f>SUMIF(D416:J416,"",D415:J415)</f>
        <v>9</v>
      </c>
      <c r="L415" s="12">
        <f>SUM(D415:J415)</f>
        <v>9</v>
      </c>
      <c r="M415" s="24"/>
      <c r="N415" s="10" t="str">
        <f t="shared" ref="N415:T415" si="437">IF(D416="",D415,0)</f>
        <v/>
      </c>
      <c r="O415" s="10" t="str">
        <f t="shared" si="437"/>
        <v/>
      </c>
      <c r="P415" s="10">
        <f t="shared" si="437"/>
        <v>4.5</v>
      </c>
      <c r="Q415" s="10">
        <f t="shared" si="437"/>
        <v>4.5</v>
      </c>
      <c r="R415" s="10">
        <f t="shared" si="437"/>
        <v>0</v>
      </c>
      <c r="S415" s="10">
        <f t="shared" si="437"/>
        <v>0</v>
      </c>
      <c r="T415" s="10" t="str">
        <f t="shared" si="437"/>
        <v/>
      </c>
      <c r="U415" s="10"/>
      <c r="V415" s="10" t="str">
        <f t="shared" ref="V415:AB415" si="438">D415</f>
        <v/>
      </c>
      <c r="W415" s="10" t="str">
        <f t="shared" si="438"/>
        <v/>
      </c>
      <c r="X415" s="10">
        <f t="shared" si="438"/>
        <v>4.5</v>
      </c>
      <c r="Y415" s="10">
        <f t="shared" si="438"/>
        <v>4.5</v>
      </c>
      <c r="Z415" s="10">
        <f t="shared" si="438"/>
        <v>0</v>
      </c>
      <c r="AA415" s="10">
        <f t="shared" si="438"/>
        <v>0</v>
      </c>
      <c r="AB415" s="10" t="str">
        <f t="shared" si="438"/>
        <v/>
      </c>
      <c r="AD415" s="6">
        <f>IF((D412&lt;&gt;"")*(D416=""),IF((D412&lt;=#REF!)*((D413&gt;=#REF!)+(D413&lt;2/24)),1,0),0)</f>
        <v>0</v>
      </c>
      <c r="AE415" s="6">
        <f>IF((E412&lt;&gt;"")*(E416=""),IF((E412&lt;=#REF!)*((E413&gt;=#REF!)+(E413&lt;2/24)),1,0),0)</f>
        <v>0</v>
      </c>
      <c r="AF415" s="6" t="e">
        <f>IF((F412&lt;&gt;"")*(F416=""),IF((F412&lt;=#REF!)*((F413&gt;=#REF!)+(F413&lt;2/24)),1,0),0)</f>
        <v>#REF!</v>
      </c>
      <c r="AG415" s="6" t="e">
        <f>IF((G412&lt;&gt;"")*(G416=""),IF((G412&lt;=#REF!)*((G413&gt;=#REF!)+(G413&lt;2/24)),1,0),0)</f>
        <v>#REF!</v>
      </c>
      <c r="AH415" s="6">
        <f>IF((H412&lt;&gt;"")*(H416=""),IF((H412&lt;=#REF!)*((H413&gt;=#REF!)+(H413&lt;2/24)),1,0),0)</f>
        <v>0</v>
      </c>
      <c r="AI415" s="6">
        <f>IF((I412&lt;&gt;"")*(I416=""),IF((I412&lt;=#REF!)*((I413&gt;=#REF!)+(I413&lt;2/24)),1,0),0)</f>
        <v>0</v>
      </c>
      <c r="AJ415" s="6">
        <f>IF((J412&lt;&gt;"")*(J416=""),IF((J412&lt;=#REF!)*((J413&gt;=#REF!)+(J413&lt;2/24)),1,0),0)</f>
        <v>0</v>
      </c>
    </row>
    <row r="416" spans="1:36" x14ac:dyDescent="0.2">
      <c r="A416" s="39"/>
      <c r="B416" s="40"/>
      <c r="C416" s="32" t="s">
        <v>4</v>
      </c>
      <c r="D416" s="33"/>
      <c r="E416" s="33"/>
      <c r="F416" s="33"/>
      <c r="G416" s="33"/>
      <c r="H416" s="33"/>
      <c r="I416" s="33"/>
      <c r="J416" s="33"/>
      <c r="K416" s="17"/>
      <c r="L416" s="6"/>
      <c r="M416" s="25"/>
      <c r="N416" s="6"/>
      <c r="O416" s="6"/>
      <c r="P416" s="6"/>
      <c r="Q416" s="6"/>
      <c r="R416" s="6"/>
      <c r="S416" s="6"/>
      <c r="T416" s="6"/>
      <c r="U416" s="6"/>
      <c r="V416" s="20"/>
      <c r="W416" s="20"/>
      <c r="X416" s="20"/>
      <c r="Y416" s="20"/>
      <c r="Z416" s="20"/>
      <c r="AA416" s="20"/>
      <c r="AB416" s="20"/>
      <c r="AD416" s="6">
        <f>IF((D412&lt;&gt;"")*(D416=""),IF((D412&lt;=#REF!)*((D413&gt;=#REF!)+(D413&lt;2/24)),1,0),0)</f>
        <v>0</v>
      </c>
      <c r="AE416" s="6">
        <f>IF((E412&lt;&gt;"")*(E416=""),IF((E412&lt;=#REF!)*((E413&gt;=#REF!)+(E413&lt;2/24)),1,0),0)</f>
        <v>0</v>
      </c>
      <c r="AF416" s="6" t="e">
        <f>IF((F412&lt;&gt;"")*(F416=""),IF((F412&lt;=#REF!)*((F413&gt;=#REF!)+(F413&lt;2/24)),1,0),0)</f>
        <v>#REF!</v>
      </c>
      <c r="AG416" s="6" t="e">
        <f>IF((G412&lt;&gt;"")*(G416=""),IF((G412&lt;=#REF!)*((G413&gt;=#REF!)+(G413&lt;2/24)),1,0),0)</f>
        <v>#REF!</v>
      </c>
      <c r="AH416" s="6">
        <f>IF((H412&lt;&gt;"")*(H416=""),IF((H412&lt;=#REF!)*((H413&gt;=#REF!)+(H413&lt;2/24)),1,0),0)</f>
        <v>0</v>
      </c>
      <c r="AI416" s="6">
        <f>IF((I412&lt;&gt;"")*(I416=""),IF((I412&lt;=#REF!)*((I413&gt;=#REF!)+(I413&lt;2/24)),1,0),0)</f>
        <v>0</v>
      </c>
      <c r="AJ416" s="6">
        <f>IF((J412&lt;&gt;"")*(J416=""),IF((J412&lt;=#REF!)*((J413&gt;=#REF!)+(J413&lt;2/24)),1,0),0)</f>
        <v>0</v>
      </c>
    </row>
    <row r="417" spans="1:36" ht="13.5" thickBot="1" x14ac:dyDescent="0.25">
      <c r="A417" s="41"/>
      <c r="B417" s="42"/>
      <c r="C417" s="35" t="s">
        <v>28</v>
      </c>
      <c r="D417" s="36"/>
      <c r="E417" s="36"/>
      <c r="F417" s="36" t="s">
        <v>160</v>
      </c>
      <c r="G417" s="36"/>
      <c r="H417" s="36"/>
      <c r="I417" s="36"/>
      <c r="J417" s="36"/>
      <c r="K417" s="34"/>
      <c r="L417" s="6"/>
      <c r="M417" s="25"/>
      <c r="N417" s="6"/>
      <c r="O417" s="6"/>
      <c r="P417" s="6"/>
      <c r="Q417" s="6"/>
      <c r="R417" s="6"/>
      <c r="S417" s="6"/>
      <c r="T417" s="6"/>
      <c r="U417" s="6"/>
      <c r="V417" s="20"/>
      <c r="W417" s="20"/>
      <c r="X417" s="20"/>
      <c r="Y417" s="20"/>
      <c r="Z417" s="20"/>
      <c r="AA417" s="20"/>
      <c r="AB417" s="20"/>
      <c r="AD417" s="6"/>
      <c r="AE417" s="6"/>
      <c r="AF417" s="6"/>
      <c r="AG417" s="6"/>
      <c r="AH417" s="6"/>
      <c r="AI417" s="6"/>
      <c r="AJ417" s="6"/>
    </row>
    <row r="418" spans="1:36" x14ac:dyDescent="0.2">
      <c r="A418" s="37" t="s">
        <v>119</v>
      </c>
      <c r="B418" s="38" t="s">
        <v>45</v>
      </c>
      <c r="C418" s="14" t="s">
        <v>0</v>
      </c>
      <c r="D418" s="26"/>
      <c r="E418" s="26"/>
      <c r="F418" s="26"/>
      <c r="G418" s="26"/>
      <c r="H418" s="26"/>
      <c r="I418" s="26"/>
      <c r="J418" s="26"/>
      <c r="K418" s="16"/>
      <c r="L418" s="6"/>
      <c r="M418" s="21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D418" s="6">
        <f>IF((D418&lt;&gt;"")*(D422=""),IF((D418&lt;=#REF!)*((D419&gt;=#REF!)+(D419&lt;2/24)),1,0),0)</f>
        <v>0</v>
      </c>
      <c r="AE418" s="6">
        <f>IF((E418&lt;&gt;"")*(E422=""),IF((E418&lt;=#REF!)*((E419&gt;=#REF!)+(E419&lt;2/24)),1,0),0)</f>
        <v>0</v>
      </c>
      <c r="AF418" s="6">
        <f>IF((F418&lt;&gt;"")*(F422=""),IF((F418&lt;=#REF!)*((F419&gt;=#REF!)+(F419&lt;2/24)),1,0),0)</f>
        <v>0</v>
      </c>
      <c r="AG418" s="6">
        <f>IF((G418&lt;&gt;"")*(G422=""),IF((G418&lt;=#REF!)*((G419&gt;=#REF!)+(G419&lt;2/24)),1,0),0)</f>
        <v>0</v>
      </c>
      <c r="AH418" s="6">
        <f>IF((H418&lt;&gt;"")*(H422=""),IF((H418&lt;=#REF!)*((H419&gt;=#REF!)+(H419&lt;2/24)),1,0),0)</f>
        <v>0</v>
      </c>
      <c r="AI418" s="6">
        <f>IF((I418&lt;&gt;"")*(I422=""),IF((I418&lt;=#REF!)*((I419&gt;=#REF!)+(I419&lt;2/24)),1,0),0)</f>
        <v>0</v>
      </c>
      <c r="AJ418" s="6">
        <f>IF((J418&lt;&gt;"")*(J422=""),IF((J418&lt;=#REF!)*((J419&gt;=#REF!)+(J419&lt;2/24)),1,0),0)</f>
        <v>0</v>
      </c>
    </row>
    <row r="419" spans="1:36" x14ac:dyDescent="0.2">
      <c r="A419" s="39"/>
      <c r="B419" s="40"/>
      <c r="C419" s="15" t="s">
        <v>1</v>
      </c>
      <c r="D419" s="27"/>
      <c r="E419" s="27"/>
      <c r="F419" s="27"/>
      <c r="G419" s="27"/>
      <c r="H419" s="27"/>
      <c r="I419" s="27"/>
      <c r="J419" s="27"/>
      <c r="K419" s="17"/>
      <c r="L419" s="6"/>
      <c r="M419" s="21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D419" s="6">
        <f>IF((D418&lt;&gt;"")*(D422=""),IF((D418&lt;=#REF!)*((D419&gt;=#REF!)+(D419&lt;2/24)),1,0),0)</f>
        <v>0</v>
      </c>
      <c r="AE419" s="6">
        <f>IF((E418&lt;&gt;"")*(E422=""),IF((E418&lt;=#REF!)*((E419&gt;=#REF!)+(E419&lt;2/24)),1,0),0)</f>
        <v>0</v>
      </c>
      <c r="AF419" s="6">
        <f>IF((F418&lt;&gt;"")*(F422=""),IF((F418&lt;=#REF!)*((F419&gt;=#REF!)+(F419&lt;2/24)),1,0),0)</f>
        <v>0</v>
      </c>
      <c r="AG419" s="6">
        <f>IF((G418&lt;&gt;"")*(G422=""),IF((G418&lt;=#REF!)*((G419&gt;=#REF!)+(G419&lt;2/24)),1,0),0)</f>
        <v>0</v>
      </c>
      <c r="AH419" s="6">
        <f>IF((H418&lt;&gt;"")*(H422=""),IF((H418&lt;=#REF!)*((H419&gt;=#REF!)+(H419&lt;2/24)),1,0),0)</f>
        <v>0</v>
      </c>
      <c r="AI419" s="6">
        <f>IF((I418&lt;&gt;"")*(I422=""),IF((I418&lt;=#REF!)*((I419&gt;=#REF!)+(I419&lt;2/24)),1,0),0)</f>
        <v>0</v>
      </c>
      <c r="AJ419" s="6">
        <f>IF((J418&lt;&gt;"")*(J422=""),IF((J418&lt;=#REF!)*((J419&gt;=#REF!)+(J419&lt;2/24)),1,0),0)</f>
        <v>0</v>
      </c>
    </row>
    <row r="420" spans="1:36" x14ac:dyDescent="0.2">
      <c r="A420" s="39"/>
      <c r="B420" s="40"/>
      <c r="C420" s="15" t="s">
        <v>2</v>
      </c>
      <c r="D420" s="27"/>
      <c r="E420" s="27"/>
      <c r="F420" s="27"/>
      <c r="G420" s="27"/>
      <c r="H420" s="27"/>
      <c r="I420" s="27"/>
      <c r="J420" s="4"/>
      <c r="K420" s="17"/>
      <c r="L420" s="6"/>
      <c r="M420" s="21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D420" s="6">
        <f>IF((D418&lt;&gt;"")*(D422=""),IF((D418&lt;=#REF!)*((D419&gt;=#REF!)+(D419&lt;2/24)),1,0),0)</f>
        <v>0</v>
      </c>
      <c r="AE420" s="6">
        <f>IF((E418&lt;&gt;"")*(E422=""),IF((E418&lt;=#REF!)*((E419&gt;=#REF!)+(E419&lt;2/24)),1,0),0)</f>
        <v>0</v>
      </c>
      <c r="AF420" s="6">
        <f>IF((F418&lt;&gt;"")*(F422=""),IF((F418&lt;=#REF!)*((F419&gt;=#REF!)+(F419&lt;2/24)),1,0),0)</f>
        <v>0</v>
      </c>
      <c r="AG420" s="6">
        <f>IF((G418&lt;&gt;"")*(G422=""),IF((G418&lt;=#REF!)*((G419&gt;=#REF!)+(G419&lt;2/24)),1,0),0)</f>
        <v>0</v>
      </c>
      <c r="AH420" s="6">
        <f>IF((H418&lt;&gt;"")*(H422=""),IF((H418&lt;=#REF!)*((H419&gt;=#REF!)+(H419&lt;2/24)),1,0),0)</f>
        <v>0</v>
      </c>
      <c r="AI420" s="6">
        <f>IF((I418&lt;&gt;"")*(I422=""),IF((I418&lt;=#REF!)*((I419&gt;=#REF!)+(I419&lt;2/24)),1,0),0)</f>
        <v>0</v>
      </c>
      <c r="AJ420" s="6">
        <f>IF((J418&lt;&gt;"")*(J422=""),IF((J418&lt;=#REF!)*((J419&gt;=#REF!)+(J419&lt;2/24)),1,0),0)</f>
        <v>0</v>
      </c>
    </row>
    <row r="421" spans="1:36" x14ac:dyDescent="0.2">
      <c r="A421" s="39"/>
      <c r="B421" s="40"/>
      <c r="C421" s="15" t="s">
        <v>3</v>
      </c>
      <c r="D421" s="57" t="str">
        <f t="shared" ref="D421:J421" si="439">IF(D418="","",IF(D419&gt;D418,(D419-D418-D420)*24,(1-D418-D420+D419)*24))</f>
        <v/>
      </c>
      <c r="E421" s="43" t="str">
        <f t="shared" si="439"/>
        <v/>
      </c>
      <c r="F421" s="43" t="str">
        <f t="shared" si="439"/>
        <v/>
      </c>
      <c r="G421" s="43" t="str">
        <f t="shared" si="439"/>
        <v/>
      </c>
      <c r="H421" s="43" t="str">
        <f t="shared" si="439"/>
        <v/>
      </c>
      <c r="I421" s="57" t="str">
        <f t="shared" si="439"/>
        <v/>
      </c>
      <c r="J421" s="44" t="str">
        <f t="shared" si="439"/>
        <v/>
      </c>
      <c r="K421" s="18">
        <f>SUMIF(D422:J422,"",D421:J421)</f>
        <v>0</v>
      </c>
      <c r="L421" s="12">
        <f>SUM(D421:J421)</f>
        <v>0</v>
      </c>
      <c r="M421" s="24"/>
      <c r="N421" s="10" t="str">
        <f t="shared" ref="N421" si="440">IF(D422="",D421,0)</f>
        <v/>
      </c>
      <c r="O421" s="10" t="str">
        <f t="shared" ref="O421" si="441">IF(E422="",E421,0)</f>
        <v/>
      </c>
      <c r="P421" s="10" t="str">
        <f t="shared" ref="P421" si="442">IF(F422="",F421,0)</f>
        <v/>
      </c>
      <c r="Q421" s="10" t="str">
        <f t="shared" ref="Q421" si="443">IF(G422="",G421,0)</f>
        <v/>
      </c>
      <c r="R421" s="10" t="str">
        <f t="shared" ref="R421" si="444">IF(H422="",H421,0)</f>
        <v/>
      </c>
      <c r="S421" s="10" t="str">
        <f t="shared" ref="S421" si="445">IF(I422="",I421,0)</f>
        <v/>
      </c>
      <c r="T421" s="10" t="str">
        <f t="shared" ref="T421" si="446">IF(J422="",J421,0)</f>
        <v/>
      </c>
      <c r="U421" s="10"/>
      <c r="V421" s="10" t="str">
        <f t="shared" ref="V421" si="447">D421</f>
        <v/>
      </c>
      <c r="W421" s="10" t="str">
        <f t="shared" ref="W421" si="448">E421</f>
        <v/>
      </c>
      <c r="X421" s="10" t="str">
        <f t="shared" ref="X421" si="449">F421</f>
        <v/>
      </c>
      <c r="Y421" s="10" t="str">
        <f t="shared" ref="Y421" si="450">G421</f>
        <v/>
      </c>
      <c r="Z421" s="10" t="str">
        <f t="shared" ref="Z421" si="451">H421</f>
        <v/>
      </c>
      <c r="AA421" s="10" t="str">
        <f t="shared" ref="AA421" si="452">I421</f>
        <v/>
      </c>
      <c r="AB421" s="10" t="str">
        <f t="shared" ref="AB421" si="453">J421</f>
        <v/>
      </c>
      <c r="AD421" s="6">
        <f>IF((D418&lt;&gt;"")*(D422=""),IF((D418&lt;=#REF!)*((D419&gt;=#REF!)+(D419&lt;2/24)),1,0),0)</f>
        <v>0</v>
      </c>
      <c r="AE421" s="6">
        <f>IF((E418&lt;&gt;"")*(E422=""),IF((E418&lt;=#REF!)*((E419&gt;=#REF!)+(E419&lt;2/24)),1,0),0)</f>
        <v>0</v>
      </c>
      <c r="AF421" s="6">
        <f>IF((F418&lt;&gt;"")*(F422=""),IF((F418&lt;=#REF!)*((F419&gt;=#REF!)+(F419&lt;2/24)),1,0),0)</f>
        <v>0</v>
      </c>
      <c r="AG421" s="6">
        <f>IF((G418&lt;&gt;"")*(G422=""),IF((G418&lt;=#REF!)*((G419&gt;=#REF!)+(G419&lt;2/24)),1,0),0)</f>
        <v>0</v>
      </c>
      <c r="AH421" s="6">
        <f>IF((H418&lt;&gt;"")*(H422=""),IF((H418&lt;=#REF!)*((H419&gt;=#REF!)+(H419&lt;2/24)),1,0),0)</f>
        <v>0</v>
      </c>
      <c r="AI421" s="6">
        <f>IF((I418&lt;&gt;"")*(I422=""),IF((I418&lt;=#REF!)*((I419&gt;=#REF!)+(I419&lt;2/24)),1,0),0)</f>
        <v>0</v>
      </c>
      <c r="AJ421" s="6">
        <f>IF((J418&lt;&gt;"")*(J422=""),IF((J418&lt;=#REF!)*((J419&gt;=#REF!)+(J419&lt;2/24)),1,0),0)</f>
        <v>0</v>
      </c>
    </row>
    <row r="422" spans="1:36" x14ac:dyDescent="0.2">
      <c r="A422" s="39"/>
      <c r="B422" s="40"/>
      <c r="C422" s="32" t="s">
        <v>4</v>
      </c>
      <c r="D422" s="33"/>
      <c r="E422" s="33"/>
      <c r="F422" s="33"/>
      <c r="G422" s="33"/>
      <c r="H422" s="33"/>
      <c r="I422" s="33"/>
      <c r="J422" s="33"/>
      <c r="K422" s="17"/>
      <c r="L422" s="6"/>
      <c r="M422" s="25"/>
      <c r="N422" s="6"/>
      <c r="O422" s="6"/>
      <c r="P422" s="6"/>
      <c r="Q422" s="6"/>
      <c r="R422" s="6"/>
      <c r="S422" s="6"/>
      <c r="T422" s="6"/>
      <c r="U422" s="6"/>
      <c r="V422" s="20"/>
      <c r="W422" s="20"/>
      <c r="X422" s="20"/>
      <c r="Y422" s="20"/>
      <c r="Z422" s="20"/>
      <c r="AA422" s="20"/>
      <c r="AB422" s="20"/>
      <c r="AD422" s="6">
        <f>IF((D418&lt;&gt;"")*(D422=""),IF((D418&lt;=#REF!)*((D419&gt;=#REF!)+(D419&lt;2/24)),1,0),0)</f>
        <v>0</v>
      </c>
      <c r="AE422" s="6">
        <f>IF((E418&lt;&gt;"")*(E422=""),IF((E418&lt;=#REF!)*((E419&gt;=#REF!)+(E419&lt;2/24)),1,0),0)</f>
        <v>0</v>
      </c>
      <c r="AF422" s="6">
        <f>IF((F418&lt;&gt;"")*(F422=""),IF((F418&lt;=#REF!)*((F419&gt;=#REF!)+(F419&lt;2/24)),1,0),0)</f>
        <v>0</v>
      </c>
      <c r="AG422" s="6">
        <f>IF((G418&lt;&gt;"")*(G422=""),IF((G418&lt;=#REF!)*((G419&gt;=#REF!)+(G419&lt;2/24)),1,0),0)</f>
        <v>0</v>
      </c>
      <c r="AH422" s="6">
        <f>IF((H418&lt;&gt;"")*(H422=""),IF((H418&lt;=#REF!)*((H419&gt;=#REF!)+(H419&lt;2/24)),1,0),0)</f>
        <v>0</v>
      </c>
      <c r="AI422" s="6">
        <f>IF((I418&lt;&gt;"")*(I422=""),IF((I418&lt;=#REF!)*((I419&gt;=#REF!)+(I419&lt;2/24)),1,0),0)</f>
        <v>0</v>
      </c>
      <c r="AJ422" s="6">
        <f>IF((J418&lt;&gt;"")*(J422=""),IF((J418&lt;=#REF!)*((J419&gt;=#REF!)+(J419&lt;2/24)),1,0),0)</f>
        <v>0</v>
      </c>
    </row>
    <row r="423" spans="1:36" ht="13.5" thickBot="1" x14ac:dyDescent="0.25">
      <c r="A423" s="41"/>
      <c r="B423" s="42"/>
      <c r="C423" s="35" t="s">
        <v>28</v>
      </c>
      <c r="D423" s="93"/>
      <c r="E423" s="93"/>
      <c r="F423" s="93"/>
      <c r="G423" s="93"/>
      <c r="H423" s="93"/>
      <c r="I423" s="93"/>
      <c r="J423" s="93"/>
      <c r="K423" s="94"/>
      <c r="L423" s="6"/>
      <c r="M423" s="25"/>
      <c r="N423" s="6"/>
      <c r="O423" s="6"/>
      <c r="P423" s="6"/>
      <c r="Q423" s="6"/>
      <c r="R423" s="6"/>
      <c r="S423" s="6"/>
      <c r="T423" s="6"/>
      <c r="U423" s="6"/>
      <c r="V423" s="20"/>
      <c r="W423" s="20"/>
      <c r="X423" s="20"/>
      <c r="Y423" s="20"/>
      <c r="Z423" s="20"/>
      <c r="AA423" s="20"/>
      <c r="AB423" s="20"/>
      <c r="AD423" s="6"/>
      <c r="AE423" s="6"/>
      <c r="AF423" s="6"/>
      <c r="AG423" s="6"/>
      <c r="AH423" s="6"/>
      <c r="AI423" s="6"/>
      <c r="AJ423" s="6"/>
    </row>
    <row r="424" spans="1:36" x14ac:dyDescent="0.2">
      <c r="A424" s="39" t="s">
        <v>60</v>
      </c>
      <c r="B424" s="40" t="s">
        <v>51</v>
      </c>
      <c r="C424" s="14" t="s">
        <v>0</v>
      </c>
      <c r="D424" s="26"/>
      <c r="E424" s="26">
        <v>0.77083333333333337</v>
      </c>
      <c r="F424" s="26"/>
      <c r="G424" s="26">
        <v>0.77083333333333337</v>
      </c>
      <c r="H424" s="26"/>
      <c r="I424" s="26"/>
      <c r="J424" s="26"/>
      <c r="K424" s="16"/>
      <c r="L424" s="6"/>
      <c r="M424" s="25"/>
      <c r="N424" s="6"/>
      <c r="O424" s="6"/>
      <c r="P424" s="6"/>
      <c r="Q424" s="6"/>
      <c r="R424" s="6"/>
      <c r="S424" s="6"/>
      <c r="T424" s="6"/>
      <c r="U424" s="6"/>
      <c r="V424" s="20"/>
      <c r="W424" s="20"/>
      <c r="X424" s="20"/>
      <c r="Y424" s="20"/>
      <c r="Z424" s="20"/>
      <c r="AA424" s="20"/>
      <c r="AB424" s="20"/>
      <c r="AD424" s="6"/>
      <c r="AE424" s="6"/>
      <c r="AF424" s="6"/>
      <c r="AG424" s="6"/>
      <c r="AH424" s="6"/>
      <c r="AI424" s="6"/>
      <c r="AJ424" s="6"/>
    </row>
    <row r="425" spans="1:36" x14ac:dyDescent="0.2">
      <c r="A425" s="39"/>
      <c r="B425" s="40"/>
      <c r="C425" s="15" t="s">
        <v>1</v>
      </c>
      <c r="D425" s="27"/>
      <c r="E425" s="27">
        <v>0.95833333333333337</v>
      </c>
      <c r="F425" s="27"/>
      <c r="G425" s="27">
        <v>0.95833333333333337</v>
      </c>
      <c r="H425" s="27"/>
      <c r="I425" s="27"/>
      <c r="J425" s="27"/>
      <c r="K425" s="17"/>
      <c r="L425" s="6"/>
      <c r="M425" s="25"/>
      <c r="N425" s="6"/>
      <c r="O425" s="6"/>
      <c r="P425" s="6"/>
      <c r="Q425" s="6"/>
      <c r="R425" s="6"/>
      <c r="S425" s="6"/>
      <c r="T425" s="6"/>
      <c r="U425" s="6"/>
      <c r="V425" s="20"/>
      <c r="W425" s="20"/>
      <c r="X425" s="20"/>
      <c r="Y425" s="20"/>
      <c r="Z425" s="20"/>
      <c r="AA425" s="20"/>
      <c r="AB425" s="20"/>
      <c r="AD425" s="6"/>
      <c r="AE425" s="6"/>
      <c r="AF425" s="6"/>
      <c r="AG425" s="6"/>
      <c r="AH425" s="6"/>
      <c r="AI425" s="6"/>
      <c r="AJ425" s="6"/>
    </row>
    <row r="426" spans="1:36" x14ac:dyDescent="0.2">
      <c r="A426" s="39"/>
      <c r="B426" s="40"/>
      <c r="C426" s="15" t="s">
        <v>2</v>
      </c>
      <c r="D426" s="27"/>
      <c r="E426" s="27"/>
      <c r="F426" s="27"/>
      <c r="G426" s="27"/>
      <c r="H426" s="27"/>
      <c r="I426" s="27"/>
      <c r="J426" s="4"/>
      <c r="K426" s="17"/>
      <c r="L426" s="6"/>
      <c r="M426" s="25"/>
      <c r="N426" s="6"/>
      <c r="O426" s="6"/>
      <c r="P426" s="6"/>
      <c r="Q426" s="6"/>
      <c r="R426" s="6"/>
      <c r="S426" s="6"/>
      <c r="T426" s="6"/>
      <c r="U426" s="6"/>
      <c r="V426" s="20"/>
      <c r="W426" s="20"/>
      <c r="X426" s="20"/>
      <c r="Y426" s="20"/>
      <c r="Z426" s="20"/>
      <c r="AA426" s="20"/>
      <c r="AB426" s="20"/>
      <c r="AD426" s="6"/>
      <c r="AE426" s="6"/>
      <c r="AF426" s="6"/>
      <c r="AG426" s="6"/>
      <c r="AH426" s="6"/>
      <c r="AI426" s="6"/>
      <c r="AJ426" s="6"/>
    </row>
    <row r="427" spans="1:36" x14ac:dyDescent="0.2">
      <c r="A427" s="39"/>
      <c r="B427" s="40"/>
      <c r="C427" s="15" t="s">
        <v>3</v>
      </c>
      <c r="D427" s="57" t="str">
        <f t="shared" ref="D427:J427" si="454">IF(D424="","",IF(D425&gt;D424,(D425-D424-D426)*24,(1-D424-D426+D425)*24))</f>
        <v/>
      </c>
      <c r="E427" s="43">
        <f t="shared" si="454"/>
        <v>4.5</v>
      </c>
      <c r="F427" s="43" t="str">
        <f t="shared" si="454"/>
        <v/>
      </c>
      <c r="G427" s="43">
        <f t="shared" si="454"/>
        <v>4.5</v>
      </c>
      <c r="H427" s="43" t="str">
        <f t="shared" si="454"/>
        <v/>
      </c>
      <c r="I427" s="57" t="str">
        <f t="shared" si="454"/>
        <v/>
      </c>
      <c r="J427" s="44" t="str">
        <f t="shared" si="454"/>
        <v/>
      </c>
      <c r="K427" s="18">
        <f>SUMIF(D428:J428,"",D427:J427)</f>
        <v>9</v>
      </c>
      <c r="L427" s="12">
        <f>SUM(D427:J427)</f>
        <v>9</v>
      </c>
      <c r="M427" s="25"/>
      <c r="N427" s="6"/>
      <c r="O427" s="6"/>
      <c r="P427" s="6"/>
      <c r="Q427" s="6"/>
      <c r="R427" s="6"/>
      <c r="S427" s="6"/>
      <c r="T427" s="6"/>
      <c r="U427" s="6"/>
      <c r="V427" s="20"/>
      <c r="W427" s="20"/>
      <c r="X427" s="20"/>
      <c r="Y427" s="20"/>
      <c r="Z427" s="20"/>
      <c r="AA427" s="20"/>
      <c r="AB427" s="20"/>
      <c r="AD427" s="6"/>
      <c r="AE427" s="6"/>
      <c r="AF427" s="6"/>
      <c r="AG427" s="6"/>
      <c r="AH427" s="6"/>
      <c r="AI427" s="6"/>
      <c r="AJ427" s="6"/>
    </row>
    <row r="428" spans="1:36" x14ac:dyDescent="0.2">
      <c r="A428" s="39"/>
      <c r="B428" s="40"/>
      <c r="C428" s="32" t="s">
        <v>4</v>
      </c>
      <c r="D428" s="33"/>
      <c r="E428" s="33"/>
      <c r="F428" s="33"/>
      <c r="G428" s="33"/>
      <c r="H428" s="33"/>
      <c r="I428" s="33"/>
      <c r="J428" s="33"/>
      <c r="K428" s="17"/>
      <c r="L428" s="6"/>
      <c r="M428" s="25"/>
      <c r="N428" s="6"/>
      <c r="O428" s="6"/>
      <c r="P428" s="6"/>
      <c r="Q428" s="6"/>
      <c r="R428" s="6"/>
      <c r="S428" s="6"/>
      <c r="T428" s="6"/>
      <c r="U428" s="6"/>
      <c r="V428" s="20"/>
      <c r="W428" s="20"/>
      <c r="X428" s="20"/>
      <c r="Y428" s="20"/>
      <c r="Z428" s="20"/>
      <c r="AA428" s="20"/>
      <c r="AB428" s="20"/>
      <c r="AD428" s="6"/>
      <c r="AE428" s="6"/>
      <c r="AF428" s="6"/>
      <c r="AG428" s="6"/>
      <c r="AH428" s="6"/>
      <c r="AI428" s="6"/>
      <c r="AJ428" s="6"/>
    </row>
    <row r="429" spans="1:36" ht="13.5" thickBot="1" x14ac:dyDescent="0.25">
      <c r="A429" s="41"/>
      <c r="B429" s="42"/>
      <c r="C429" s="35" t="s">
        <v>28</v>
      </c>
      <c r="D429" s="93"/>
      <c r="E429" s="93"/>
      <c r="F429" s="93"/>
      <c r="G429" s="93"/>
      <c r="H429" s="93"/>
      <c r="I429" s="93"/>
      <c r="J429" s="93"/>
      <c r="K429" s="94"/>
      <c r="L429" s="6"/>
      <c r="M429" s="25"/>
      <c r="N429" s="6"/>
      <c r="O429" s="6"/>
      <c r="P429" s="6"/>
      <c r="Q429" s="6"/>
      <c r="R429" s="6"/>
      <c r="S429" s="6"/>
      <c r="T429" s="6"/>
      <c r="U429" s="6"/>
      <c r="V429" s="20"/>
      <c r="W429" s="20"/>
      <c r="X429" s="20"/>
      <c r="Y429" s="20"/>
      <c r="Z429" s="20"/>
      <c r="AA429" s="20"/>
      <c r="AB429" s="20"/>
      <c r="AD429" s="6"/>
      <c r="AE429" s="6"/>
      <c r="AF429" s="6"/>
      <c r="AG429" s="6"/>
      <c r="AH429" s="6"/>
      <c r="AI429" s="6"/>
      <c r="AJ429" s="6"/>
    </row>
    <row r="430" spans="1:36" x14ac:dyDescent="0.2">
      <c r="A430" s="6"/>
      <c r="B430" s="6"/>
      <c r="C430" s="6"/>
      <c r="D430" s="5"/>
      <c r="E430" s="5"/>
      <c r="F430" s="5"/>
      <c r="G430" s="5"/>
      <c r="H430" s="5"/>
      <c r="I430" s="5"/>
      <c r="J430" s="5"/>
      <c r="K430" s="5"/>
      <c r="L430" s="6"/>
    </row>
    <row r="431" spans="1:36" x14ac:dyDescent="0.2">
      <c r="A431" s="6"/>
      <c r="B431" s="6"/>
      <c r="C431" s="6"/>
      <c r="D431" s="5"/>
      <c r="E431" s="5"/>
      <c r="F431" s="5"/>
      <c r="G431" s="5"/>
      <c r="H431" s="5"/>
      <c r="I431" s="5"/>
      <c r="J431" s="5"/>
      <c r="K431" s="5"/>
      <c r="L431" s="6"/>
      <c r="M431" s="29" t="s">
        <v>26</v>
      </c>
      <c r="N431" s="29" t="s">
        <v>27</v>
      </c>
    </row>
    <row r="432" spans="1:36" x14ac:dyDescent="0.2">
      <c r="A432" s="6"/>
      <c r="B432" s="6"/>
      <c r="C432" s="7" t="s">
        <v>15</v>
      </c>
      <c r="D432" s="11">
        <f>SUM(V4:V260)</f>
        <v>9</v>
      </c>
      <c r="E432" s="11">
        <f>SUM(W4:W260)</f>
        <v>0</v>
      </c>
      <c r="F432" s="11">
        <f>SUM(X4:X260)</f>
        <v>9</v>
      </c>
      <c r="G432" s="11">
        <f>SUM(Y4:Y260)</f>
        <v>4.5</v>
      </c>
      <c r="H432" s="11">
        <f>SUM(Z4:Z260)</f>
        <v>4.5</v>
      </c>
      <c r="I432" s="11">
        <f>SUM(AA4:AA260)</f>
        <v>5</v>
      </c>
      <c r="J432" s="11">
        <f>SUM(AB4:AB260)</f>
        <v>0</v>
      </c>
      <c r="K432" s="12"/>
      <c r="L432" s="12">
        <f>SUM(L4:L431)</f>
        <v>269.5</v>
      </c>
      <c r="M432" s="28">
        <f>+D432+E432+F432+G432+H432+I432+J432</f>
        <v>32</v>
      </c>
      <c r="N432" s="28">
        <f>+L432-M432</f>
        <v>237.5</v>
      </c>
    </row>
    <row r="433" spans="1:14" x14ac:dyDescent="0.2">
      <c r="A433" s="6"/>
      <c r="B433" s="6"/>
      <c r="C433" s="7" t="s">
        <v>16</v>
      </c>
      <c r="D433" s="11">
        <f>SUM(N4:N260)</f>
        <v>9</v>
      </c>
      <c r="E433" s="11">
        <f>SUM(O4:O260)</f>
        <v>0</v>
      </c>
      <c r="F433" s="11">
        <f>SUM(P4:P260)</f>
        <v>9</v>
      </c>
      <c r="G433" s="11">
        <f>SUM(Q4:Q260)</f>
        <v>4.5</v>
      </c>
      <c r="H433" s="11">
        <f>SUM(R4:R260)</f>
        <v>4.5</v>
      </c>
      <c r="I433" s="11">
        <f>SUM(S4:S260)</f>
        <v>5</v>
      </c>
      <c r="J433" s="11">
        <f>SUM(T4:T260)</f>
        <v>0</v>
      </c>
      <c r="K433" s="11">
        <f>SUM(K4:K260)</f>
        <v>32</v>
      </c>
      <c r="L433" s="12"/>
      <c r="M433" s="28">
        <f>+D433+E433+F433+G433+H433+I433+J433</f>
        <v>32</v>
      </c>
      <c r="N433" s="28">
        <f>+K433-M433</f>
        <v>0</v>
      </c>
    </row>
    <row r="434" spans="1:14" x14ac:dyDescent="0.2">
      <c r="A434" s="6"/>
      <c r="B434" s="6"/>
      <c r="C434" s="6"/>
      <c r="D434" s="5"/>
      <c r="E434" s="5"/>
      <c r="F434" s="5"/>
      <c r="G434" s="5"/>
      <c r="H434" s="5"/>
      <c r="I434" s="5"/>
      <c r="J434" s="5"/>
      <c r="K434" s="5"/>
      <c r="L434" s="6"/>
    </row>
    <row r="435" spans="1:14" hidden="1" x14ac:dyDescent="0.2">
      <c r="A435" s="6"/>
      <c r="B435" s="6"/>
      <c r="C435" s="7" t="s">
        <v>17</v>
      </c>
      <c r="D435" s="11"/>
      <c r="E435" s="11"/>
      <c r="F435" s="11"/>
      <c r="G435" s="11"/>
      <c r="H435" s="11"/>
      <c r="I435" s="11"/>
      <c r="J435" s="11"/>
      <c r="K435" s="11">
        <f>SUM(D435:J435)</f>
        <v>0</v>
      </c>
      <c r="L435" s="13"/>
    </row>
    <row r="436" spans="1:14" hidden="1" x14ac:dyDescent="0.2">
      <c r="A436" s="6"/>
      <c r="B436" s="6"/>
      <c r="C436" s="6"/>
      <c r="D436" s="5"/>
      <c r="E436" s="5"/>
      <c r="F436" s="5"/>
      <c r="G436" s="5"/>
      <c r="H436" s="5"/>
      <c r="I436" s="5"/>
      <c r="J436" s="5"/>
      <c r="K436" s="5"/>
      <c r="L436" s="6"/>
    </row>
    <row r="437" spans="1:14" hidden="1" x14ac:dyDescent="0.2">
      <c r="A437" s="6"/>
      <c r="B437" s="6"/>
      <c r="C437" s="7" t="s">
        <v>18</v>
      </c>
      <c r="D437" s="9">
        <f t="shared" ref="D437:K437" si="455">D435-D433</f>
        <v>-9</v>
      </c>
      <c r="E437" s="9">
        <f t="shared" si="455"/>
        <v>0</v>
      </c>
      <c r="F437" s="9">
        <f t="shared" si="455"/>
        <v>-9</v>
      </c>
      <c r="G437" s="9">
        <f t="shared" si="455"/>
        <v>-4.5</v>
      </c>
      <c r="H437" s="9">
        <f t="shared" si="455"/>
        <v>-4.5</v>
      </c>
      <c r="I437" s="9">
        <f t="shared" si="455"/>
        <v>-5</v>
      </c>
      <c r="J437" s="9">
        <f t="shared" si="455"/>
        <v>0</v>
      </c>
      <c r="K437" s="9">
        <f t="shared" si="455"/>
        <v>-32</v>
      </c>
      <c r="L437" s="6"/>
    </row>
    <row r="439" spans="1:14" x14ac:dyDescent="0.2">
      <c r="B439" s="5" t="s">
        <v>19</v>
      </c>
      <c r="C439" s="5" t="s">
        <v>20</v>
      </c>
      <c r="D439" s="5"/>
      <c r="E439" s="5"/>
      <c r="F439" s="5"/>
      <c r="G439" s="5"/>
      <c r="H439" s="5"/>
      <c r="I439" s="5"/>
      <c r="J439" s="5"/>
    </row>
    <row r="440" spans="1:14" x14ac:dyDescent="0.2">
      <c r="B440" s="8">
        <v>0.4375</v>
      </c>
      <c r="C440" s="8">
        <v>0.5625</v>
      </c>
      <c r="D440" s="5" t="e">
        <f>#REF!+AD4+AD9+AD14+#REF!+#REF!+AD41+AD46+AD51+AD56+AD61+AD66+AD71+AD76+AD81+AD86+AD91+AD96+AD101+AD106+AD111+AD116+AD121+AD126+AD131+AD136+AD141+AD146+AD151+AD156+AD161+AD166+AD171+AD176+AD181+AD186+AD191+AD196+AD201+AD206+AD211+AD216+AD221+AD226+AD231+AD236+AD241+AD246+AD251+AD256</f>
        <v>#REF!</v>
      </c>
      <c r="E440" s="5" t="e">
        <f>#REF!+AE4+AE9+AE14+#REF!+#REF!+AE41+AE46+AE51+AE56+AE61+AE66+AE71+AE76+AE81+AE86+AE91+AE96+AE101+AE106+AE111+AE116+AE121+AE126+AE131+AE136+AE141+AE146+AE151+AE156+AE161+AE166+AE171+AE176+AE181+AE186+AE191+AE196+AE201+AE206+AE211+AE216+AE221+AE226+AE231+AE236+AE241+AE246+AE251+AE256</f>
        <v>#REF!</v>
      </c>
      <c r="F440" s="5" t="e">
        <f>#REF!+AF4+AF9+AF14+#REF!+#REF!+AF41+AF46+AF51+AF56+AF61+AF66+AF71+AF76+AF81+AF86+AF91+AF96+AF101+AF106+AF111+AF116+AF121+AF126+AF131+AF136+AF141+AF146+AF151+AF156+AF161+AF166+AF171+AF176+AF181+AF186+AF191+AF196+AF201+AF206+AF211+AF216+AF221+AF226+AF231+AF236+AF241+AF246+AF251+AF256</f>
        <v>#REF!</v>
      </c>
      <c r="G440" s="5" t="e">
        <f>#REF!+AG4+AG9+AG14+#REF!+#REF!+AG41+AG46+AG51+AG56+AG61+AG66+AG71+AG76+AG81+AG86+AG91+AG96+AG101+AG106+AG111+AG116+AG121+AG126+AG131+AG136+AG141+AG146+AG151+AG156+AG161+AG166+AG171+AG176+AG181+AG186+AG191+AG196+AG201+AG206+AG211+AG216+AG221+AG226+AG231+AG236+AG241+AG246+AG251+AG256</f>
        <v>#REF!</v>
      </c>
      <c r="H440" s="5" t="e">
        <f>#REF!+AH4+AH9+AH14+#REF!+#REF!+AH41+AH46+AH51+AH56+AH61+AH66+AH71+AH76+AH81+AH86+AH91+AH96+AH101+AH106+AH111+AH116+AH121+AH126+AH131+AH136+AH141+AH146+AH151+AH156+AH161+AH166+AH171+AH176+AH181+AH186+AH191+AH196+AH201+AH206+AH211+AH216+AH221+AH226+AH231+AH236+AH241+AH246+AH251+AH256</f>
        <v>#REF!</v>
      </c>
      <c r="I440" s="5" t="e">
        <f>#REF!+AI4+AI9+AI14+#REF!+#REF!+AI41+AI46+AI51+AI56+AI61+AI66+AI71+AI76+AI81+AI86+AI91+AI96+AI101+AI106+AI111+AI116+AI121+AI126+AI131+AI136+AI141+AI146+AI151+AI156+AI161+AI166+AI171+AI176+AI181+AI186+AI191+AI196+AI201+AI206+AI211+AI216+AI221+AI226+AI231+AI236+AI241+AI246+AI251+AI256</f>
        <v>#REF!</v>
      </c>
      <c r="J440" s="5" t="e">
        <f>#REF!+AJ4+AJ9+AJ14+#REF!+#REF!+AJ41+AJ46+AJ51+AJ56+AJ61+AJ66+AJ71+AJ76+AJ81+AJ86+AJ91+AJ96+AJ101+AJ106+AJ111+AJ116+AJ121+AJ126+AJ131+AJ136+AJ141+AJ146+AJ151+AJ156+AJ161+AJ166+AJ171+AJ176+AJ181+AJ186+AJ191+AJ196+AJ201+AJ206+AJ211+AJ216+AJ221+AJ226+AJ231+AJ236+AJ241+AJ246+AJ251+AJ256</f>
        <v>#REF!</v>
      </c>
    </row>
    <row r="441" spans="1:14" x14ac:dyDescent="0.2">
      <c r="B441" s="8">
        <v>0.5625</v>
      </c>
      <c r="C441" s="8">
        <v>0.66666666666666663</v>
      </c>
      <c r="D441" s="5" t="e">
        <f>#REF!+AD5+AD10+AD15+#REF!+#REF!+AD42+AD47+AD52+AD57+AD62+AD67+AD72+AD77+AD82+AD87+AD92+AD97+AD102+AD107+AD112+AD117+AD122+AD127+AD132+AD137+AD142+AD147+AD152+AD157+AD162+AD167+AD172+AD177+AD182+AD187+AD192+AD197+AD202+AD207+AD212+AD217+AD222+AD227+AD232+AD237+AD242+AD247+AD252+AD257</f>
        <v>#REF!</v>
      </c>
      <c r="E441" s="5" t="e">
        <f>#REF!+AE5+AE10+AE15+#REF!+#REF!+AE42+AE47+AE52+AE57+AE62+AE67+AE72+AE77+AE82+AE87+AE92+AE97+AE102+AE107+AE112+AE117+AE122+AE127+AE132+AE137+AE142+AE147+AE152+AE157+AE162+AE167+AE172+AE177+AE182+AE187+AE192+AE197+AE202+AE207+AE212+AE217+AE222+AE227+AE232+AE237+AE242+AE247+AE252+AE257</f>
        <v>#REF!</v>
      </c>
      <c r="F441" s="5" t="e">
        <f>#REF!+AF5+AF10+AF15+#REF!+#REF!+AF42+AF47+AF52+AF57+AF62+AF67+AF72+AF77+AF82+AF87+AF92+AF97+AF102+AF107+AF112+AF117+AF122+AF127+AF132+AF137+AF142+AF147+AF152+AF157+AF162+AF167+AF172+AF177+AF182+AF187+AF192+AF197+AF202+AF207+AF212+AF217+AF222+AF227+AF232+AF237+AF242+AF247+AF252+AF257</f>
        <v>#REF!</v>
      </c>
      <c r="G441" s="5" t="e">
        <f>#REF!+AG5+AG10+AG15+#REF!+#REF!+AG42+AG47+AG52+AG57+AG62+AG67+AG72+AG77+AG82+AG87+AG92+AG97+AG102+AG107+AG112+AG117+AG122+AG127+AG132+AG137+AG142+AG147+AG152+AG157+AG162+AG167+AG172+AG177+AG182+AG187+AG192+AG197+AG202+AG207+AG212+AG217+AG222+AG227+AG232+AG237+AG242+AG247+AG252+AG257</f>
        <v>#REF!</v>
      </c>
      <c r="H441" s="5" t="e">
        <f>#REF!+AH5+AH10+AH15+#REF!+#REF!+AH42+AH47+AH52+AH57+AH62+AH67+AH72+AH77+AH82+AH87+AH92+AH97+AH102+AH107+AH112+AH117+AH122+AH127+AH132+AH137+AH142+AH147+AH152+AH157+AH162+AH167+AH172+AH177+AH182+AH187+AH192+AH197+AH202+AH207+AH212+AH217+AH222+AH227+AH232+AH237+AH242+AH247+AH252+AH257</f>
        <v>#REF!</v>
      </c>
      <c r="I441" s="5" t="e">
        <f>#REF!+AI5+AI10+AI15+#REF!+#REF!+AI42+AI47+AI52+AI57+AI62+AI67+AI72+AI77+AI82+AI87+AI92+AI97+AI102+AI107+AI112+AI117+AI122+AI127+AI132+AI137+AI142+AI147+AI152+AI157+AI162+AI167+AI172+AI177+AI182+AI187+AI192+AI197+AI202+AI207+AI212+AI217+AI222+AI227+AI232+AI237+AI242+AI247+AI252+AI257</f>
        <v>#REF!</v>
      </c>
      <c r="J441" s="5" t="e">
        <f>#REF!+AJ5+AJ10+AJ15+#REF!+#REF!+AJ42+AJ47+AJ52+AJ57+AJ62+AJ67+AJ72+AJ77+AJ82+AJ87+AJ92+AJ97+AJ102+AJ107+AJ112+AJ117+AJ122+AJ127+AJ132+AJ137+AJ142+AJ147+AJ152+AJ157+AJ162+AJ167+AJ172+AJ177+AJ182+AJ187+AJ192+AJ197+AJ202+AJ207+AJ212+AJ217+AJ222+AJ227+AJ232+AJ237+AJ242+AJ247+AJ252+AJ257</f>
        <v>#REF!</v>
      </c>
    </row>
    <row r="442" spans="1:14" x14ac:dyDescent="0.2">
      <c r="B442" s="8">
        <v>0.66666666666666663</v>
      </c>
      <c r="C442" s="8">
        <v>0.72916666666666663</v>
      </c>
      <c r="D442" s="5" t="e">
        <f>#REF!+AD6+AD11+#REF!+#REF!+#REF!+AD43+AD48+AD53+AD58+AD63+AD68+AD73+AD78+AD83+AD88+AD93+AD98+AD103+AD108+AD113+AD118+AD123+AD128+AD133+AD138+AD143+AD148+AD153+AD158+AD163+AD168+AD173+AD178+AD183+AD188+AD193+AD198+AD203+AD208+AD213+AD218+AD223+AD228+AD233+AD238+AD243+AD248+AD253+AD258</f>
        <v>#REF!</v>
      </c>
      <c r="E442" s="5" t="e">
        <f>#REF!+AE6+AE11+#REF!+#REF!+#REF!+AE43+AE48+AE53+AE58+AE63+AE68+AE73+AE78+AE83+AE88+AE93+AE98+AE103+AE108+AE113+AE118+AE123+AE128+AE133+AE138+AE143+AE148+AE153+AE158+AE163+AE168+AE173+AE178+AE183+AE188+AE193+AE198+AE203+AE208+AE213+AE218+AE223+AE228+AE233+AE238+AE243+AE248+AE253+AE258</f>
        <v>#REF!</v>
      </c>
      <c r="F442" s="5" t="e">
        <f>#REF!+AF6+AF11+#REF!+#REF!+#REF!+AF43+AF48+AF53+AF58+AF63+AF68+AF73+AF78+AF83+AF88+AF93+AF98+AF103+AF108+AF113+AF118+AF123+AF128+AF133+AF138+AF143+AF148+AF153+AF158+AF163+AF168+AF173+AF178+AF183+AF188+AF193+AF198+AF203+AF208+AF213+AF218+AF223+AF228+AF233+AF238+AF243+AF248+AF253+AF258</f>
        <v>#REF!</v>
      </c>
      <c r="G442" s="5" t="e">
        <f>#REF!+AG6+AG11+#REF!+#REF!+#REF!+AG43+AG48+AG53+AG58+AG63+AG68+AG73+AG78+AG83+AG88+AG93+AG98+AG103+AG108+AG113+AG118+AG123+AG128+AG133+AG138+AG143+AG148+AG153+AG158+AG163+AG168+AG173+AG178+AG183+AG188+AG193+AG198+AG203+AG208+AG213+AG218+AG223+AG228+AG233+AG238+AG243+AG248+AG253+AG258</f>
        <v>#REF!</v>
      </c>
      <c r="H442" s="5" t="e">
        <f>#REF!+AH6+AH11+#REF!+#REF!+#REF!+AH43+AH48+AH53+AH58+AH63+AH68+AH73+AH78+AH83+AH88+AH93+AH98+AH103+AH108+AH113+AH118+AH123+AH128+AH133+AH138+AH143+AH148+AH153+AH158+AH163+AH168+AH173+AH178+AH183+AH188+AH193+AH198+AH203+AH208+AH213+AH218+AH223+AH228+AH233+AH238+AH243+AH248+AH253+AH258</f>
        <v>#REF!</v>
      </c>
      <c r="I442" s="5" t="e">
        <f>#REF!+AI6+AI11+#REF!+#REF!+#REF!+AI43+AI48+AI53+AI58+AI63+AI68+AI73+AI78+AI83+AI88+AI93+AI98+AI103+AI108+AI113+AI118+AI123+AI128+AI133+AI138+AI143+AI148+AI153+AI158+AI163+AI168+AI173+AI178+AI183+AI188+AI193+AI198+AI203+AI208+AI213+AI218+AI223+AI228+AI233+AI238+AI243+AI248+AI253+AI258</f>
        <v>#REF!</v>
      </c>
      <c r="J442" s="5" t="e">
        <f>#REF!+AJ6+AJ11+#REF!+#REF!+#REF!+AJ43+AJ48+AJ53+AJ58+AJ63+AJ68+AJ73+AJ78+AJ83+AJ88+AJ93+AJ98+AJ103+AJ108+AJ113+AJ118+AJ123+AJ128+AJ133+AJ138+AJ143+AJ148+AJ153+AJ158+AJ163+AJ168+AJ173+AJ178+AJ183+AJ188+AJ193+AJ198+AJ203+AJ208+AJ213+AJ218+AJ223+AJ228+AJ233+AJ238+AJ243+AJ248+AJ253+AJ258</f>
        <v>#REF!</v>
      </c>
    </row>
    <row r="443" spans="1:14" x14ac:dyDescent="0.2">
      <c r="B443" s="8">
        <v>0.79166666666666663</v>
      </c>
      <c r="C443" s="8">
        <v>0.85416666666666663</v>
      </c>
      <c r="D443" s="5" t="e">
        <f>#REF!+AD7+AD12+#REF!+#REF!+#REF!+AD44+AD49+AD54+AD59+AD64+AD69+AD74+AD79+AD84+AD89+AD94+AD99+AD104+AD109+AD114+AD119+AD124+AD129+AD134+AD139+AD144+AD149+AD154+AD159+AD164+AD169+AD174+AD179+AD184+AD189+AD194+AD199+AD204+AD209+AD214+AD219+AD224+AD229+AD234+AD239+AD244+AD249+AD254+AD260</f>
        <v>#REF!</v>
      </c>
      <c r="E443" s="5" t="e">
        <f>#REF!+AE7+AE12+#REF!+#REF!+#REF!+AE44+AE49+AE54+AE59+AE64+AE69+AE74+AE79+AE84+AE89+AE94+AE99+AE104+AE109+AE114+AE119+AE124+AE129+AE134+AE139+AE144+AE149+AE154+AE159+AE164+AE169+AE174+AE179+AE184+AE189+AE194+AE199+AE204+AE209+AE214+AE219+AE224+AE229+AE234+AE239+AE244+AE249+AE254+AE260</f>
        <v>#REF!</v>
      </c>
      <c r="F443" s="5" t="e">
        <f>#REF!+AF7+AF12+#REF!+#REF!+#REF!+AF44+AF49+AF54+AF59+AF64+AF69+AF74+AF79+AF84+AF89+AF94+AF99+AF104+AF109+AF114+AF119+AF124+AF129+AF134+AF139+AF144+AF149+AF154+AF159+AF164+AF169+AF174+AF179+AF184+AF189+AF194+AF199+AF204+AF209+AF214+AF219+AF224+AF229+AF234+AF239+AF244+AF249+AF254+AF260</f>
        <v>#REF!</v>
      </c>
      <c r="G443" s="5" t="e">
        <f>#REF!+AG7+AG12+#REF!+#REF!+#REF!+AG44+AG49+AG54+AG59+AG64+AG69+AG74+AG79+AG84+AG89+AG94+AG99+AG104+AG109+AG114+AG119+AG124+AG129+AG134+AG139+AG144+AG149+AG154+AG159+AG164+AG169+AG174+AG179+AG184+AG189+AG194+AG199+AG204+AG209+AG214+AG219+AG224+AG229+AG234+AG239+AG244+AG249+AG254+AG260</f>
        <v>#REF!</v>
      </c>
      <c r="H443" s="5" t="e">
        <f>#REF!+AH7+AH12+#REF!+#REF!+#REF!+AH44+AH49+AH54+AH59+AH64+AH69+AH74+AH79+AH84+AH89+AH94+AH99+AH104+AH109+AH114+AH119+AH124+AH129+AH134+AH139+AH144+AH149+AH154+AH159+AH164+AH169+AH174+AH179+AH184+AH189+AH194+AH199+AH204+AH209+AH214+AH219+AH224+AH229+AH234+AH239+AH244+AH249+AH254+AH260</f>
        <v>#REF!</v>
      </c>
      <c r="I443" s="5" t="e">
        <f>#REF!+AI7+AI12+#REF!+#REF!+#REF!+AI44+AI49+AI54+AI59+AI64+AI69+AI74+AI79+AI84+AI89+AI94+AI99+AI104+AI109+AI114+AI119+AI124+AI129+AI134+AI139+AI144+AI149+AI154+AI159+AI164+AI169+AI174+AI179+AI184+AI189+AI194+AI199+AI204+AI209+AI214+AI219+AI224+AI229+AI234+AI239+AI244+AI249+AI254+AI260</f>
        <v>#REF!</v>
      </c>
      <c r="J443" s="5" t="e">
        <f>#REF!+AJ7+AJ12+#REF!+#REF!+#REF!+AJ44+AJ49+AJ54+AJ59+AJ64+AJ69+AJ74+AJ79+AJ84+AJ89+AJ94+AJ99+AJ104+AJ109+AJ114+AJ119+AJ124+AJ129+AJ134+AJ139+AJ144+AJ149+AJ154+AJ159+AJ164+AJ169+AJ174+AJ179+AJ184+AJ189+AJ194+AJ199+AJ204+AJ209+AJ214+AJ219+AJ224+AJ229+AJ234+AJ239+AJ244+AJ249+AJ254+AJ260</f>
        <v>#REF!</v>
      </c>
    </row>
    <row r="444" spans="1:14" x14ac:dyDescent="0.2">
      <c r="B444" s="8">
        <v>0.85416666666666663</v>
      </c>
      <c r="C444" s="8">
        <v>0.92708333333333337</v>
      </c>
      <c r="D444" s="5" t="e">
        <f>#REF!+AD8+AD13+#REF!+#REF!+AD40+AD45+AD50+AD55+AD60+AD65+AD70+AD75+AD80+AD85+AD90+AD95+AD100+AD105+AD110+AD115+AD120+AD125+AD130+AD135+AD140+AD145+AD150+AD155+AD160+AD165+AD170+AD175+AD180+AD185+AD190+AD195+AD200+AD205+AD210+AD215+AD220+AD225+AD230+AD235+AD240+AD245+AD250+AD255+AD261</f>
        <v>#REF!</v>
      </c>
      <c r="E444" s="5" t="e">
        <f>#REF!+AE8+AE13+#REF!+#REF!+AE40+AE45+AE50+AE55+AE60+AE65+AE70+AE75+AE80+AE85+AE90+AE95+AE100+AE105+AE110+AE115+AE120+AE125+AE130+AE135+AE140+AE145+AE150+AE155+AE160+AE165+AE170+AE175+AE180+AE185+AE190+AE195+AE200+AE205+AE210+AE215+AE220+AE225+AE230+AE235+AE240+AE245+AE250+AE255+AE261</f>
        <v>#REF!</v>
      </c>
      <c r="F444" s="5" t="e">
        <f>#REF!+AF8+AF13+#REF!+#REF!+AF40+AF45+AF50+AF55+AF60+AF65+AF70+AF75+AF80+AF85+AF90+AF95+AF100+AF105+AF110+AF115+AF120+AF125+AF130+AF135+AF140+AF145+AF150+AF155+AF160+AF165+AF170+AF175+AF180+AF185+AF190+AF195+AF200+AF205+AF210+AF215+AF220+AF225+AF230+AF235+AF240+AF245+AF250+AF255+AF261</f>
        <v>#REF!</v>
      </c>
      <c r="G444" s="5" t="e">
        <f>#REF!+AG8+AG13+#REF!+#REF!+AG40+AG45+AG50+AG55+AG60+AG65+AG70+AG75+AG80+AG85+AG90+AG95+AG100+AG105+AG110+AG115+AG120+AG125+AG130+AG135+AG140+AG145+AG150+AG155+AG160+AG165+AG170+AG175+AG180+AG185+AG190+AG195+AG200+AG205+AG210+AG215+AG220+AG225+AG230+AG235+AG240+AG245+AG250+AG255+AG261</f>
        <v>#REF!</v>
      </c>
      <c r="H444" s="5" t="e">
        <f>#REF!+AH8+AH13+#REF!+#REF!+AH40+AH45+AH50+AH55+AH60+AH65+AH70+AH75+AH80+AH85+AH90+AH95+AH100+AH105+AH110+AH115+AH120+AH125+AH130+AH135+AH140+AH145+AH150+AH155+AH160+AH165+AH170+AH175+AH180+AH185+AH190+AH195+AH200+AH205+AH210+AH215+AH220+AH225+AH230+AH235+AH240+AH245+AH250+AH255+AH261</f>
        <v>#REF!</v>
      </c>
      <c r="I444" s="5" t="e">
        <f>#REF!+AI8+AI13+#REF!+#REF!+AI40+AI45+AI50+AI55+AI60+AI65+AI70+AI75+AI80+AI85+AI90+AI95+AI100+AI105+AI110+AI115+AI120+AI125+AI130+AI135+AI140+AI145+AI150+AI155+AI160+AI165+AI170+AI175+AI180+AI185+AI190+AI195+AI200+AI205+AI210+AI215+AI220+AI225+AI230+AI235+AI240+AI245+AI250+AI255+AI261</f>
        <v>#REF!</v>
      </c>
      <c r="J444" s="5" t="e">
        <f>#REF!+AJ8+AJ13+#REF!+#REF!+AJ40+AJ45+AJ50+AJ55+AJ60+AJ65+AJ70+AJ75+AJ80+AJ85+AJ90+AJ95+AJ100+AJ105+AJ110+AJ115+AJ120+AJ125+AJ130+AJ135+AJ140+AJ145+AJ150+AJ155+AJ160+AJ165+AJ170+AJ175+AJ180+AJ185+AJ190+AJ195+AJ200+AJ205+AJ210+AJ215+AJ220+AJ225+AJ230+AJ235+AJ240+AJ245+AJ250+AJ255+AJ261</f>
        <v>#REF!</v>
      </c>
    </row>
    <row r="446" spans="1:14" hidden="1" x14ac:dyDescent="0.2">
      <c r="C446" s="46" t="s">
        <v>31</v>
      </c>
      <c r="D446" s="22">
        <v>100</v>
      </c>
      <c r="E446" s="22"/>
      <c r="F446" s="22"/>
      <c r="G446" s="22"/>
      <c r="H446" s="22"/>
      <c r="I446" s="22"/>
      <c r="J446" s="22"/>
      <c r="K446" s="22">
        <f>J446+I446+H446+G446+F446+E446+D446</f>
        <v>100</v>
      </c>
    </row>
    <row r="447" spans="1:14" hidden="1" x14ac:dyDescent="0.2"/>
    <row r="448" spans="1:14" hidden="1" x14ac:dyDescent="0.2">
      <c r="C448" s="46" t="s">
        <v>33</v>
      </c>
      <c r="D448" s="23">
        <f t="shared" ref="D448:K448" si="456">D446/D433</f>
        <v>11.111111111111111</v>
      </c>
      <c r="E448" s="23" t="e">
        <f t="shared" si="456"/>
        <v>#DIV/0!</v>
      </c>
      <c r="F448" s="23">
        <f t="shared" si="456"/>
        <v>0</v>
      </c>
      <c r="G448" s="23">
        <f t="shared" si="456"/>
        <v>0</v>
      </c>
      <c r="H448" s="23">
        <f t="shared" si="456"/>
        <v>0</v>
      </c>
      <c r="I448" s="23">
        <f t="shared" si="456"/>
        <v>0</v>
      </c>
      <c r="J448" s="23" t="e">
        <f t="shared" si="456"/>
        <v>#DIV/0!</v>
      </c>
      <c r="K448" s="23">
        <f t="shared" si="456"/>
        <v>3.125</v>
      </c>
    </row>
  </sheetData>
  <pageMargins left="0.7" right="0.7" top="0.75" bottom="0.75" header="0.3" footer="0.3"/>
  <pageSetup paperSize="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26"/>
  <sheetViews>
    <sheetView topLeftCell="A160" zoomScale="80" zoomScaleNormal="80" workbookViewId="0">
      <selection activeCell="G1" sqref="G1:G1048576"/>
    </sheetView>
  </sheetViews>
  <sheetFormatPr defaultRowHeight="12.75" x14ac:dyDescent="0.2"/>
  <cols>
    <col min="1" max="1" width="16.5703125" customWidth="1"/>
    <col min="2" max="2" width="17.42578125" customWidth="1"/>
    <col min="3" max="3" width="7.28515625" customWidth="1"/>
    <col min="4" max="4" width="10.28515625" style="1" bestFit="1" customWidth="1"/>
    <col min="5" max="5" width="10.85546875" style="1" bestFit="1" customWidth="1"/>
    <col min="6" max="6" width="9.85546875" style="1" customWidth="1"/>
    <col min="7" max="8" width="9.140625" style="1"/>
    <col min="9" max="9" width="9.5703125" style="1" bestFit="1" customWidth="1"/>
    <col min="10" max="10" width="8.140625" style="1" bestFit="1" customWidth="1"/>
    <col min="11" max="11" width="9.140625" style="1"/>
    <col min="13" max="13" width="46.42578125" customWidth="1"/>
    <col min="14" max="14" width="6" customWidth="1"/>
    <col min="15" max="15" width="6.140625" bestFit="1" customWidth="1"/>
    <col min="16" max="16" width="5.7109375" customWidth="1"/>
    <col min="17" max="17" width="6.140625" bestFit="1" customWidth="1"/>
    <col min="18" max="19" width="5.7109375" customWidth="1"/>
    <col min="20" max="20" width="6.140625" bestFit="1" customWidth="1"/>
    <col min="21" max="21" width="2.42578125" customWidth="1"/>
    <col min="22" max="23" width="6.140625" bestFit="1" customWidth="1"/>
    <col min="24" max="28" width="5.7109375" customWidth="1"/>
    <col min="30" max="31" width="2.28515625" customWidth="1"/>
    <col min="32" max="32" width="2.42578125" customWidth="1"/>
    <col min="33" max="33" width="2.28515625" customWidth="1"/>
    <col min="34" max="34" width="2.42578125" customWidth="1"/>
    <col min="35" max="36" width="2" customWidth="1"/>
  </cols>
  <sheetData>
    <row r="1" spans="1:36" ht="13.5" customHeight="1" x14ac:dyDescent="0.2">
      <c r="A1" s="50" t="s">
        <v>34</v>
      </c>
      <c r="B1" s="49"/>
      <c r="C1" s="6"/>
      <c r="D1" s="62" t="s">
        <v>9</v>
      </c>
      <c r="E1" s="88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  <c r="AD1" s="6"/>
      <c r="AE1" s="6"/>
      <c r="AF1" s="6"/>
      <c r="AG1" s="6"/>
      <c r="AH1" s="6"/>
      <c r="AI1" s="6"/>
      <c r="AJ1" s="6"/>
    </row>
    <row r="2" spans="1:36" ht="13.5" thickBot="1" x14ac:dyDescent="0.25">
      <c r="A2" s="29"/>
      <c r="B2" s="48"/>
      <c r="C2" s="6"/>
      <c r="D2" s="31">
        <v>45518</v>
      </c>
      <c r="E2" s="89">
        <v>45519</v>
      </c>
      <c r="F2" s="31">
        <v>45520</v>
      </c>
      <c r="G2" s="31">
        <v>45521</v>
      </c>
      <c r="H2" s="31">
        <v>45522</v>
      </c>
      <c r="I2" s="31">
        <v>45523</v>
      </c>
      <c r="J2" s="31">
        <v>45524</v>
      </c>
      <c r="K2" s="5" t="s">
        <v>6</v>
      </c>
      <c r="L2" s="5" t="s">
        <v>14</v>
      </c>
      <c r="M2" s="51" t="s">
        <v>32</v>
      </c>
      <c r="O2" s="21"/>
      <c r="AD2" s="6" t="s">
        <v>21</v>
      </c>
      <c r="AE2" s="6" t="s">
        <v>22</v>
      </c>
      <c r="AF2" s="6" t="s">
        <v>23</v>
      </c>
      <c r="AG2" s="6" t="s">
        <v>22</v>
      </c>
      <c r="AH2" s="6" t="s">
        <v>24</v>
      </c>
      <c r="AI2" s="6" t="s">
        <v>25</v>
      </c>
      <c r="AJ2" s="6" t="s">
        <v>25</v>
      </c>
    </row>
    <row r="3" spans="1:36" ht="13.5" thickBot="1" x14ac:dyDescent="0.25">
      <c r="A3" s="6" t="s">
        <v>30</v>
      </c>
      <c r="B3" s="6" t="s">
        <v>35</v>
      </c>
      <c r="C3" s="6"/>
      <c r="D3" s="61"/>
      <c r="E3" s="61" t="s">
        <v>156</v>
      </c>
      <c r="F3" s="61"/>
      <c r="G3" s="61"/>
      <c r="H3" s="61"/>
      <c r="I3" s="61"/>
      <c r="J3" s="72"/>
      <c r="K3" s="5"/>
      <c r="L3" s="6"/>
      <c r="M3" s="52" t="s">
        <v>39</v>
      </c>
      <c r="AD3" s="6"/>
      <c r="AE3" s="6"/>
      <c r="AF3" s="6"/>
      <c r="AG3" s="6"/>
      <c r="AH3" s="6"/>
      <c r="AI3" s="6"/>
      <c r="AJ3" s="6"/>
    </row>
    <row r="4" spans="1:36" x14ac:dyDescent="0.2">
      <c r="A4" s="37" t="s">
        <v>88</v>
      </c>
      <c r="B4" s="38" t="s">
        <v>47</v>
      </c>
      <c r="C4" s="14" t="s">
        <v>0</v>
      </c>
      <c r="D4" s="26"/>
      <c r="E4" s="26"/>
      <c r="F4" s="26"/>
      <c r="G4" s="26"/>
      <c r="H4" s="26"/>
      <c r="I4" s="26"/>
      <c r="J4" s="26"/>
      <c r="K4" s="16"/>
      <c r="L4" s="6"/>
      <c r="M4" s="21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D4" s="6">
        <f>IF((D4&lt;&gt;"")*(D8=""),IF((D4&lt;=$B$218)*((D5&gt;=$C$218)+(D5&lt;2/24)),1,0),0)</f>
        <v>0</v>
      </c>
      <c r="AE4" s="6">
        <f>IF((E4&lt;&gt;"")*(E8=""),IF((E4&lt;=$B$218)*((E5&gt;=$C$218)+(E5&lt;2/24)),1,0),0)</f>
        <v>0</v>
      </c>
      <c r="AF4" s="6">
        <f>IF((F4&lt;&gt;"")*(F8=""),IF((F4&lt;=$B$218)*((F5&gt;=$C$218)+(F5&lt;2/24)),1,0),0)</f>
        <v>0</v>
      </c>
      <c r="AG4" s="6">
        <f>IF((G4&lt;&gt;"")*(G8=""),IF((G4&lt;=$B$218)*((G5&gt;=$C$218)+(G5&lt;2/24)),1,0),0)</f>
        <v>0</v>
      </c>
      <c r="AH4" s="6">
        <f>IF((H4&lt;&gt;"")*(H8=""),IF((H4&lt;=$B$218)*((H5&gt;=$C$218)+(H5&lt;2/24)),1,0),0)</f>
        <v>0</v>
      </c>
      <c r="AI4" s="6">
        <f>IF((I4&lt;&gt;"")*(I8=""),IF((I4&lt;=$B$218)*((I5&gt;=$C$218)+(I5&lt;2/24)),1,0),0)</f>
        <v>0</v>
      </c>
      <c r="AJ4" s="6">
        <f>IF((J4&lt;&gt;"")*(J8=""),IF((J4&lt;=$B$218)*((J5&gt;=$C$218)+(J5&lt;2/24)),1,0),0)</f>
        <v>0</v>
      </c>
    </row>
    <row r="5" spans="1:36" x14ac:dyDescent="0.2">
      <c r="A5" s="39"/>
      <c r="B5" s="40"/>
      <c r="C5" s="15" t="s">
        <v>1</v>
      </c>
      <c r="D5" s="27"/>
      <c r="E5" s="27"/>
      <c r="F5" s="27"/>
      <c r="G5" s="27"/>
      <c r="H5" s="27"/>
      <c r="I5" s="27"/>
      <c r="J5" s="27"/>
      <c r="K5" s="17"/>
      <c r="L5" s="6"/>
      <c r="M5" s="2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D5" s="6">
        <f>IF((D4&lt;&gt;"")*(D8=""),IF((D4&lt;=$B$219)*((D5&gt;=$C$219)+(D5&lt;2/24)),1,0),0)</f>
        <v>0</v>
      </c>
      <c r="AE5" s="6">
        <f>IF((E4&lt;&gt;"")*(E8=""),IF((E4&lt;=$B$219)*((E5&gt;=$C$219)+(E5&lt;2/24)),1,0),0)</f>
        <v>0</v>
      </c>
      <c r="AF5" s="6">
        <f>IF((F4&lt;&gt;"")*(F8=""),IF((F4&lt;=$B$219)*((F5&gt;=$C$219)+(F5&lt;2/24)),1,0),0)</f>
        <v>0</v>
      </c>
      <c r="AG5" s="6">
        <f>IF((G4&lt;&gt;"")*(G8=""),IF((G4&lt;=$B$219)*((G5&gt;=$C$219)+(G5&lt;2/24)),1,0),0)</f>
        <v>0</v>
      </c>
      <c r="AH5" s="6">
        <f>IF((H4&lt;&gt;"")*(H8=""),IF((H4&lt;=$B$219)*((H5&gt;=$C$219)+(H5&lt;2/24)),1,0),0)</f>
        <v>0</v>
      </c>
      <c r="AI5" s="6">
        <f>IF((I4&lt;&gt;"")*(I8=""),IF((I4&lt;=$B$219)*((I5&gt;=$C$219)+(I5&lt;2/24)),1,0),0)</f>
        <v>0</v>
      </c>
      <c r="AJ5" s="6">
        <f>IF((J4&lt;&gt;"")*(J8=""),IF((J4&lt;=$B$219)*((J5&gt;=$C$219)+(J5&lt;2/24)),1,0),0)</f>
        <v>0</v>
      </c>
    </row>
    <row r="6" spans="1:36" x14ac:dyDescent="0.2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D6" s="6">
        <f>IF((D4&lt;&gt;"")*(D8=""),IF((D4&lt;=$B$220)*((D5&gt;=$C$220)+(D5&lt;2/24)),1,0),0)</f>
        <v>0</v>
      </c>
      <c r="AE6" s="6">
        <f>IF((E4&lt;&gt;"")*(E8=""),IF((E4&lt;=$B$220)*((E5&gt;=$C$220)+(E5&lt;2/24)),1,0),0)</f>
        <v>0</v>
      </c>
      <c r="AF6" s="6">
        <f>IF((F4&lt;&gt;"")*(F8=""),IF((F4&lt;=$B$220)*((F5&gt;=$C$220)+(F5&lt;2/24)),1,0),0)</f>
        <v>0</v>
      </c>
      <c r="AG6" s="6">
        <f>IF((G4&lt;&gt;"")*(G8=""),IF((G4&lt;=$B$220)*((G5&gt;=$C$220)+(G5&lt;2/24)),1,0),0)</f>
        <v>0</v>
      </c>
      <c r="AH6" s="6">
        <f>IF((H4&lt;&gt;"")*(H8=""),IF((H4&lt;=$B$220)*((H5&gt;=$C$220)+(H5&lt;2/24)),1,0),0)</f>
        <v>0</v>
      </c>
      <c r="AI6" s="6">
        <f>IF((I4&lt;&gt;"")*(I8=""),IF((I4&lt;=$B$220)*((I5&gt;=$C$220)+(I5&lt;2/24)),1,0),0)</f>
        <v>0</v>
      </c>
      <c r="AJ6" s="6">
        <f>IF((J4&lt;&gt;"")*(J8=""),IF((J4&lt;=$B$220)*((J5&gt;=$C$220)+(J5&lt;2/24)),1,0),0)</f>
        <v>0</v>
      </c>
    </row>
    <row r="7" spans="1:36" x14ac:dyDescent="0.2">
      <c r="A7" s="39"/>
      <c r="B7" s="40"/>
      <c r="C7" s="15" t="s">
        <v>3</v>
      </c>
      <c r="D7" s="43"/>
      <c r="E7" s="43"/>
      <c r="F7" s="43"/>
      <c r="G7" s="43"/>
      <c r="H7" s="43"/>
      <c r="I7" s="43"/>
      <c r="J7" s="44"/>
      <c r="K7" s="18">
        <f>SUMIF(D8:J8,"",D7:J7)</f>
        <v>0</v>
      </c>
      <c r="L7" s="12">
        <f>SUM(D7:J7)</f>
        <v>0</v>
      </c>
      <c r="M7" s="24"/>
      <c r="N7" s="10">
        <f t="shared" ref="N7:T7" si="0">IF(D8="",D7,0)</f>
        <v>0</v>
      </c>
      <c r="O7" s="10">
        <f t="shared" si="0"/>
        <v>0</v>
      </c>
      <c r="P7" s="10">
        <f t="shared" si="0"/>
        <v>0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0</v>
      </c>
      <c r="U7" s="10"/>
      <c r="V7" s="10">
        <f t="shared" ref="V7:AB7" si="1">D7</f>
        <v>0</v>
      </c>
      <c r="W7" s="10">
        <f t="shared" si="1"/>
        <v>0</v>
      </c>
      <c r="X7" s="10">
        <f t="shared" si="1"/>
        <v>0</v>
      </c>
      <c r="Y7" s="10">
        <f t="shared" si="1"/>
        <v>0</v>
      </c>
      <c r="Z7" s="10">
        <f t="shared" si="1"/>
        <v>0</v>
      </c>
      <c r="AA7" s="10">
        <f t="shared" si="1"/>
        <v>0</v>
      </c>
      <c r="AB7" s="10">
        <f t="shared" si="1"/>
        <v>0</v>
      </c>
      <c r="AD7" s="6">
        <f>IF((D4&lt;&gt;"")*(D8=""),IF((D4&lt;=$B$221)*((D5&gt;=$C$221)+(D5&lt;2/24)),1,0),0)</f>
        <v>0</v>
      </c>
      <c r="AE7" s="6">
        <f>IF((E4&lt;&gt;"")*(E8=""),IF((E4&lt;=$B$221)*((E5&gt;=$C$221)+(E5&lt;2/24)),1,0),0)</f>
        <v>0</v>
      </c>
      <c r="AF7" s="6">
        <f>IF((F4&lt;&gt;"")*(F8=""),IF((F4&lt;=$B$221)*((F5&gt;=$C$221)+(F5&lt;2/24)),1,0),0)</f>
        <v>0</v>
      </c>
      <c r="AG7" s="6">
        <f>IF((G4&lt;&gt;"")*(G8=""),IF((G4&lt;=$B$221)*((G5&gt;=$C$221)+(G5&lt;2/24)),1,0),0)</f>
        <v>0</v>
      </c>
      <c r="AH7" s="6">
        <f>IF((H4&lt;&gt;"")*(H8=""),IF((H4&lt;=$B$221)*((H5&gt;=$C$221)+(H5&lt;2/24)),1,0),0)</f>
        <v>0</v>
      </c>
      <c r="AI7" s="6">
        <f>IF((I4&lt;&gt;"")*(I8=""),IF((I4&lt;=$B$221)*((I5&gt;=$C$221)+(I5&lt;2/24)),1,0),0)</f>
        <v>0</v>
      </c>
      <c r="AJ7" s="6">
        <f>IF((J4&lt;&gt;"")*(J8=""),IF((J4&lt;=$B$221)*((J5&gt;=$C$221)+(J5&lt;2/24)),1,0),0)</f>
        <v>0</v>
      </c>
    </row>
    <row r="8" spans="1:36" x14ac:dyDescent="0.2">
      <c r="A8" s="39"/>
      <c r="B8" s="40"/>
      <c r="C8" s="32" t="s">
        <v>4</v>
      </c>
      <c r="D8" s="33"/>
      <c r="E8" s="33"/>
      <c r="F8" s="33"/>
      <c r="G8" s="33"/>
      <c r="H8" s="33"/>
      <c r="I8" s="33"/>
      <c r="J8" s="33"/>
      <c r="K8" s="17"/>
      <c r="L8" s="6"/>
      <c r="M8" s="25"/>
      <c r="N8" s="6"/>
      <c r="O8" s="6"/>
      <c r="P8" s="6"/>
      <c r="Q8" s="6"/>
      <c r="R8" s="6"/>
      <c r="S8" s="6"/>
      <c r="T8" s="6"/>
      <c r="U8" s="6"/>
      <c r="V8" s="20"/>
      <c r="W8" s="20"/>
      <c r="X8" s="20"/>
      <c r="Y8" s="20"/>
      <c r="Z8" s="20"/>
      <c r="AA8" s="20"/>
      <c r="AB8" s="20"/>
      <c r="AD8" s="6">
        <f>IF((D4&lt;&gt;"")*(D8=""),IF((D4&lt;=$B$222)*((D5&gt;=$C$222)+(D5&lt;2/24)),1,0),0)</f>
        <v>0</v>
      </c>
      <c r="AE8" s="6">
        <f>IF((E4&lt;&gt;"")*(E8=""),IF((E4&lt;=$B$222)*((E5&gt;=$C$222)+(E5&lt;2/24)),1,0),0)</f>
        <v>0</v>
      </c>
      <c r="AF8" s="6">
        <f>IF((F4&lt;&gt;"")*(F8=""),IF((F4&lt;=$B$222)*((F5&gt;=$C$222)+(F5&lt;2/24)),1,0),0)</f>
        <v>0</v>
      </c>
      <c r="AG8" s="6">
        <f>IF((G4&lt;&gt;"")*(G8=""),IF((G4&lt;=$B$222)*((G5&gt;=$C$222)+(G5&lt;2/24)),1,0),0)</f>
        <v>0</v>
      </c>
      <c r="AH8" s="6">
        <f>IF((H4&lt;&gt;"")*(H8=""),IF((H4&lt;=$B$222)*((H5&gt;=$C$222)+(H5&lt;2/24)),1,0),0)</f>
        <v>0</v>
      </c>
      <c r="AI8" s="6">
        <f>IF((I4&lt;&gt;"")*(I8=""),IF((I4&lt;=$B$222)*((I5&gt;=$C$222)+(I5&lt;2/24)),1,0),0)</f>
        <v>0</v>
      </c>
      <c r="AJ8" s="6">
        <f>IF((J4&lt;&gt;"")*(J8=""),IF((J4&lt;=$B$222)*((J5&gt;=$C$222)+(J5&lt;2/24)),1,0),0)</f>
        <v>0</v>
      </c>
    </row>
    <row r="9" spans="1:36" ht="13.5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  <c r="L9" s="6"/>
      <c r="M9" s="25"/>
      <c r="N9" s="6"/>
      <c r="O9" s="6"/>
      <c r="P9" s="6"/>
      <c r="Q9" s="6"/>
      <c r="R9" s="6"/>
      <c r="S9" s="6"/>
      <c r="T9" s="6"/>
      <c r="U9" s="6"/>
      <c r="V9" s="20"/>
      <c r="W9" s="20"/>
      <c r="X9" s="20"/>
      <c r="Y9" s="20"/>
      <c r="Z9" s="20"/>
      <c r="AA9" s="20"/>
      <c r="AB9" s="20"/>
      <c r="AD9" s="6"/>
      <c r="AE9" s="6"/>
      <c r="AF9" s="6"/>
      <c r="AG9" s="6"/>
      <c r="AH9" s="6"/>
      <c r="AI9" s="6"/>
      <c r="AJ9" s="6"/>
    </row>
    <row r="10" spans="1:36" x14ac:dyDescent="0.2">
      <c r="A10" s="37" t="s">
        <v>89</v>
      </c>
      <c r="B10" s="38" t="s">
        <v>90</v>
      </c>
      <c r="C10" s="14" t="s">
        <v>0</v>
      </c>
      <c r="D10" s="45">
        <v>0.77083333333333337</v>
      </c>
      <c r="E10" s="26"/>
      <c r="F10" s="45"/>
      <c r="G10" s="26">
        <v>0.54166666666666663</v>
      </c>
      <c r="H10" s="26"/>
      <c r="I10" s="26">
        <v>0.77083333333333337</v>
      </c>
      <c r="J10" s="26"/>
      <c r="K10" s="16"/>
      <c r="L10" s="6"/>
      <c r="M10" s="21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D10" s="6">
        <f>IF((D10&lt;&gt;"")*(D14=""),IF((D10&lt;=$B$218)*((D11&gt;=$C$218)+(D11&lt;2/24)),1,0),0)</f>
        <v>0</v>
      </c>
      <c r="AE10" s="6">
        <f>IF((E10&lt;&gt;"")*(E14=""),IF((E10&lt;=$B$218)*((E11&gt;=$C$218)+(E11&lt;2/24)),1,0),0)</f>
        <v>0</v>
      </c>
      <c r="AF10" s="6">
        <f>IF((F10&lt;&gt;"")*(F14=""),IF((F10&lt;=$B$218)*((F11&gt;=$C$218)+(F11&lt;2/24)),1,0),0)</f>
        <v>0</v>
      </c>
      <c r="AG10" s="6">
        <f>IF((G10&lt;&gt;"")*(G14=""),IF((G10&lt;=$B$218)*((G11&gt;=$C$218)+(G11&lt;2/24)),1,0),0)</f>
        <v>0</v>
      </c>
      <c r="AH10" s="6">
        <f>IF((H10&lt;&gt;"")*(H14=""),IF((H10&lt;=$B$218)*((H11&gt;=$C$218)+(H11&lt;2/24)),1,0),0)</f>
        <v>0</v>
      </c>
      <c r="AI10" s="6">
        <f>IF((I10&lt;&gt;"")*(I14=""),IF((I10&lt;=$B$218)*((I11&gt;=$C$218)+(I11&lt;2/24)),1,0),0)</f>
        <v>0</v>
      </c>
      <c r="AJ10" s="6">
        <f>IF((J10&lt;&gt;"")*(J14=""),IF((J10&lt;=$B$218)*((J11&gt;=$C$218)+(J11&lt;2/24)),1,0),0)</f>
        <v>0</v>
      </c>
    </row>
    <row r="11" spans="1:36" x14ac:dyDescent="0.2">
      <c r="A11" s="39"/>
      <c r="B11" s="40"/>
      <c r="C11" s="15" t="s">
        <v>1</v>
      </c>
      <c r="D11" s="3">
        <v>0.95833333333333337</v>
      </c>
      <c r="E11" s="27"/>
      <c r="F11" s="3"/>
      <c r="G11" s="27">
        <v>0.75</v>
      </c>
      <c r="H11" s="27"/>
      <c r="I11" s="27">
        <v>0.125</v>
      </c>
      <c r="J11" s="27"/>
      <c r="K11" s="17"/>
      <c r="L11" s="6"/>
      <c r="M11" s="21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D11" s="6">
        <f>IF((D10&lt;&gt;"")*(D14=""),IF((D10&lt;=$B$219)*((D11&gt;=$C$219)+(D11&lt;2/24)),1,0),0)</f>
        <v>0</v>
      </c>
      <c r="AE11" s="6">
        <f>IF((E10&lt;&gt;"")*(E14=""),IF((E10&lt;=$B$219)*((E11&gt;=$C$219)+(E11&lt;2/24)),1,0),0)</f>
        <v>0</v>
      </c>
      <c r="AF11" s="6">
        <f>IF((F10&lt;&gt;"")*(F14=""),IF((F10&lt;=$B$219)*((F11&gt;=$C$219)+(F11&lt;2/24)),1,0),0)</f>
        <v>0</v>
      </c>
      <c r="AG11" s="6">
        <f>IF((G10&lt;&gt;"")*(G14=""),IF((G10&lt;=$B$219)*((G11&gt;=$C$219)+(G11&lt;2/24)),1,0),0)</f>
        <v>1</v>
      </c>
      <c r="AH11" s="6">
        <f>IF((H10&lt;&gt;"")*(H14=""),IF((H10&lt;=$B$219)*((H11&gt;=$C$219)+(H11&lt;2/24)),1,0),0)</f>
        <v>0</v>
      </c>
      <c r="AI11" s="6">
        <f>IF((I10&lt;&gt;"")*(I14=""),IF((I10&lt;=$B$219)*((I11&gt;=$C$219)+(I11&lt;2/24)),1,0),0)</f>
        <v>0</v>
      </c>
      <c r="AJ11" s="6">
        <f>IF((J10&lt;&gt;"")*(J14=""),IF((J10&lt;=$B$219)*((J11&gt;=$C$219)+(J11&lt;2/24)),1,0),0)</f>
        <v>0</v>
      </c>
    </row>
    <row r="12" spans="1:36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D12" s="6">
        <f>IF((D10&lt;&gt;"")*(D14=""),IF((D10&lt;=$B$220)*((D11&gt;=$C$220)+(D11&lt;2/24)),1,0),0)</f>
        <v>0</v>
      </c>
      <c r="AE12" s="6">
        <f>IF((E10&lt;&gt;"")*(E14=""),IF((E10&lt;=$B$220)*((E11&gt;=$C$220)+(E11&lt;2/24)),1,0),0)</f>
        <v>0</v>
      </c>
      <c r="AF12" s="6">
        <f>IF((F10&lt;&gt;"")*(F14=""),IF((F10&lt;=$B$220)*((F11&gt;=$C$220)+(F11&lt;2/24)),1,0),0)</f>
        <v>0</v>
      </c>
      <c r="AG12" s="6">
        <f>IF((G10&lt;&gt;"")*(G14=""),IF((G10&lt;=$B$220)*((G11&gt;=$C$220)+(G11&lt;2/24)),1,0),0)</f>
        <v>1</v>
      </c>
      <c r="AH12" s="6">
        <f>IF((H10&lt;&gt;"")*(H14=""),IF((H10&lt;=$B$220)*((H11&gt;=$C$220)+(H11&lt;2/24)),1,0),0)</f>
        <v>0</v>
      </c>
      <c r="AI12" s="6">
        <f>IF((I10&lt;&gt;"")*(I14=""),IF((I10&lt;=$B$220)*((I11&gt;=$C$220)+(I11&lt;2/24)),1,0),0)</f>
        <v>0</v>
      </c>
      <c r="AJ12" s="6">
        <f>IF((J10&lt;&gt;"")*(J14=""),IF((J10&lt;=$B$220)*((J11&gt;=$C$220)+(J11&lt;2/24)),1,0),0)</f>
        <v>0</v>
      </c>
    </row>
    <row r="13" spans="1:36" x14ac:dyDescent="0.2">
      <c r="A13" s="39"/>
      <c r="B13" s="40"/>
      <c r="C13" s="15" t="s">
        <v>3</v>
      </c>
      <c r="D13" s="43">
        <v>4.5</v>
      </c>
      <c r="E13" s="43"/>
      <c r="F13" s="55"/>
      <c r="G13" s="43">
        <v>5</v>
      </c>
      <c r="H13" s="43"/>
      <c r="I13" s="43">
        <v>4.5</v>
      </c>
      <c r="J13" s="44"/>
      <c r="K13" s="18">
        <f>SUMIF(D14:J14,"",D13:J13)</f>
        <v>14</v>
      </c>
      <c r="L13" s="12">
        <f>SUM(D13:J13)</f>
        <v>14</v>
      </c>
      <c r="M13" s="24"/>
      <c r="N13" s="10">
        <f t="shared" ref="N13:T13" si="2">IF(D14="",D13,0)</f>
        <v>4.5</v>
      </c>
      <c r="O13" s="10">
        <f t="shared" si="2"/>
        <v>0</v>
      </c>
      <c r="P13" s="10">
        <f t="shared" si="2"/>
        <v>0</v>
      </c>
      <c r="Q13" s="10">
        <f t="shared" si="2"/>
        <v>5</v>
      </c>
      <c r="R13" s="10">
        <f t="shared" si="2"/>
        <v>0</v>
      </c>
      <c r="S13" s="10">
        <f t="shared" si="2"/>
        <v>4.5</v>
      </c>
      <c r="T13" s="10">
        <f t="shared" si="2"/>
        <v>0</v>
      </c>
      <c r="U13" s="10"/>
      <c r="V13" s="10">
        <f t="shared" ref="V13:AB13" si="3">D13</f>
        <v>4.5</v>
      </c>
      <c r="W13" s="10">
        <f t="shared" si="3"/>
        <v>0</v>
      </c>
      <c r="X13" s="10">
        <f t="shared" si="3"/>
        <v>0</v>
      </c>
      <c r="Y13" s="10">
        <f t="shared" si="3"/>
        <v>5</v>
      </c>
      <c r="Z13" s="10">
        <f t="shared" si="3"/>
        <v>0</v>
      </c>
      <c r="AA13" s="10">
        <f t="shared" si="3"/>
        <v>4.5</v>
      </c>
      <c r="AB13" s="10">
        <f t="shared" si="3"/>
        <v>0</v>
      </c>
      <c r="AD13" s="6">
        <f>IF((D10&lt;&gt;"")*(D14=""),IF((D10&lt;=$B$221)*((D11&gt;=$C$221)+(D11&lt;2/24)),1,0),0)</f>
        <v>1</v>
      </c>
      <c r="AE13" s="6">
        <f>IF((E10&lt;&gt;"")*(E14=""),IF((E10&lt;=$B$221)*((E11&gt;=$C$221)+(E11&lt;2/24)),1,0),0)</f>
        <v>0</v>
      </c>
      <c r="AF13" s="6">
        <f>IF((F10&lt;&gt;"")*(F14=""),IF((F10&lt;=$B$221)*((F11&gt;=$C$221)+(F11&lt;2/24)),1,0),0)</f>
        <v>0</v>
      </c>
      <c r="AG13" s="6">
        <f>IF((G10&lt;&gt;"")*(G14=""),IF((G10&lt;=$B$221)*((G11&gt;=$C$221)+(G11&lt;2/24)),1,0),0)</f>
        <v>0</v>
      </c>
      <c r="AH13" s="6">
        <f>IF((H10&lt;&gt;"")*(H14=""),IF((H10&lt;=$B$221)*((H11&gt;=$C$221)+(H11&lt;2/24)),1,0),0)</f>
        <v>0</v>
      </c>
      <c r="AI13" s="6">
        <f>IF((I10&lt;&gt;"")*(I14=""),IF((I10&lt;=$B$221)*((I11&gt;=$C$221)+(I11&lt;2/24)),1,0),0)</f>
        <v>0</v>
      </c>
      <c r="AJ13" s="6">
        <f>IF((J10&lt;&gt;"")*(J14=""),IF((J10&lt;=$B$221)*((J11&gt;=$C$221)+(J11&lt;2/24)),1,0),0)</f>
        <v>0</v>
      </c>
    </row>
    <row r="14" spans="1:36" x14ac:dyDescent="0.2">
      <c r="A14" s="39"/>
      <c r="B14" s="40"/>
      <c r="C14" s="32" t="s">
        <v>4</v>
      </c>
      <c r="D14" s="56"/>
      <c r="E14" s="33"/>
      <c r="F14" s="33"/>
      <c r="G14" s="33"/>
      <c r="H14" s="33"/>
      <c r="I14" s="33"/>
      <c r="J14" s="33"/>
      <c r="K14" s="17"/>
      <c r="L14" s="6"/>
      <c r="M14" s="25"/>
      <c r="N14" s="6"/>
      <c r="O14" s="6"/>
      <c r="P14" s="6"/>
      <c r="Q14" s="6"/>
      <c r="R14" s="6"/>
      <c r="S14" s="6"/>
      <c r="T14" s="6"/>
      <c r="U14" s="6"/>
      <c r="V14" s="20"/>
      <c r="W14" s="20"/>
      <c r="X14" s="20"/>
      <c r="Y14" s="20"/>
      <c r="Z14" s="20"/>
      <c r="AA14" s="20"/>
      <c r="AB14" s="20"/>
      <c r="AD14" s="6">
        <f>IF((D10&lt;&gt;"")*(D14=""),IF((D10&lt;=$B$222)*((D11&gt;=$C$222)+(D11&lt;2/24)),1,0),0)</f>
        <v>1</v>
      </c>
      <c r="AE14" s="6">
        <f>IF((E10&lt;&gt;"")*(E14=""),IF((E10&lt;=$B$222)*((E11&gt;=$C$222)+(E11&lt;2/24)),1,0),0)</f>
        <v>0</v>
      </c>
      <c r="AF14" s="6">
        <f>IF((F10&lt;&gt;"")*(F14=""),IF((F10&lt;=$B$222)*((F11&gt;=$C$222)+(F11&lt;2/24)),1,0),0)</f>
        <v>0</v>
      </c>
      <c r="AG14" s="6">
        <f>IF((G10&lt;&gt;"")*(G14=""),IF((G10&lt;=$B$222)*((G11&gt;=$C$222)+(G11&lt;2/24)),1,0),0)</f>
        <v>0</v>
      </c>
      <c r="AH14" s="6">
        <f>IF((H10&lt;&gt;"")*(H14=""),IF((H10&lt;=$B$222)*((H11&gt;=$C$222)+(H11&lt;2/24)),1,0),0)</f>
        <v>0</v>
      </c>
      <c r="AI14" s="6">
        <f>IF((I10&lt;&gt;"")*(I14=""),IF((I10&lt;=$B$222)*((I11&gt;=$C$222)+(I11&lt;2/24)),1,0),0)</f>
        <v>0</v>
      </c>
      <c r="AJ14" s="6">
        <f>IF((J10&lt;&gt;"")*(J14=""),IF((J10&lt;=$B$222)*((J11&gt;=$C$222)+(J11&lt;2/24)),1,0),0)</f>
        <v>0</v>
      </c>
    </row>
    <row r="15" spans="1:36" ht="13.5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  <c r="L15" s="6"/>
      <c r="M15" s="25"/>
      <c r="N15" s="6"/>
      <c r="O15" s="6"/>
      <c r="P15" s="6"/>
      <c r="Q15" s="6"/>
      <c r="R15" s="6"/>
      <c r="S15" s="6"/>
      <c r="T15" s="6"/>
      <c r="U15" s="6"/>
      <c r="V15" s="20"/>
      <c r="W15" s="20"/>
      <c r="X15" s="20"/>
      <c r="Y15" s="20"/>
      <c r="Z15" s="20"/>
      <c r="AA15" s="20"/>
      <c r="AB15" s="20"/>
      <c r="AD15" s="6"/>
      <c r="AE15" s="6"/>
      <c r="AF15" s="6"/>
      <c r="AG15" s="6"/>
      <c r="AH15" s="6"/>
      <c r="AI15" s="6"/>
      <c r="AJ15" s="6"/>
    </row>
    <row r="16" spans="1:36" x14ac:dyDescent="0.2">
      <c r="A16" s="37" t="s">
        <v>97</v>
      </c>
      <c r="B16" s="38" t="s">
        <v>99</v>
      </c>
      <c r="C16" s="14" t="s">
        <v>0</v>
      </c>
      <c r="D16" s="45">
        <v>0.77083333333333337</v>
      </c>
      <c r="E16" s="26"/>
      <c r="F16" s="45"/>
      <c r="G16" s="26">
        <v>0.54166666666666663</v>
      </c>
      <c r="H16" s="26"/>
      <c r="I16" s="26"/>
      <c r="J16" s="26"/>
      <c r="K16" s="16"/>
      <c r="L16" s="6"/>
      <c r="M16" s="21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D16" s="6">
        <f>IF((D16&lt;&gt;"")*(D20=""),IF((D16&lt;=$B$218)*((D17&gt;=$C$218)+(D17&lt;2/24)),1,0),0)</f>
        <v>0</v>
      </c>
      <c r="AE16" s="6">
        <f>IF((E16&lt;&gt;"")*(E20=""),IF((E16&lt;=$B$218)*((E17&gt;=$C$218)+(E17&lt;2/24)),1,0),0)</f>
        <v>0</v>
      </c>
      <c r="AF16" s="6">
        <f>IF((F16&lt;&gt;"")*(F20=""),IF((F16&lt;=$B$218)*((F17&gt;=$C$218)+(F17&lt;2/24)),1,0),0)</f>
        <v>0</v>
      </c>
      <c r="AG16" s="6">
        <f>IF((G16&lt;&gt;"")*(G20=""),IF((G16&lt;=$B$218)*((G17&gt;=$C$218)+(G17&lt;2/24)),1,0),0)</f>
        <v>0</v>
      </c>
      <c r="AH16" s="6">
        <f>IF((H16&lt;&gt;"")*(H20=""),IF((H16&lt;=$B$218)*((H17&gt;=$C$218)+(H17&lt;2/24)),1,0),0)</f>
        <v>0</v>
      </c>
      <c r="AI16" s="6">
        <f>IF((I16&lt;&gt;"")*(I20=""),IF((I16&lt;=$B$218)*((I17&gt;=$C$218)+(I17&lt;2/24)),1,0),0)</f>
        <v>0</v>
      </c>
      <c r="AJ16" s="6">
        <f>IF((J16&lt;&gt;"")*(J20=""),IF((J16&lt;=$B$218)*((J17&gt;=$C$218)+(J17&lt;2/24)),1,0),0)</f>
        <v>0</v>
      </c>
    </row>
    <row r="17" spans="1:36" x14ac:dyDescent="0.2">
      <c r="A17" s="39"/>
      <c r="B17" s="40"/>
      <c r="C17" s="15" t="s">
        <v>1</v>
      </c>
      <c r="D17" s="3">
        <v>0.95833333333333337</v>
      </c>
      <c r="E17" s="27"/>
      <c r="F17" s="3"/>
      <c r="G17" s="27">
        <v>0.75</v>
      </c>
      <c r="H17" s="27"/>
      <c r="I17" s="27"/>
      <c r="J17" s="27"/>
      <c r="K17" s="17"/>
      <c r="L17" s="6"/>
      <c r="M17" s="21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D17" s="6">
        <f>IF((D16&lt;&gt;"")*(D20=""),IF((D16&lt;=$B$219)*((D17&gt;=$C$219)+(D17&lt;2/24)),1,0),0)</f>
        <v>0</v>
      </c>
      <c r="AE17" s="6">
        <f>IF((E16&lt;&gt;"")*(E20=""),IF((E16&lt;=$B$219)*((E17&gt;=$C$219)+(E17&lt;2/24)),1,0),0)</f>
        <v>0</v>
      </c>
      <c r="AF17" s="6">
        <f>IF((F16&lt;&gt;"")*(F20=""),IF((F16&lt;=$B$219)*((F17&gt;=$C$219)+(F17&lt;2/24)),1,0),0)</f>
        <v>0</v>
      </c>
      <c r="AG17" s="6">
        <f>IF((G16&lt;&gt;"")*(G20=""),IF((G16&lt;=$B$219)*((G17&gt;=$C$219)+(G17&lt;2/24)),1,0),0)</f>
        <v>1</v>
      </c>
      <c r="AH17" s="6">
        <f>IF((H16&lt;&gt;"")*(H20=""),IF((H16&lt;=$B$219)*((H17&gt;=$C$219)+(H17&lt;2/24)),1,0),0)</f>
        <v>0</v>
      </c>
      <c r="AI17" s="6">
        <f>IF((I16&lt;&gt;"")*(I20=""),IF((I16&lt;=$B$219)*((I17&gt;=$C$219)+(I17&lt;2/24)),1,0),0)</f>
        <v>0</v>
      </c>
      <c r="AJ17" s="6">
        <f>IF((J16&lt;&gt;"")*(J20=""),IF((J16&lt;=$B$219)*((J17&gt;=$C$219)+(J17&lt;2/24)),1,0),0)</f>
        <v>0</v>
      </c>
    </row>
    <row r="18" spans="1:36" x14ac:dyDescent="0.2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D18" s="6">
        <f>IF((D16&lt;&gt;"")*(D20=""),IF((D16&lt;=$B$220)*((D17&gt;=$C$220)+(D17&lt;2/24)),1,0),0)</f>
        <v>0</v>
      </c>
      <c r="AE18" s="6">
        <f>IF((E16&lt;&gt;"")*(E20=""),IF((E16&lt;=$B$220)*((E17&gt;=$C$220)+(E17&lt;2/24)),1,0),0)</f>
        <v>0</v>
      </c>
      <c r="AF18" s="6">
        <f>IF((F16&lt;&gt;"")*(F20=""),IF((F16&lt;=$B$220)*((F17&gt;=$C$220)+(F17&lt;2/24)),1,0),0)</f>
        <v>0</v>
      </c>
      <c r="AG18" s="6">
        <f>IF((G16&lt;&gt;"")*(G20=""),IF((G16&lt;=$B$220)*((G17&gt;=$C$220)+(G17&lt;2/24)),1,0),0)</f>
        <v>1</v>
      </c>
      <c r="AH18" s="6">
        <f>IF((H16&lt;&gt;"")*(H20=""),IF((H16&lt;=$B$220)*((H17&gt;=$C$220)+(H17&lt;2/24)),1,0),0)</f>
        <v>0</v>
      </c>
      <c r="AI18" s="6">
        <f>IF((I16&lt;&gt;"")*(I20=""),IF((I16&lt;=$B$220)*((I17&gt;=$C$220)+(I17&lt;2/24)),1,0),0)</f>
        <v>0</v>
      </c>
      <c r="AJ18" s="6">
        <f>IF((J16&lt;&gt;"")*(J20=""),IF((J16&lt;=$B$220)*((J17&gt;=$C$220)+(J17&lt;2/24)),1,0),0)</f>
        <v>0</v>
      </c>
    </row>
    <row r="19" spans="1:36" x14ac:dyDescent="0.2">
      <c r="A19" s="39"/>
      <c r="B19" s="40"/>
      <c r="C19" s="15" t="s">
        <v>3</v>
      </c>
      <c r="D19" s="43">
        <v>4.5</v>
      </c>
      <c r="E19" s="43"/>
      <c r="F19" s="55"/>
      <c r="G19" s="43">
        <v>5</v>
      </c>
      <c r="H19" s="43"/>
      <c r="I19" s="43"/>
      <c r="J19" s="44"/>
      <c r="K19" s="18">
        <f>SUMIF(D20:J20,"",D19:J19)</f>
        <v>9.5</v>
      </c>
      <c r="L19" s="12">
        <f>SUM(D19:J19)</f>
        <v>9.5</v>
      </c>
      <c r="M19" s="24"/>
      <c r="N19" s="10">
        <f t="shared" ref="N19" si="4">IF(D20="",D19,0)</f>
        <v>4.5</v>
      </c>
      <c r="O19" s="10">
        <f t="shared" ref="O19" si="5">IF(E20="",E19,0)</f>
        <v>0</v>
      </c>
      <c r="P19" s="10">
        <f t="shared" ref="P19" si="6">IF(F20="",F19,0)</f>
        <v>0</v>
      </c>
      <c r="Q19" s="10">
        <f t="shared" ref="Q19" si="7">IF(G20="",G19,0)</f>
        <v>5</v>
      </c>
      <c r="R19" s="10">
        <f t="shared" ref="R19" si="8">IF(H20="",H19,0)</f>
        <v>0</v>
      </c>
      <c r="S19" s="10">
        <f t="shared" ref="S19" si="9">IF(I20="",I19,0)</f>
        <v>0</v>
      </c>
      <c r="T19" s="10">
        <f t="shared" ref="T19" si="10">IF(J20="",J19,0)</f>
        <v>0</v>
      </c>
      <c r="U19" s="10"/>
      <c r="V19" s="10">
        <f t="shared" ref="V19" si="11">D19</f>
        <v>4.5</v>
      </c>
      <c r="W19" s="10">
        <f t="shared" ref="W19" si="12">E19</f>
        <v>0</v>
      </c>
      <c r="X19" s="10">
        <f t="shared" ref="X19" si="13">F19</f>
        <v>0</v>
      </c>
      <c r="Y19" s="10">
        <f t="shared" ref="Y19" si="14">G19</f>
        <v>5</v>
      </c>
      <c r="Z19" s="10">
        <f t="shared" ref="Z19" si="15">H19</f>
        <v>0</v>
      </c>
      <c r="AA19" s="10">
        <f t="shared" ref="AA19" si="16">I19</f>
        <v>0</v>
      </c>
      <c r="AB19" s="10">
        <f t="shared" ref="AB19" si="17">J19</f>
        <v>0</v>
      </c>
      <c r="AD19" s="6">
        <f>IF((D16&lt;&gt;"")*(D20=""),IF((D16&lt;=$B$221)*((D17&gt;=$C$221)+(D17&lt;2/24)),1,0),0)</f>
        <v>1</v>
      </c>
      <c r="AE19" s="6">
        <f>IF((E16&lt;&gt;"")*(E20=""),IF((E16&lt;=$B$221)*((E17&gt;=$C$221)+(E17&lt;2/24)),1,0),0)</f>
        <v>0</v>
      </c>
      <c r="AF19" s="6">
        <f>IF((F16&lt;&gt;"")*(F20=""),IF((F16&lt;=$B$221)*((F17&gt;=$C$221)+(F17&lt;2/24)),1,0),0)</f>
        <v>0</v>
      </c>
      <c r="AG19" s="6">
        <f>IF((G16&lt;&gt;"")*(G20=""),IF((G16&lt;=$B$221)*((G17&gt;=$C$221)+(G17&lt;2/24)),1,0),0)</f>
        <v>0</v>
      </c>
      <c r="AH19" s="6">
        <f>IF((H16&lt;&gt;"")*(H20=""),IF((H16&lt;=$B$221)*((H17&gt;=$C$221)+(H17&lt;2/24)),1,0),0)</f>
        <v>0</v>
      </c>
      <c r="AI19" s="6">
        <f>IF((I16&lt;&gt;"")*(I20=""),IF((I16&lt;=$B$221)*((I17&gt;=$C$221)+(I17&lt;2/24)),1,0),0)</f>
        <v>0</v>
      </c>
      <c r="AJ19" s="6">
        <f>IF((J16&lt;&gt;"")*(J20=""),IF((J16&lt;=$B$221)*((J17&gt;=$C$221)+(J17&lt;2/24)),1,0),0)</f>
        <v>0</v>
      </c>
    </row>
    <row r="20" spans="1:36" x14ac:dyDescent="0.2">
      <c r="A20" s="39"/>
      <c r="B20" s="40"/>
      <c r="C20" s="32" t="s">
        <v>4</v>
      </c>
      <c r="D20" s="56"/>
      <c r="E20" s="33"/>
      <c r="F20" s="33"/>
      <c r="G20" s="33"/>
      <c r="H20" s="33"/>
      <c r="I20" s="33"/>
      <c r="J20" s="33"/>
      <c r="K20" s="17"/>
      <c r="L20" s="6"/>
      <c r="M20" s="25"/>
      <c r="N20" s="6"/>
      <c r="O20" s="6"/>
      <c r="P20" s="6"/>
      <c r="Q20" s="6"/>
      <c r="R20" s="6"/>
      <c r="S20" s="6"/>
      <c r="T20" s="6"/>
      <c r="U20" s="6"/>
      <c r="V20" s="20"/>
      <c r="W20" s="20"/>
      <c r="X20" s="20"/>
      <c r="Y20" s="20"/>
      <c r="Z20" s="20"/>
      <c r="AA20" s="20"/>
      <c r="AB20" s="20"/>
      <c r="AD20" s="6">
        <f>IF((D16&lt;&gt;"")*(D20=""),IF((D16&lt;=$B$222)*((D17&gt;=$C$222)+(D17&lt;2/24)),1,0),0)</f>
        <v>1</v>
      </c>
      <c r="AE20" s="6">
        <f>IF((E16&lt;&gt;"")*(E20=""),IF((E16&lt;=$B$222)*((E17&gt;=$C$222)+(E17&lt;2/24)),1,0),0)</f>
        <v>0</v>
      </c>
      <c r="AF20" s="6">
        <f>IF((F16&lt;&gt;"")*(F20=""),IF((F16&lt;=$B$222)*((F17&gt;=$C$222)+(F17&lt;2/24)),1,0),0)</f>
        <v>0</v>
      </c>
      <c r="AG20" s="6">
        <f>IF((G16&lt;&gt;"")*(G20=""),IF((G16&lt;=$B$222)*((G17&gt;=$C$222)+(G17&lt;2/24)),1,0),0)</f>
        <v>0</v>
      </c>
      <c r="AH20" s="6">
        <f>IF((H16&lt;&gt;"")*(H20=""),IF((H16&lt;=$B$222)*((H17&gt;=$C$222)+(H17&lt;2/24)),1,0),0)</f>
        <v>0</v>
      </c>
      <c r="AI20" s="6">
        <f>IF((I16&lt;&gt;"")*(I20=""),IF((I16&lt;=$B$222)*((I17&gt;=$C$222)+(I17&lt;2/24)),1,0),0)</f>
        <v>0</v>
      </c>
      <c r="AJ20" s="6">
        <f>IF((J16&lt;&gt;"")*(J20=""),IF((J16&lt;=$B$222)*((J17&gt;=$C$222)+(J17&lt;2/24)),1,0),0)</f>
        <v>0</v>
      </c>
    </row>
    <row r="21" spans="1:36" ht="13.5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  <c r="N21" s="6"/>
      <c r="O21" s="6"/>
      <c r="P21" s="6"/>
      <c r="Q21" s="6"/>
      <c r="R21" s="6"/>
      <c r="S21" s="6"/>
      <c r="T21" s="6"/>
      <c r="U21" s="6"/>
      <c r="V21" s="20"/>
      <c r="W21" s="20"/>
      <c r="X21" s="20"/>
      <c r="Y21" s="20"/>
      <c r="Z21" s="20"/>
      <c r="AA21" s="20"/>
      <c r="AB21" s="20"/>
      <c r="AD21" s="6"/>
      <c r="AE21" s="6"/>
      <c r="AF21" s="6"/>
      <c r="AG21" s="6"/>
      <c r="AH21" s="6"/>
      <c r="AI21" s="6"/>
      <c r="AJ21" s="6"/>
    </row>
    <row r="22" spans="1:36" x14ac:dyDescent="0.2">
      <c r="A22" s="37" t="s">
        <v>128</v>
      </c>
      <c r="B22" s="38" t="s">
        <v>37</v>
      </c>
      <c r="C22" s="14" t="s">
        <v>0</v>
      </c>
      <c r="D22" s="45"/>
      <c r="E22" s="26"/>
      <c r="F22" s="45">
        <v>0.77083333333333337</v>
      </c>
      <c r="G22" s="26"/>
      <c r="H22" s="26">
        <v>0.54166666666666663</v>
      </c>
      <c r="I22" s="26"/>
      <c r="J22" s="26"/>
      <c r="K22" s="16"/>
      <c r="L22" s="6"/>
      <c r="M22" s="21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D22" s="6">
        <f>IF((D22&lt;&gt;"")*(D26=""),IF((D22&lt;=$B$440)*((D23&gt;=$C$440)+(D23&lt;2/24)),1,0),0)</f>
        <v>0</v>
      </c>
      <c r="AE22" s="6">
        <f>IF((E22&lt;&gt;"")*(E26=""),IF((E22&lt;=$B$440)*((E23&gt;=$C$440)+(E23&lt;2/24)),1,0),0)</f>
        <v>0</v>
      </c>
      <c r="AF22" s="6">
        <f>IF((F22&lt;&gt;"")*(F26=""),IF((F22&lt;=$B$440)*((F23&gt;=$C$440)+(F23&lt;2/24)),1,0),0)</f>
        <v>0</v>
      </c>
      <c r="AG22" s="6">
        <f>IF((G22&lt;&gt;"")*(G26=""),IF((G22&lt;=$B$440)*((G23&gt;=$C$440)+(G23&lt;2/24)),1,0),0)</f>
        <v>0</v>
      </c>
      <c r="AH22" s="6">
        <f>IF((H22&lt;&gt;"")*(H26=""),IF((H22&lt;=$B$440)*((H23&gt;=$C$440)+(H23&lt;2/24)),1,0),0)</f>
        <v>0</v>
      </c>
      <c r="AI22" s="6">
        <f>IF((I22&lt;&gt;"")*(I26=""),IF((I22&lt;=$B$440)*((I23&gt;=$C$440)+(I23&lt;2/24)),1,0),0)</f>
        <v>0</v>
      </c>
      <c r="AJ22" s="6">
        <f>IF((J22&lt;&gt;"")*(J26=""),IF((J22&lt;=$B$440)*((J23&gt;=$C$440)+(J23&lt;2/24)),1,0),0)</f>
        <v>0</v>
      </c>
    </row>
    <row r="23" spans="1:36" x14ac:dyDescent="0.2">
      <c r="A23" s="39"/>
      <c r="B23" s="40"/>
      <c r="C23" s="15" t="s">
        <v>1</v>
      </c>
      <c r="D23" s="3"/>
      <c r="E23" s="27"/>
      <c r="F23" s="3">
        <v>0.95833333333333337</v>
      </c>
      <c r="G23" s="27"/>
      <c r="H23" s="27">
        <v>0.75</v>
      </c>
      <c r="I23" s="27"/>
      <c r="J23" s="27"/>
      <c r="K23" s="17"/>
      <c r="L23" s="6"/>
      <c r="M23" s="21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D23" s="6">
        <f>IF((D22&lt;&gt;"")*(D26=""),IF((D22&lt;=$B$441)*((D23&gt;=$C$441)+(D23&lt;2/24)),1,0),0)</f>
        <v>0</v>
      </c>
      <c r="AE23" s="6">
        <f>IF((E22&lt;&gt;"")*(E26=""),IF((E22&lt;=$B$441)*((E23&gt;=$C$441)+(E23&lt;2/24)),1,0),0)</f>
        <v>0</v>
      </c>
      <c r="AF23" s="6">
        <f>IF((F22&lt;&gt;"")*(F26=""),IF((F22&lt;=$B$441)*((F23&gt;=$C$441)+(F23&lt;2/24)),1,0),0)</f>
        <v>0</v>
      </c>
      <c r="AG23" s="6">
        <f>IF((G22&lt;&gt;"")*(G26=""),IF((G22&lt;=$B$441)*((G23&gt;=$C$441)+(G23&lt;2/24)),1,0),0)</f>
        <v>0</v>
      </c>
      <c r="AH23" s="6">
        <f>IF((H22&lt;&gt;"")*(H26=""),IF((H22&lt;=$B$441)*((H23&gt;=$C$441)+(H23&lt;2/24)),1,0),0)</f>
        <v>0</v>
      </c>
      <c r="AI23" s="6">
        <f>IF((I22&lt;&gt;"")*(I26=""),IF((I22&lt;=$B$441)*((I23&gt;=$C$441)+(I23&lt;2/24)),1,0),0)</f>
        <v>0</v>
      </c>
      <c r="AJ23" s="6">
        <f>IF((J22&lt;&gt;"")*(J26=""),IF((J22&lt;=$B$441)*((J23&gt;=$C$441)+(J23&lt;2/24)),1,0),0)</f>
        <v>0</v>
      </c>
    </row>
    <row r="24" spans="1:36" x14ac:dyDescent="0.2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D24" s="6">
        <f>IF((D22&lt;&gt;"")*(D26=""),IF((D22&lt;=$B$442)*((D23&gt;=$C$442)+(D23&lt;2/24)),1,0),0)</f>
        <v>0</v>
      </c>
      <c r="AE24" s="6">
        <f>IF((E22&lt;&gt;"")*(E26=""),IF((E22&lt;=$B$442)*((E23&gt;=$C$442)+(E23&lt;2/24)),1,0),0)</f>
        <v>0</v>
      </c>
      <c r="AF24" s="6">
        <f>IF((F22&lt;&gt;"")*(F26=""),IF((F22&lt;=$B$442)*((F23&gt;=$C$442)+(F23&lt;2/24)),1,0),0)</f>
        <v>0</v>
      </c>
      <c r="AG24" s="6">
        <f>IF((G22&lt;&gt;"")*(G26=""),IF((G22&lt;=$B$442)*((G23&gt;=$C$442)+(G23&lt;2/24)),1,0),0)</f>
        <v>0</v>
      </c>
      <c r="AH24" s="6">
        <f>IF((H22&lt;&gt;"")*(H26=""),IF((H22&lt;=$B$442)*((H23&gt;=$C$442)+(H23&lt;2/24)),1,0),0)</f>
        <v>0</v>
      </c>
      <c r="AI24" s="6">
        <f>IF((I22&lt;&gt;"")*(I26=""),IF((I22&lt;=$B$442)*((I23&gt;=$C$442)+(I23&lt;2/24)),1,0),0)</f>
        <v>0</v>
      </c>
      <c r="AJ24" s="6">
        <f>IF((J22&lt;&gt;"")*(J26=""),IF((J22&lt;=$B$442)*((J23&gt;=$C$442)+(J23&lt;2/24)),1,0),0)</f>
        <v>0</v>
      </c>
    </row>
    <row r="25" spans="1:36" x14ac:dyDescent="0.2">
      <c r="A25" s="39"/>
      <c r="B25" s="40"/>
      <c r="C25" s="15" t="s">
        <v>3</v>
      </c>
      <c r="D25" s="19"/>
      <c r="E25" s="43"/>
      <c r="F25" s="55">
        <v>4.5</v>
      </c>
      <c r="G25" s="43"/>
      <c r="H25" s="43">
        <v>5</v>
      </c>
      <c r="I25" s="43"/>
      <c r="J25" s="44"/>
      <c r="K25" s="18">
        <f>SUMIF(D26:J26,"",D25:J25)</f>
        <v>9.5</v>
      </c>
      <c r="L25" s="12">
        <f>SUM(D25:J25)</f>
        <v>9.5</v>
      </c>
      <c r="M25" s="24"/>
      <c r="N25" s="10">
        <f t="shared" ref="N25" si="18">IF(D26="",D25,0)</f>
        <v>0</v>
      </c>
      <c r="O25" s="10">
        <f t="shared" ref="O25" si="19">IF(E26="",E25,0)</f>
        <v>0</v>
      </c>
      <c r="P25" s="10">
        <f t="shared" ref="P25" si="20">IF(F26="",F25,0)</f>
        <v>4.5</v>
      </c>
      <c r="Q25" s="10">
        <f t="shared" ref="Q25" si="21">IF(G26="",G25,0)</f>
        <v>0</v>
      </c>
      <c r="R25" s="10">
        <f t="shared" ref="R25" si="22">IF(H26="",H25,0)</f>
        <v>5</v>
      </c>
      <c r="S25" s="10">
        <f t="shared" ref="S25" si="23">IF(I26="",I25,0)</f>
        <v>0</v>
      </c>
      <c r="T25" s="10">
        <f t="shared" ref="T25" si="24">IF(J26="",J25,0)</f>
        <v>0</v>
      </c>
      <c r="U25" s="10"/>
      <c r="V25" s="10">
        <f t="shared" ref="V25" si="25">D25</f>
        <v>0</v>
      </c>
      <c r="W25" s="10">
        <f t="shared" ref="W25" si="26">E25</f>
        <v>0</v>
      </c>
      <c r="X25" s="10">
        <f t="shared" ref="X25" si="27">F25</f>
        <v>4.5</v>
      </c>
      <c r="Y25" s="10">
        <f t="shared" ref="Y25" si="28">G25</f>
        <v>0</v>
      </c>
      <c r="Z25" s="10">
        <f t="shared" ref="Z25" si="29">H25</f>
        <v>5</v>
      </c>
      <c r="AA25" s="10">
        <f t="shared" ref="AA25" si="30">I25</f>
        <v>0</v>
      </c>
      <c r="AB25" s="10">
        <f t="shared" ref="AB25" si="31">J25</f>
        <v>0</v>
      </c>
      <c r="AD25" s="6">
        <f>IF((D22&lt;&gt;"")*(D26=""),IF((D22&lt;=$B$443)*((D23&gt;=$C$443)+(D23&lt;2/24)),1,0),0)</f>
        <v>0</v>
      </c>
      <c r="AE25" s="6">
        <f>IF((E22&lt;&gt;"")*(E26=""),IF((E22&lt;=$B$443)*((E23&gt;=$C$443)+(E23&lt;2/24)),1,0),0)</f>
        <v>0</v>
      </c>
      <c r="AF25" s="6">
        <f>IF((F22&lt;&gt;"")*(F26=""),IF((F22&lt;=$B$443)*((F23&gt;=$C$443)+(F23&lt;2/24)),1,0),0)</f>
        <v>0</v>
      </c>
      <c r="AG25" s="6">
        <f>IF((G22&lt;&gt;"")*(G26=""),IF((G22&lt;=$B$443)*((G23&gt;=$C$443)+(G23&lt;2/24)),1,0),0)</f>
        <v>0</v>
      </c>
      <c r="AH25" s="6">
        <f>IF((H22&lt;&gt;"")*(H26=""),IF((H22&lt;=$B$443)*((H23&gt;=$C$443)+(H23&lt;2/24)),1,0),0)</f>
        <v>0</v>
      </c>
      <c r="AI25" s="6">
        <f>IF((I22&lt;&gt;"")*(I26=""),IF((I22&lt;=$B$443)*((I23&gt;=$C$443)+(I23&lt;2/24)),1,0),0)</f>
        <v>0</v>
      </c>
      <c r="AJ25" s="6">
        <f>IF((J22&lt;&gt;"")*(J26=""),IF((J22&lt;=$B$443)*((J23&gt;=$C$443)+(J23&lt;2/24)),1,0),0)</f>
        <v>0</v>
      </c>
    </row>
    <row r="26" spans="1:36" x14ac:dyDescent="0.2">
      <c r="A26" s="39"/>
      <c r="B26" s="40"/>
      <c r="C26" s="32" t="s">
        <v>4</v>
      </c>
      <c r="D26" s="56"/>
      <c r="E26" s="33"/>
      <c r="F26" s="33"/>
      <c r="G26" s="33"/>
      <c r="H26" s="33"/>
      <c r="I26" s="33"/>
      <c r="J26" s="33"/>
      <c r="K26" s="17"/>
      <c r="L26" s="6"/>
      <c r="M26" s="25"/>
      <c r="N26" s="6"/>
      <c r="O26" s="6"/>
      <c r="P26" s="6"/>
      <c r="Q26" s="6"/>
      <c r="R26" s="6"/>
      <c r="S26" s="6"/>
      <c r="T26" s="6"/>
      <c r="U26" s="6"/>
      <c r="V26" s="20"/>
      <c r="W26" s="20"/>
      <c r="X26" s="20"/>
      <c r="Y26" s="20"/>
      <c r="Z26" s="20"/>
      <c r="AA26" s="20"/>
      <c r="AB26" s="20"/>
      <c r="AD26" s="6">
        <f>IF((D22&lt;&gt;"")*(D26=""),IF((D22&lt;=$B$444)*((D23&gt;=$C$444)+(D23&lt;2/24)),1,0),0)</f>
        <v>0</v>
      </c>
      <c r="AE26" s="6">
        <f>IF((E22&lt;&gt;"")*(E26=""),IF((E22&lt;=$B$444)*((E23&gt;=$C$444)+(E23&lt;2/24)),1,0),0)</f>
        <v>0</v>
      </c>
      <c r="AF26" s="6">
        <f>IF((F22&lt;&gt;"")*(F26=""),IF((F22&lt;=$B$444)*((F23&gt;=$C$444)+(F23&lt;2/24)),1,0),0)</f>
        <v>0</v>
      </c>
      <c r="AG26" s="6">
        <f>IF((G22&lt;&gt;"")*(G26=""),IF((G22&lt;=$B$444)*((G23&gt;=$C$444)+(G23&lt;2/24)),1,0),0)</f>
        <v>0</v>
      </c>
      <c r="AH26" s="6">
        <f>IF((H22&lt;&gt;"")*(H26=""),IF((H22&lt;=$B$444)*((H23&gt;=$C$444)+(H23&lt;2/24)),1,0),0)</f>
        <v>0</v>
      </c>
      <c r="AI26" s="6">
        <f>IF((I22&lt;&gt;"")*(I26=""),IF((I22&lt;=$B$444)*((I23&gt;=$C$444)+(I23&lt;2/24)),1,0),0)</f>
        <v>0</v>
      </c>
      <c r="AJ26" s="6">
        <f>IF((J22&lt;&gt;"")*(J26=""),IF((J22&lt;=$B$444)*((J23&gt;=$C$444)+(J23&lt;2/24)),1,0),0)</f>
        <v>0</v>
      </c>
    </row>
    <row r="27" spans="1:36" ht="13.5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  <c r="N27" s="6"/>
      <c r="O27" s="6"/>
      <c r="P27" s="6"/>
      <c r="Q27" s="6"/>
      <c r="R27" s="6"/>
      <c r="S27" s="6"/>
      <c r="T27" s="6"/>
      <c r="U27" s="6"/>
      <c r="V27" s="20"/>
      <c r="W27" s="20"/>
      <c r="X27" s="20"/>
      <c r="Y27" s="20"/>
      <c r="Z27" s="20"/>
      <c r="AA27" s="20"/>
      <c r="AB27" s="20"/>
      <c r="AD27" s="6"/>
      <c r="AE27" s="6"/>
      <c r="AF27" s="6"/>
      <c r="AG27" s="6"/>
      <c r="AH27" s="6"/>
      <c r="AI27" s="6"/>
      <c r="AJ27" s="6"/>
    </row>
    <row r="28" spans="1:36" x14ac:dyDescent="0.2">
      <c r="A28" s="37" t="s">
        <v>65</v>
      </c>
      <c r="B28" s="38" t="s">
        <v>66</v>
      </c>
      <c r="C28" s="14" t="s">
        <v>0</v>
      </c>
      <c r="D28" s="45"/>
      <c r="E28" s="26"/>
      <c r="F28" s="45"/>
      <c r="G28" s="26"/>
      <c r="H28" s="26"/>
      <c r="I28" s="26"/>
      <c r="J28" s="26"/>
      <c r="K28" s="16"/>
      <c r="L28" s="6"/>
      <c r="M28" s="21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D28" s="6">
        <f>IF((D28&lt;&gt;"")*(D32=""),IF((D28&lt;=$B$218)*((D29&gt;=$C$218)+(D29&lt;2/24)),1,0),0)</f>
        <v>0</v>
      </c>
      <c r="AE28" s="6">
        <f>IF((E28&lt;&gt;"")*(E32=""),IF((E28&lt;=$B$218)*((E29&gt;=$C$218)+(E29&lt;2/24)),1,0),0)</f>
        <v>0</v>
      </c>
      <c r="AF28" s="6">
        <f>IF((F28&lt;&gt;"")*(F32=""),IF((F28&lt;=$B$218)*((F29&gt;=$C$218)+(F29&lt;2/24)),1,0),0)</f>
        <v>0</v>
      </c>
      <c r="AG28" s="6">
        <f>IF((G28&lt;&gt;"")*(G32=""),IF((G28&lt;=$B$218)*((G29&gt;=$C$218)+(G29&lt;2/24)),1,0),0)</f>
        <v>0</v>
      </c>
      <c r="AH28" s="6">
        <f>IF((H28&lt;&gt;"")*(H32=""),IF((H28&lt;=$B$218)*((H29&gt;=$C$218)+(H29&lt;2/24)),1,0),0)</f>
        <v>0</v>
      </c>
      <c r="AI28" s="6">
        <f>IF((I28&lt;&gt;"")*(I32=""),IF((I28&lt;=$B$218)*((I29&gt;=$C$218)+(I29&lt;2/24)),1,0),0)</f>
        <v>0</v>
      </c>
      <c r="AJ28" s="6">
        <f>IF((J28&lt;&gt;"")*(J32=""),IF((J28&lt;=$B$218)*((J29&gt;=$C$218)+(J29&lt;2/24)),1,0),0)</f>
        <v>0</v>
      </c>
    </row>
    <row r="29" spans="1:36" x14ac:dyDescent="0.2">
      <c r="A29" s="39"/>
      <c r="B29" s="40"/>
      <c r="C29" s="15" t="s">
        <v>1</v>
      </c>
      <c r="D29" s="3"/>
      <c r="E29" s="27"/>
      <c r="F29" s="3"/>
      <c r="G29" s="27"/>
      <c r="H29" s="27"/>
      <c r="I29" s="27"/>
      <c r="J29" s="27"/>
      <c r="K29" s="17"/>
      <c r="L29" s="6"/>
      <c r="M29" s="21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D29" s="6">
        <f>IF((D28&lt;&gt;"")*(D32=""),IF((D28&lt;=$B$219)*((D29&gt;=$C$219)+(D29&lt;2/24)),1,0),0)</f>
        <v>0</v>
      </c>
      <c r="AE29" s="6">
        <f>IF((E28&lt;&gt;"")*(E32=""),IF((E28&lt;=$B$219)*((E29&gt;=$C$219)+(E29&lt;2/24)),1,0),0)</f>
        <v>0</v>
      </c>
      <c r="AF29" s="6">
        <f>IF((F28&lt;&gt;"")*(F32=""),IF((F28&lt;=$B$219)*((F29&gt;=$C$219)+(F29&lt;2/24)),1,0),0)</f>
        <v>0</v>
      </c>
      <c r="AG29" s="6">
        <f>IF((G28&lt;&gt;"")*(G32=""),IF((G28&lt;=$B$219)*((G29&gt;=$C$219)+(G29&lt;2/24)),1,0),0)</f>
        <v>0</v>
      </c>
      <c r="AH29" s="6">
        <f>IF((H28&lt;&gt;"")*(H32=""),IF((H28&lt;=$B$219)*((H29&gt;=$C$219)+(H29&lt;2/24)),1,0),0)</f>
        <v>0</v>
      </c>
      <c r="AI29" s="6">
        <f>IF((I28&lt;&gt;"")*(I32=""),IF((I28&lt;=$B$219)*((I29&gt;=$C$219)+(I29&lt;2/24)),1,0),0)</f>
        <v>0</v>
      </c>
      <c r="AJ29" s="6">
        <f>IF((J28&lt;&gt;"")*(J32=""),IF((J28&lt;=$B$219)*((J29&gt;=$C$219)+(J29&lt;2/24)),1,0),0)</f>
        <v>0</v>
      </c>
    </row>
    <row r="30" spans="1:36" x14ac:dyDescent="0.2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D30" s="6">
        <f>IF((D28&lt;&gt;"")*(D32=""),IF((D28&lt;=$B$220)*((D29&gt;=$C$220)+(D29&lt;2/24)),1,0),0)</f>
        <v>0</v>
      </c>
      <c r="AE30" s="6">
        <f>IF((E28&lt;&gt;"")*(E32=""),IF((E28&lt;=$B$220)*((E29&gt;=$C$220)+(E29&lt;2/24)),1,0),0)</f>
        <v>0</v>
      </c>
      <c r="AF30" s="6">
        <f>IF((F28&lt;&gt;"")*(F32=""),IF((F28&lt;=$B$220)*((F29&gt;=$C$220)+(F29&lt;2/24)),1,0),0)</f>
        <v>0</v>
      </c>
      <c r="AG30" s="6">
        <f>IF((G28&lt;&gt;"")*(G32=""),IF((G28&lt;=$B$220)*((G29&gt;=$C$220)+(G29&lt;2/24)),1,0),0)</f>
        <v>0</v>
      </c>
      <c r="AH30" s="6">
        <f>IF((H28&lt;&gt;"")*(H32=""),IF((H28&lt;=$B$220)*((H29&gt;=$C$220)+(H29&lt;2/24)),1,0),0)</f>
        <v>0</v>
      </c>
      <c r="AI30" s="6">
        <f>IF((I28&lt;&gt;"")*(I32=""),IF((I28&lt;=$B$220)*((I29&gt;=$C$220)+(I29&lt;2/24)),1,0),0)</f>
        <v>0</v>
      </c>
      <c r="AJ30" s="6">
        <f>IF((J28&lt;&gt;"")*(J32=""),IF((J28&lt;=$B$220)*((J29&gt;=$C$220)+(J29&lt;2/24)),1,0),0)</f>
        <v>0</v>
      </c>
    </row>
    <row r="31" spans="1:36" x14ac:dyDescent="0.2">
      <c r="A31" s="39"/>
      <c r="B31" s="40"/>
      <c r="C31" s="15" t="s">
        <v>3</v>
      </c>
      <c r="D31" s="19"/>
      <c r="E31" s="43"/>
      <c r="F31" s="59"/>
      <c r="G31" s="43"/>
      <c r="H31" s="43"/>
      <c r="I31" s="43"/>
      <c r="J31" s="44"/>
      <c r="K31" s="18">
        <f>SUMIF(D32:J32,"",D31:J31)</f>
        <v>0</v>
      </c>
      <c r="L31" s="12">
        <f>SUM(D31:J31)</f>
        <v>0</v>
      </c>
      <c r="M31" s="24"/>
      <c r="N31" s="10">
        <f t="shared" ref="N31:T31" si="32">IF(D32="",D31,0)</f>
        <v>0</v>
      </c>
      <c r="O31" s="10">
        <f t="shared" si="32"/>
        <v>0</v>
      </c>
      <c r="P31" s="10">
        <f t="shared" si="32"/>
        <v>0</v>
      </c>
      <c r="Q31" s="10">
        <f t="shared" si="32"/>
        <v>0</v>
      </c>
      <c r="R31" s="10">
        <f t="shared" si="32"/>
        <v>0</v>
      </c>
      <c r="S31" s="10">
        <f t="shared" si="32"/>
        <v>0</v>
      </c>
      <c r="T31" s="10">
        <f t="shared" si="32"/>
        <v>0</v>
      </c>
      <c r="U31" s="10"/>
      <c r="V31" s="10">
        <f t="shared" ref="V31:AB31" si="33">D31</f>
        <v>0</v>
      </c>
      <c r="W31" s="10">
        <f t="shared" si="33"/>
        <v>0</v>
      </c>
      <c r="X31" s="10">
        <f t="shared" si="33"/>
        <v>0</v>
      </c>
      <c r="Y31" s="10">
        <f t="shared" si="33"/>
        <v>0</v>
      </c>
      <c r="Z31" s="10">
        <f t="shared" si="33"/>
        <v>0</v>
      </c>
      <c r="AA31" s="10">
        <f t="shared" si="33"/>
        <v>0</v>
      </c>
      <c r="AB31" s="10">
        <f t="shared" si="33"/>
        <v>0</v>
      </c>
      <c r="AD31" s="6">
        <f>IF((D28&lt;&gt;"")*(D32=""),IF((D28&lt;=$B$221)*((D29&gt;=$C$221)+(D29&lt;2/24)),1,0),0)</f>
        <v>0</v>
      </c>
      <c r="AE31" s="6">
        <f>IF((E28&lt;&gt;"")*(E32=""),IF((E28&lt;=$B$221)*((E29&gt;=$C$221)+(E29&lt;2/24)),1,0),0)</f>
        <v>0</v>
      </c>
      <c r="AF31" s="6">
        <f>IF((F28&lt;&gt;"")*(F32=""),IF((F28&lt;=$B$221)*((F29&gt;=$C$221)+(F29&lt;2/24)),1,0),0)</f>
        <v>0</v>
      </c>
      <c r="AG31" s="6">
        <f>IF((G28&lt;&gt;"")*(G32=""),IF((G28&lt;=$B$221)*((G29&gt;=$C$221)+(G29&lt;2/24)),1,0),0)</f>
        <v>0</v>
      </c>
      <c r="AH31" s="6">
        <f>IF((H28&lt;&gt;"")*(H32=""),IF((H28&lt;=$B$221)*((H29&gt;=$C$221)+(H29&lt;2/24)),1,0),0)</f>
        <v>0</v>
      </c>
      <c r="AI31" s="6">
        <f>IF((I28&lt;&gt;"")*(I32=""),IF((I28&lt;=$B$221)*((I29&gt;=$C$221)+(I29&lt;2/24)),1,0),0)</f>
        <v>0</v>
      </c>
      <c r="AJ31" s="6">
        <f>IF((J28&lt;&gt;"")*(J32=""),IF((J28&lt;=$B$221)*((J29&gt;=$C$221)+(J29&lt;2/24)),1,0),0)</f>
        <v>0</v>
      </c>
    </row>
    <row r="32" spans="1:36" x14ac:dyDescent="0.2">
      <c r="A32" s="39"/>
      <c r="B32" s="40"/>
      <c r="C32" s="32" t="s">
        <v>4</v>
      </c>
      <c r="D32" s="56"/>
      <c r="E32" s="33"/>
      <c r="F32" s="33"/>
      <c r="G32" s="33"/>
      <c r="H32" s="33"/>
      <c r="I32" s="33"/>
      <c r="J32" s="33"/>
      <c r="K32" s="17"/>
      <c r="L32" s="6"/>
      <c r="M32" s="25"/>
      <c r="N32" s="6"/>
      <c r="O32" s="6"/>
      <c r="P32" s="6"/>
      <c r="Q32" s="6"/>
      <c r="R32" s="6"/>
      <c r="S32" s="6"/>
      <c r="T32" s="6"/>
      <c r="U32" s="6"/>
      <c r="V32" s="20"/>
      <c r="W32" s="20"/>
      <c r="X32" s="20"/>
      <c r="Y32" s="20"/>
      <c r="Z32" s="20"/>
      <c r="AA32" s="20"/>
      <c r="AB32" s="20"/>
      <c r="AD32" s="6">
        <f>IF((D28&lt;&gt;"")*(D32=""),IF((D28&lt;=$B$222)*((D29&gt;=$C$222)+(D29&lt;2/24)),1,0),0)</f>
        <v>0</v>
      </c>
      <c r="AE32" s="6">
        <f>IF((E28&lt;&gt;"")*(E32=""),IF((E28&lt;=$B$222)*((E29&gt;=$C$222)+(E29&lt;2/24)),1,0),0)</f>
        <v>0</v>
      </c>
      <c r="AF32" s="6">
        <f>IF((F28&lt;&gt;"")*(F32=""),IF((F28&lt;=$B$222)*((F29&gt;=$C$222)+(F29&lt;2/24)),1,0),0)</f>
        <v>0</v>
      </c>
      <c r="AG32" s="6">
        <f>IF((G28&lt;&gt;"")*(G32=""),IF((G28&lt;=$B$222)*((G29&gt;=$C$222)+(G29&lt;2/24)),1,0),0)</f>
        <v>0</v>
      </c>
      <c r="AH32" s="6">
        <f>IF((H28&lt;&gt;"")*(H32=""),IF((H28&lt;=$B$222)*((H29&gt;=$C$222)+(H29&lt;2/24)),1,0),0)</f>
        <v>0</v>
      </c>
      <c r="AI32" s="6">
        <f>IF((I28&lt;&gt;"")*(I32=""),IF((I28&lt;=$B$222)*((I29&gt;=$C$222)+(I29&lt;2/24)),1,0),0)</f>
        <v>0</v>
      </c>
      <c r="AJ32" s="6">
        <f>IF((J28&lt;&gt;"")*(J32=""),IF((J28&lt;=$B$222)*((J29&gt;=$C$222)+(J29&lt;2/24)),1,0),0)</f>
        <v>0</v>
      </c>
    </row>
    <row r="33" spans="1:36" ht="13.5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  <c r="N33" s="6"/>
      <c r="O33" s="6"/>
      <c r="P33" s="6"/>
      <c r="Q33" s="6"/>
      <c r="R33" s="6"/>
      <c r="S33" s="6"/>
      <c r="T33" s="6"/>
      <c r="U33" s="6"/>
      <c r="V33" s="20"/>
      <c r="W33" s="20"/>
      <c r="X33" s="20"/>
      <c r="Y33" s="20"/>
      <c r="Z33" s="20"/>
      <c r="AA33" s="20"/>
      <c r="AB33" s="20"/>
      <c r="AD33" s="6"/>
      <c r="AE33" s="6"/>
      <c r="AF33" s="6"/>
      <c r="AG33" s="6"/>
      <c r="AH33" s="6"/>
      <c r="AI33" s="6"/>
      <c r="AJ33" s="6"/>
    </row>
    <row r="34" spans="1:36" x14ac:dyDescent="0.2">
      <c r="A34" s="37" t="s">
        <v>79</v>
      </c>
      <c r="B34" s="38" t="s">
        <v>55</v>
      </c>
      <c r="C34" s="14" t="s">
        <v>0</v>
      </c>
      <c r="D34" s="45"/>
      <c r="E34" s="26"/>
      <c r="F34" s="45"/>
      <c r="G34" s="26"/>
      <c r="H34" s="26"/>
      <c r="I34" s="26"/>
      <c r="J34" s="26"/>
      <c r="K34" s="16"/>
      <c r="L34" s="6"/>
      <c r="M34" s="21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D34" s="6">
        <f>IF((D34&lt;&gt;"")*(D38=""),IF((D34&lt;=$B$218)*((#REF!&gt;=$C$218)+(#REF!&lt;2/24)),1,0),0)</f>
        <v>0</v>
      </c>
      <c r="AE34" s="6">
        <f>IF((E34&lt;&gt;"")*(E38=""),IF((E34&lt;=$B$218)*((E35&gt;=$C$218)+(E35&lt;2/24)),1,0),0)</f>
        <v>0</v>
      </c>
      <c r="AF34" s="6">
        <f>IF((F34&lt;&gt;"")*(F38=""),IF((F34&lt;=$B$218)*((F35&gt;=$C$218)+(F35&lt;2/24)),1,0),0)</f>
        <v>0</v>
      </c>
      <c r="AG34" s="6">
        <f>IF((G34&lt;&gt;"")*(G38=""),IF((G34&lt;=$B$218)*((G35&gt;=$C$218)+(G35&lt;2/24)),1,0),0)</f>
        <v>0</v>
      </c>
      <c r="AH34" s="6">
        <f>IF((H34&lt;&gt;"")*(H38=""),IF((H34&lt;=$B$218)*((H35&gt;=$C$218)+(H35&lt;2/24)),1,0),0)</f>
        <v>0</v>
      </c>
      <c r="AI34" s="6">
        <f>IF((I34&lt;&gt;"")*(I38=""),IF((I34&lt;=$B$218)*((I35&gt;=$C$218)+(I35&lt;2/24)),1,0),0)</f>
        <v>0</v>
      </c>
      <c r="AJ34" s="6">
        <f>IF((J34&lt;&gt;"")*(J38=""),IF((J34&lt;=$B$218)*((J35&gt;=$C$218)+(J35&lt;2/24)),1,0),0)</f>
        <v>0</v>
      </c>
    </row>
    <row r="35" spans="1:36" x14ac:dyDescent="0.2">
      <c r="A35" s="39"/>
      <c r="B35" s="40"/>
      <c r="C35" s="15" t="s">
        <v>1</v>
      </c>
      <c r="D35" s="73"/>
      <c r="E35" s="27"/>
      <c r="F35" s="3"/>
      <c r="G35" s="27"/>
      <c r="H35" s="27"/>
      <c r="I35" s="27"/>
      <c r="J35" s="27"/>
      <c r="K35" s="17"/>
      <c r="L35" s="6"/>
      <c r="M35" s="21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D35" s="6">
        <f>IF((D34&lt;&gt;"")*(D38=""),IF((D34&lt;=$B$219)*((#REF!&gt;=$C$219)+(#REF!&lt;2/24)),1,0),0)</f>
        <v>0</v>
      </c>
      <c r="AE35" s="6">
        <f>IF((E34&lt;&gt;"")*(E38=""),IF((E34&lt;=$B$219)*((E35&gt;=$C$219)+(E35&lt;2/24)),1,0),0)</f>
        <v>0</v>
      </c>
      <c r="AF35" s="6">
        <f>IF((F34&lt;&gt;"")*(F38=""),IF((F34&lt;=$B$219)*((F35&gt;=$C$219)+(F35&lt;2/24)),1,0),0)</f>
        <v>0</v>
      </c>
      <c r="AG35" s="6">
        <f>IF((G34&lt;&gt;"")*(G38=""),IF((G34&lt;=$B$219)*((G35&gt;=$C$219)+(G35&lt;2/24)),1,0),0)</f>
        <v>0</v>
      </c>
      <c r="AH35" s="6">
        <f>IF((H34&lt;&gt;"")*(H38=""),IF((H34&lt;=$B$219)*((H35&gt;=$C$219)+(H35&lt;2/24)),1,0),0)</f>
        <v>0</v>
      </c>
      <c r="AI35" s="6">
        <f>IF((I34&lt;&gt;"")*(I38=""),IF((I34&lt;=$B$219)*((I35&gt;=$C$219)+(I35&lt;2/24)),1,0),0)</f>
        <v>0</v>
      </c>
      <c r="AJ35" s="6">
        <f>IF((J34&lt;&gt;"")*(J38=""),IF((J34&lt;=$B$219)*((J35&gt;=$C$219)+(J35&lt;2/24)),1,0),0)</f>
        <v>0</v>
      </c>
    </row>
    <row r="36" spans="1:36" x14ac:dyDescent="0.2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D36" s="6">
        <f>IF((D34&lt;&gt;"")*(D38=""),IF((D34&lt;=$B$220)*((#REF!&gt;=$C$220)+(#REF!&lt;2/24)),1,0),0)</f>
        <v>0</v>
      </c>
      <c r="AE36" s="6">
        <f>IF((E34&lt;&gt;"")*(E38=""),IF((E34&lt;=$B$220)*((E35&gt;=$C$220)+(E35&lt;2/24)),1,0),0)</f>
        <v>0</v>
      </c>
      <c r="AF36" s="6">
        <f>IF((F34&lt;&gt;"")*(F38=""),IF((F34&lt;=$B$220)*((F35&gt;=$C$220)+(F35&lt;2/24)),1,0),0)</f>
        <v>0</v>
      </c>
      <c r="AG36" s="6">
        <f>IF((G34&lt;&gt;"")*(G38=""),IF((G34&lt;=$B$220)*((G35&gt;=$C$220)+(G35&lt;2/24)),1,0),0)</f>
        <v>0</v>
      </c>
      <c r="AH36" s="6">
        <f>IF((H34&lt;&gt;"")*(H38=""),IF((H34&lt;=$B$220)*((H35&gt;=$C$220)+(H35&lt;2/24)),1,0),0)</f>
        <v>0</v>
      </c>
      <c r="AI36" s="6">
        <f>IF((I34&lt;&gt;"")*(I38=""),IF((I34&lt;=$B$220)*((I35&gt;=$C$220)+(I35&lt;2/24)),1,0),0)</f>
        <v>0</v>
      </c>
      <c r="AJ36" s="6">
        <f>IF((J34&lt;&gt;"")*(J38=""),IF((J34&lt;=$B$220)*((J35&gt;=$C$220)+(J35&lt;2/24)),1,0),0)</f>
        <v>0</v>
      </c>
    </row>
    <row r="37" spans="1:36" x14ac:dyDescent="0.2">
      <c r="A37" s="39"/>
      <c r="B37" s="40"/>
      <c r="C37" s="15" t="s">
        <v>3</v>
      </c>
      <c r="D37" s="43"/>
      <c r="E37" s="43"/>
      <c r="F37" s="55"/>
      <c r="G37" s="43"/>
      <c r="H37" s="43"/>
      <c r="I37" s="43"/>
      <c r="J37" s="44"/>
      <c r="K37" s="18">
        <f>SUMIF(D38:J38,"",D37:J37)</f>
        <v>0</v>
      </c>
      <c r="L37" s="12">
        <f>SUM(D37:J37)</f>
        <v>0</v>
      </c>
      <c r="M37" s="24"/>
      <c r="N37" s="10">
        <f t="shared" ref="N37:T37" si="34">IF(D38="",D37,0)</f>
        <v>0</v>
      </c>
      <c r="O37" s="10">
        <f t="shared" si="34"/>
        <v>0</v>
      </c>
      <c r="P37" s="10">
        <f t="shared" si="34"/>
        <v>0</v>
      </c>
      <c r="Q37" s="10">
        <f t="shared" si="34"/>
        <v>0</v>
      </c>
      <c r="R37" s="10">
        <f t="shared" si="34"/>
        <v>0</v>
      </c>
      <c r="S37" s="10">
        <f t="shared" si="34"/>
        <v>0</v>
      </c>
      <c r="T37" s="10">
        <f t="shared" si="34"/>
        <v>0</v>
      </c>
      <c r="U37" s="10"/>
      <c r="V37" s="10">
        <f t="shared" ref="V37:AB37" si="35">D37</f>
        <v>0</v>
      </c>
      <c r="W37" s="10">
        <f t="shared" si="35"/>
        <v>0</v>
      </c>
      <c r="X37" s="10">
        <f t="shared" si="35"/>
        <v>0</v>
      </c>
      <c r="Y37" s="10">
        <f t="shared" si="35"/>
        <v>0</v>
      </c>
      <c r="Z37" s="10">
        <f t="shared" si="35"/>
        <v>0</v>
      </c>
      <c r="AA37" s="10">
        <f t="shared" si="35"/>
        <v>0</v>
      </c>
      <c r="AB37" s="10">
        <f t="shared" si="35"/>
        <v>0</v>
      </c>
      <c r="AD37" s="6">
        <f>IF((D34&lt;&gt;"")*(D38=""),IF((D34&lt;=$B$221)*((#REF!&gt;=$C$221)+(#REF!&lt;2/24)),1,0),0)</f>
        <v>0</v>
      </c>
      <c r="AE37" s="6">
        <f>IF((E34&lt;&gt;"")*(E38=""),IF((E34&lt;=$B$221)*((E35&gt;=$C$221)+(E35&lt;2/24)),1,0),0)</f>
        <v>0</v>
      </c>
      <c r="AF37" s="6">
        <f>IF((F34&lt;&gt;"")*(F38=""),IF((F34&lt;=$B$221)*((F35&gt;=$C$221)+(F35&lt;2/24)),1,0),0)</f>
        <v>0</v>
      </c>
      <c r="AG37" s="6">
        <f>IF((G34&lt;&gt;"")*(G38=""),IF((G34&lt;=$B$221)*((G35&gt;=$C$221)+(G35&lt;2/24)),1,0),0)</f>
        <v>0</v>
      </c>
      <c r="AH37" s="6">
        <f>IF((H34&lt;&gt;"")*(H38=""),IF((H34&lt;=$B$221)*((H35&gt;=$C$221)+(H35&lt;2/24)),1,0),0)</f>
        <v>0</v>
      </c>
      <c r="AI37" s="6">
        <f>IF((I34&lt;&gt;"")*(I38=""),IF((I34&lt;=$B$221)*((I35&gt;=$C$221)+(I35&lt;2/24)),1,0),0)</f>
        <v>0</v>
      </c>
      <c r="AJ37" s="6">
        <f>IF((J34&lt;&gt;"")*(J38=""),IF((J34&lt;=$B$221)*((J35&gt;=$C$221)+(J35&lt;2/24)),1,0),0)</f>
        <v>0</v>
      </c>
    </row>
    <row r="38" spans="1:36" x14ac:dyDescent="0.2">
      <c r="A38" s="39"/>
      <c r="B38" s="40"/>
      <c r="C38" s="32" t="s">
        <v>4</v>
      </c>
      <c r="D38" s="56"/>
      <c r="E38" s="33"/>
      <c r="F38" s="33"/>
      <c r="G38" s="33"/>
      <c r="H38" s="33"/>
      <c r="I38" s="33"/>
      <c r="J38" s="33"/>
      <c r="K38" s="17"/>
      <c r="L38" s="6"/>
      <c r="M38" s="25"/>
      <c r="N38" s="6"/>
      <c r="O38" s="6"/>
      <c r="P38" s="6"/>
      <c r="Q38" s="6"/>
      <c r="R38" s="6"/>
      <c r="S38" s="6"/>
      <c r="T38" s="6"/>
      <c r="U38" s="6"/>
      <c r="V38" s="20"/>
      <c r="W38" s="20"/>
      <c r="X38" s="20"/>
      <c r="Y38" s="20"/>
      <c r="Z38" s="20"/>
      <c r="AA38" s="20"/>
      <c r="AB38" s="20"/>
      <c r="AD38" s="6">
        <f>IF((D34&lt;&gt;"")*(D38=""),IF((D34&lt;=$B$222)*((#REF!&gt;=$C$222)+(#REF!&lt;2/24)),1,0),0)</f>
        <v>0</v>
      </c>
      <c r="AE38" s="6">
        <f>IF((E34&lt;&gt;"")*(E38=""),IF((E34&lt;=$B$222)*((E35&gt;=$C$222)+(E35&lt;2/24)),1,0),0)</f>
        <v>0</v>
      </c>
      <c r="AF38" s="6">
        <f>IF((F34&lt;&gt;"")*(F38=""),IF((F34&lt;=$B$222)*((F35&gt;=$C$222)+(F35&lt;2/24)),1,0),0)</f>
        <v>0</v>
      </c>
      <c r="AG38" s="6">
        <f>IF((G34&lt;&gt;"")*(G38=""),IF((G34&lt;=$B$222)*((G35&gt;=$C$222)+(G35&lt;2/24)),1,0),0)</f>
        <v>0</v>
      </c>
      <c r="AH38" s="6">
        <f>IF((H34&lt;&gt;"")*(H38=""),IF((H34&lt;=$B$222)*((H35&gt;=$C$222)+(H35&lt;2/24)),1,0),0)</f>
        <v>0</v>
      </c>
      <c r="AI38" s="6">
        <f>IF((I34&lt;&gt;"")*(I38=""),IF((I34&lt;=$B$222)*((I35&gt;=$C$222)+(I35&lt;2/24)),1,0),0)</f>
        <v>0</v>
      </c>
      <c r="AJ38" s="6">
        <f>IF((J34&lt;&gt;"")*(J38=""),IF((J34&lt;=$B$222)*((J35&gt;=$C$222)+(J35&lt;2/24)),1,0),0)</f>
        <v>0</v>
      </c>
    </row>
    <row r="39" spans="1:36" ht="13.5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  <c r="N39" s="6"/>
      <c r="O39" s="6"/>
      <c r="P39" s="6"/>
      <c r="Q39" s="6"/>
      <c r="R39" s="6"/>
      <c r="S39" s="6"/>
      <c r="T39" s="6"/>
      <c r="U39" s="6"/>
      <c r="V39" s="20"/>
      <c r="W39" s="20"/>
      <c r="X39" s="20"/>
      <c r="Y39" s="20"/>
      <c r="Z39" s="20"/>
      <c r="AA39" s="20"/>
      <c r="AB39" s="20"/>
      <c r="AD39" s="6"/>
      <c r="AE39" s="6"/>
      <c r="AF39" s="6"/>
      <c r="AG39" s="6"/>
      <c r="AH39" s="6"/>
      <c r="AI39" s="6"/>
      <c r="AJ39" s="6"/>
    </row>
    <row r="40" spans="1:36" x14ac:dyDescent="0.2">
      <c r="A40" s="37" t="s">
        <v>80</v>
      </c>
      <c r="B40" s="38" t="s">
        <v>81</v>
      </c>
      <c r="C40" s="14" t="s">
        <v>0</v>
      </c>
      <c r="D40" s="26">
        <v>0.54166666666666663</v>
      </c>
      <c r="E40" s="26"/>
      <c r="F40" s="26">
        <v>0.54166666666666663</v>
      </c>
      <c r="G40" s="26"/>
      <c r="H40" s="26">
        <v>0.77083333333333337</v>
      </c>
      <c r="I40" s="26">
        <v>0.54166666666666663</v>
      </c>
      <c r="J40" s="26"/>
      <c r="K40" s="16"/>
      <c r="L40" s="6"/>
      <c r="M40" s="21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D40" s="6">
        <f>IF((D40&lt;&gt;"")*(D44=""),IF((D40&lt;=$B$212)*((D41&gt;=$C$212)+(D41&lt;2/24)),1,0),0)</f>
        <v>0</v>
      </c>
      <c r="AE40" s="6">
        <f>IF((E40&lt;&gt;"")*(E44=""),IF((E40&lt;=$B$212)*((E41&gt;=$C$212)+(E41&lt;2/24)),1,0),0)</f>
        <v>0</v>
      </c>
      <c r="AF40" s="6">
        <f>IF((F40&lt;&gt;"")*(F44=""),IF((F40&lt;=$B$212)*((F41&gt;=$C$212)+(F41&lt;2/24)),1,0),0)</f>
        <v>0</v>
      </c>
      <c r="AG40" s="6">
        <f>IF((G40&lt;&gt;"")*(G44=""),IF((G40&lt;=$B$212)*((G41&gt;=$C$212)+(G41&lt;2/24)),1,0),0)</f>
        <v>0</v>
      </c>
      <c r="AH40" s="6">
        <f>IF((H40&lt;&gt;"")*(H44=""),IF((H40&lt;=$B$212)*((H41&gt;=$C$212)+(H41&lt;2/24)),1,0),0)</f>
        <v>0</v>
      </c>
      <c r="AI40" s="6">
        <f>IF((I40&lt;&gt;"")*(I44=""),IF((I40&lt;=$B$212)*((I41&gt;=$C$212)+(I41&lt;2/24)),1,0),0)</f>
        <v>0</v>
      </c>
      <c r="AJ40" s="6">
        <f>IF((J40&lt;&gt;"")*(J44=""),IF((J40&lt;=$B$212)*((J41&gt;=$C$212)+(J41&lt;2/24)),1,0),0)</f>
        <v>0</v>
      </c>
    </row>
    <row r="41" spans="1:36" x14ac:dyDescent="0.2">
      <c r="A41" s="39"/>
      <c r="B41" s="40"/>
      <c r="C41" s="15" t="s">
        <v>1</v>
      </c>
      <c r="D41" s="27">
        <v>0.75</v>
      </c>
      <c r="E41" s="27"/>
      <c r="F41" s="27">
        <v>0.75</v>
      </c>
      <c r="G41" s="27"/>
      <c r="H41" s="27">
        <v>0.95833333333333337</v>
      </c>
      <c r="I41" s="27">
        <v>0.75</v>
      </c>
      <c r="J41" s="27"/>
      <c r="K41" s="17"/>
      <c r="L41" s="6"/>
      <c r="M41" s="21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D41" s="6">
        <f>IF((D40&lt;&gt;"")*(D44=""),IF((D40&lt;=$B$213)*((D41&gt;=$C$213)+(D41&lt;2/24)),1,0),0)</f>
        <v>0</v>
      </c>
      <c r="AE41" s="6">
        <f>IF((E40&lt;&gt;"")*(E44=""),IF((E40&lt;=$B$213)*((E41&gt;=$C$213)+(E41&lt;2/24)),1,0),0)</f>
        <v>0</v>
      </c>
      <c r="AF41" s="6">
        <f>IF((F40&lt;&gt;"")*(F44=""),IF((F40&lt;=$B$213)*((F41&gt;=$C$213)+(F41&lt;2/24)),1,0),0)</f>
        <v>0</v>
      </c>
      <c r="AG41" s="6">
        <f>IF((G40&lt;&gt;"")*(G44=""),IF((G40&lt;=$B$213)*((G41&gt;=$C$213)+(G41&lt;2/24)),1,0),0)</f>
        <v>0</v>
      </c>
      <c r="AH41" s="6">
        <f>IF((H40&lt;&gt;"")*(H44=""),IF((H40&lt;=$B$213)*((H41&gt;=$C$213)+(H41&lt;2/24)),1,0),0)</f>
        <v>0</v>
      </c>
      <c r="AI41" s="6">
        <f>IF((I40&lt;&gt;"")*(I44=""),IF((I40&lt;=$B$213)*((I41&gt;=$C$213)+(I41&lt;2/24)),1,0),0)</f>
        <v>0</v>
      </c>
      <c r="AJ41" s="6">
        <f>IF((J40&lt;&gt;"")*(J44=""),IF((J40&lt;=$B$213)*((J41&gt;=$C$213)+(J41&lt;2/24)),1,0),0)</f>
        <v>0</v>
      </c>
    </row>
    <row r="42" spans="1:36" x14ac:dyDescent="0.2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D42" s="6">
        <f>IF((D40&lt;&gt;"")*(D44=""),IF((D40&lt;=$B$214)*((D41&gt;=$C$214)+(D41&lt;2/24)),1,0),0)</f>
        <v>0</v>
      </c>
      <c r="AE42" s="6">
        <f>IF((E40&lt;&gt;"")*(E44=""),IF((E40&lt;=$B$214)*((E41&gt;=$C$214)+(E41&lt;2/24)),1,0),0)</f>
        <v>0</v>
      </c>
      <c r="AF42" s="6">
        <f>IF((F40&lt;&gt;"")*(F44=""),IF((F40&lt;=$B$214)*((F41&gt;=$C$214)+(F41&lt;2/24)),1,0),0)</f>
        <v>0</v>
      </c>
      <c r="AG42" s="6">
        <f>IF((G40&lt;&gt;"")*(G44=""),IF((G40&lt;=$B$214)*((G41&gt;=$C$214)+(G41&lt;2/24)),1,0),0)</f>
        <v>0</v>
      </c>
      <c r="AH42" s="6">
        <f>IF((H40&lt;&gt;"")*(H44=""),IF((H40&lt;=$B$214)*((H41&gt;=$C$214)+(H41&lt;2/24)),1,0),0)</f>
        <v>0</v>
      </c>
      <c r="AI42" s="6">
        <f>IF((I40&lt;&gt;"")*(I44=""),IF((I40&lt;=$B$214)*((I41&gt;=$C$214)+(I41&lt;2/24)),1,0),0)</f>
        <v>0</v>
      </c>
      <c r="AJ42" s="6">
        <f>IF((J40&lt;&gt;"")*(J44=""),IF((J40&lt;=$B$214)*((J41&gt;=$C$214)+(J41&lt;2/24)),1,0),0)</f>
        <v>0</v>
      </c>
    </row>
    <row r="43" spans="1:36" x14ac:dyDescent="0.2">
      <c r="A43" s="39"/>
      <c r="B43" s="40"/>
      <c r="C43" s="15" t="s">
        <v>3</v>
      </c>
      <c r="D43" s="43">
        <f t="shared" ref="D43:I43" si="36">IF(D40="","",IF(D41&gt;D40,(D41-D40-D42)*24,(1-D40-D42+D41)*24))</f>
        <v>5.0000000000000009</v>
      </c>
      <c r="E43" s="43" t="str">
        <f t="shared" si="36"/>
        <v/>
      </c>
      <c r="F43" s="43">
        <f t="shared" si="36"/>
        <v>5.0000000000000009</v>
      </c>
      <c r="G43" s="43" t="str">
        <f t="shared" si="36"/>
        <v/>
      </c>
      <c r="H43" s="43">
        <f t="shared" si="36"/>
        <v>4.5</v>
      </c>
      <c r="I43" s="43">
        <f t="shared" si="36"/>
        <v>5.0000000000000009</v>
      </c>
      <c r="J43" s="44"/>
      <c r="K43" s="18">
        <f>SUMIF(D44:J44,"",D43:J43)</f>
        <v>19.500000000000004</v>
      </c>
      <c r="L43" s="12">
        <f>SUM(D43:J43)</f>
        <v>19.500000000000004</v>
      </c>
      <c r="M43" s="24"/>
      <c r="N43" s="10">
        <f t="shared" ref="N43:T43" si="37">IF(D44="",D43,0)</f>
        <v>5.0000000000000009</v>
      </c>
      <c r="O43" s="10" t="str">
        <f t="shared" si="37"/>
        <v/>
      </c>
      <c r="P43" s="10">
        <f t="shared" si="37"/>
        <v>5.0000000000000009</v>
      </c>
      <c r="Q43" s="10" t="str">
        <f t="shared" si="37"/>
        <v/>
      </c>
      <c r="R43" s="10">
        <f t="shared" si="37"/>
        <v>4.5</v>
      </c>
      <c r="S43" s="10">
        <f t="shared" si="37"/>
        <v>5.0000000000000009</v>
      </c>
      <c r="T43" s="10">
        <f t="shared" si="37"/>
        <v>0</v>
      </c>
      <c r="U43" s="10"/>
      <c r="V43" s="10">
        <f t="shared" ref="V43:AB43" si="38">D43</f>
        <v>5.0000000000000009</v>
      </c>
      <c r="W43" s="10" t="str">
        <f t="shared" si="38"/>
        <v/>
      </c>
      <c r="X43" s="10">
        <f t="shared" si="38"/>
        <v>5.0000000000000009</v>
      </c>
      <c r="Y43" s="10" t="str">
        <f t="shared" si="38"/>
        <v/>
      </c>
      <c r="Z43" s="10">
        <f t="shared" si="38"/>
        <v>4.5</v>
      </c>
      <c r="AA43" s="10">
        <f t="shared" si="38"/>
        <v>5.0000000000000009</v>
      </c>
      <c r="AB43" s="10">
        <f t="shared" si="38"/>
        <v>0</v>
      </c>
      <c r="AD43" s="6">
        <f>IF((D40&lt;&gt;"")*(D44=""),IF((D40&lt;=$B$215)*((D41&gt;=$C$215)+(D41&lt;2/24)),1,0),0)</f>
        <v>0</v>
      </c>
      <c r="AE43" s="6">
        <f>IF((E40&lt;&gt;"")*(E44=""),IF((E40&lt;=$B$215)*((E41&gt;=$C$215)+(E41&lt;2/24)),1,0),0)</f>
        <v>0</v>
      </c>
      <c r="AF43" s="6">
        <f>IF((F40&lt;&gt;"")*(F44=""),IF((F40&lt;=$B$215)*((F41&gt;=$C$215)+(F41&lt;2/24)),1,0),0)</f>
        <v>0</v>
      </c>
      <c r="AG43" s="6">
        <f>IF((G40&lt;&gt;"")*(G44=""),IF((G40&lt;=$B$215)*((G41&gt;=$C$215)+(G41&lt;2/24)),1,0),0)</f>
        <v>0</v>
      </c>
      <c r="AH43" s="6">
        <f>IF((H40&lt;&gt;"")*(H44=""),IF((H40&lt;=$B$215)*((H41&gt;=$C$215)+(H41&lt;2/24)),1,0),0)</f>
        <v>0</v>
      </c>
      <c r="AI43" s="6">
        <f>IF((I40&lt;&gt;"")*(I44=""),IF((I40&lt;=$B$215)*((I41&gt;=$C$215)+(I41&lt;2/24)),1,0),0)</f>
        <v>0</v>
      </c>
      <c r="AJ43" s="6">
        <f>IF((J40&lt;&gt;"")*(J44=""),IF((J40&lt;=$B$215)*((J41&gt;=$C$215)+(J41&lt;2/24)),1,0),0)</f>
        <v>0</v>
      </c>
    </row>
    <row r="44" spans="1:36" x14ac:dyDescent="0.2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  <c r="N44" s="6"/>
      <c r="O44" s="6"/>
      <c r="P44" s="6"/>
      <c r="Q44" s="6"/>
      <c r="R44" s="6"/>
      <c r="S44" s="6"/>
      <c r="T44" s="6"/>
      <c r="U44" s="6"/>
      <c r="V44" s="20"/>
      <c r="W44" s="20"/>
      <c r="X44" s="20"/>
      <c r="Y44" s="20"/>
      <c r="Z44" s="20"/>
      <c r="AA44" s="20"/>
      <c r="AB44" s="20"/>
      <c r="AD44" s="6">
        <f>IF((D40&lt;&gt;"")*(D44=""),IF((D40&lt;=$B$216)*((D41&gt;=$C$216)+(D41&lt;2/24)),1,0),0)</f>
        <v>0</v>
      </c>
      <c r="AE44" s="6">
        <f>IF((E40&lt;&gt;"")*(E44=""),IF((E40&lt;=$B$216)*((E41&gt;=$C$216)+(E41&lt;2/24)),1,0),0)</f>
        <v>0</v>
      </c>
      <c r="AF44" s="6">
        <f>IF((F40&lt;&gt;"")*(F44=""),IF((F40&lt;=$B$216)*((F41&gt;=$C$216)+(F41&lt;2/24)),1,0),0)</f>
        <v>0</v>
      </c>
      <c r="AG44" s="6">
        <f>IF((G40&lt;&gt;"")*(G44=""),IF((G40&lt;=$B$216)*((G41&gt;=$C$216)+(G41&lt;2/24)),1,0),0)</f>
        <v>0</v>
      </c>
      <c r="AH44" s="6">
        <f>IF((H40&lt;&gt;"")*(H44=""),IF((H40&lt;=$B$216)*((H41&gt;=$C$216)+(H41&lt;2/24)),1,0),0)</f>
        <v>0</v>
      </c>
      <c r="AI44" s="6">
        <f>IF((I40&lt;&gt;"")*(I44=""),IF((I40&lt;=$B$216)*((I41&gt;=$C$216)+(I41&lt;2/24)),1,0),0)</f>
        <v>0</v>
      </c>
      <c r="AJ44" s="6">
        <f>IF((J40&lt;&gt;"")*(J44=""),IF((J40&lt;=$B$216)*((J41&gt;=$C$216)+(J41&lt;2/24)),1,0),0)</f>
        <v>0</v>
      </c>
    </row>
    <row r="45" spans="1:36" ht="13.5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  <c r="N45" s="6"/>
      <c r="O45" s="6"/>
      <c r="P45" s="6"/>
      <c r="Q45" s="6"/>
      <c r="R45" s="6"/>
      <c r="S45" s="6"/>
      <c r="T45" s="6"/>
      <c r="U45" s="6"/>
      <c r="V45" s="20"/>
      <c r="W45" s="20"/>
      <c r="X45" s="20"/>
      <c r="Y45" s="20"/>
      <c r="Z45" s="20"/>
      <c r="AA45" s="20"/>
      <c r="AB45" s="20"/>
      <c r="AD45" s="6"/>
      <c r="AE45" s="6"/>
      <c r="AF45" s="6"/>
      <c r="AG45" s="6"/>
      <c r="AH45" s="6"/>
      <c r="AI45" s="6"/>
      <c r="AJ45" s="6"/>
    </row>
    <row r="46" spans="1:36" x14ac:dyDescent="0.2">
      <c r="A46" s="37" t="s">
        <v>53</v>
      </c>
      <c r="B46" s="38" t="s">
        <v>63</v>
      </c>
      <c r="C46" s="14" t="s">
        <v>0</v>
      </c>
      <c r="D46" s="26"/>
      <c r="E46" s="26"/>
      <c r="F46" s="26">
        <v>0.54166666666666663</v>
      </c>
      <c r="G46" s="26"/>
      <c r="H46" s="26"/>
      <c r="I46" s="26"/>
      <c r="J46" s="26"/>
      <c r="K46" s="16"/>
      <c r="L46" s="6"/>
      <c r="M46" s="21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D46" s="6">
        <f>IF((D46&lt;&gt;"")*(D50=""),IF((D46&lt;=$B$218)*((D48&gt;=$C$218)+(D48&lt;2/24)),1,0),0)</f>
        <v>0</v>
      </c>
      <c r="AE46" s="6">
        <f>IF((E46&lt;&gt;"")*(E50=""),IF((E46&lt;=$B$218)*((E47&gt;=$C$218)+(E47&lt;2/24)),1,0),0)</f>
        <v>0</v>
      </c>
      <c r="AF46" s="6">
        <f>IF((F46&lt;&gt;"")*(F50=""),IF((F46&lt;=$B$218)*((F47&gt;=$C$218)+(F47&lt;2/24)),1,0),0)</f>
        <v>0</v>
      </c>
      <c r="AG46" s="6">
        <f>IF((G46&lt;&gt;"")*(G50=""),IF((G46&lt;=$B$218)*((G47&gt;=$C$218)+(G47&lt;2/24)),1,0),0)</f>
        <v>0</v>
      </c>
      <c r="AH46" s="6">
        <f>IF((H46&lt;&gt;"")*(H50=""),IF((H46&lt;=$B$218)*((H47&gt;=$C$218)+(H47&lt;2/24)),1,0),0)</f>
        <v>0</v>
      </c>
      <c r="AI46" s="6">
        <f>IF((I46&lt;&gt;"")*(I50=""),IF((I46&lt;=$B$218)*((I47&gt;=$C$218)+(I47&lt;2/24)),1,0),0)</f>
        <v>0</v>
      </c>
      <c r="AJ46" s="6">
        <f>IF((J46&lt;&gt;"")*(J50=""),IF((J46&lt;=$B$218)*((J47&gt;=$C$218)+(J47&lt;2/24)),1,0),0)</f>
        <v>0</v>
      </c>
    </row>
    <row r="47" spans="1:36" x14ac:dyDescent="0.2">
      <c r="A47" s="39"/>
      <c r="B47" s="40"/>
      <c r="C47" s="15" t="s">
        <v>1</v>
      </c>
      <c r="D47" s="73"/>
      <c r="E47" s="27"/>
      <c r="F47" s="27">
        <v>0.95833333333333337</v>
      </c>
      <c r="G47" s="27"/>
      <c r="H47" s="27"/>
      <c r="I47" s="27"/>
      <c r="J47" s="27"/>
      <c r="K47" s="17"/>
      <c r="L47" s="6"/>
      <c r="M47" s="21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D47" s="6">
        <f>IF((D46&lt;&gt;"")*(D50=""),IF((D46&lt;=$B$219)*((D48&gt;=$C$219)+(D48&lt;2/24)),1,0),0)</f>
        <v>0</v>
      </c>
      <c r="AE47" s="6">
        <f>IF((E46&lt;&gt;"")*(E50=""),IF((E46&lt;=$B$219)*((E47&gt;=$C$219)+(E47&lt;2/24)),1,0),0)</f>
        <v>0</v>
      </c>
      <c r="AF47" s="6">
        <f>IF((F46&lt;&gt;"")*(F50=""),IF((F46&lt;=$B$219)*((F47&gt;=$C$219)+(F47&lt;2/24)),1,0),0)</f>
        <v>1</v>
      </c>
      <c r="AG47" s="6">
        <f>IF((G46&lt;&gt;"")*(G50=""),IF((G46&lt;=$B$219)*((G47&gt;=$C$219)+(G47&lt;2/24)),1,0),0)</f>
        <v>0</v>
      </c>
      <c r="AH47" s="6">
        <f>IF((H46&lt;&gt;"")*(H50=""),IF((H46&lt;=$B$219)*((H47&gt;=$C$219)+(H47&lt;2/24)),1,0),0)</f>
        <v>0</v>
      </c>
      <c r="AI47" s="6">
        <f>IF((I46&lt;&gt;"")*(I50=""),IF((I46&lt;=$B$219)*((I47&gt;=$C$219)+(I47&lt;2/24)),1,0),0)</f>
        <v>0</v>
      </c>
      <c r="AJ47" s="6">
        <f>IF((J46&lt;&gt;"")*(J50=""),IF((J46&lt;=$B$219)*((J47&gt;=$C$219)+(J47&lt;2/24)),1,0),0)</f>
        <v>0</v>
      </c>
    </row>
    <row r="48" spans="1:36" x14ac:dyDescent="0.2">
      <c r="A48" s="39"/>
      <c r="B48" s="40"/>
      <c r="C48" s="15" t="s">
        <v>2</v>
      </c>
      <c r="D48" s="27"/>
      <c r="E48" s="4"/>
      <c r="F48" s="4">
        <v>4.1666666666666664E-2</v>
      </c>
      <c r="G48" s="4"/>
      <c r="H48" s="4"/>
      <c r="I48" s="4"/>
      <c r="J48" s="4"/>
      <c r="K48" s="17"/>
      <c r="L48" s="6"/>
      <c r="M48" s="21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D48" s="6">
        <f>IF((D46&lt;&gt;"")*(D50=""),IF((D46&lt;=$B$220)*((D48&gt;=$C$220)+(D48&lt;2/24)),1,0),0)</f>
        <v>0</v>
      </c>
      <c r="AE48" s="6">
        <f>IF((E46&lt;&gt;"")*(E50=""),IF((E46&lt;=$B$220)*((E47&gt;=$C$220)+(E47&lt;2/24)),1,0),0)</f>
        <v>0</v>
      </c>
      <c r="AF48" s="6">
        <f>IF((F46&lt;&gt;"")*(F50=""),IF((F46&lt;=$B$220)*((F47&gt;=$C$220)+(F47&lt;2/24)),1,0),0)</f>
        <v>1</v>
      </c>
      <c r="AG48" s="6">
        <f>IF((G46&lt;&gt;"")*(G50=""),IF((G46&lt;=$B$220)*((G47&gt;=$C$220)+(G47&lt;2/24)),1,0),0)</f>
        <v>0</v>
      </c>
      <c r="AH48" s="6">
        <f>IF((H46&lt;&gt;"")*(H50=""),IF((H46&lt;=$B$220)*((H47&gt;=$C$220)+(H47&lt;2/24)),1,0),0)</f>
        <v>0</v>
      </c>
      <c r="AI48" s="6">
        <f>IF((I46&lt;&gt;"")*(I50=""),IF((I46&lt;=$B$220)*((I47&gt;=$C$220)+(I47&lt;2/24)),1,0),0)</f>
        <v>0</v>
      </c>
      <c r="AJ48" s="6">
        <f>IF((J46&lt;&gt;"")*(J50=""),IF((J46&lt;=$B$220)*((J47&gt;=$C$220)+(J47&lt;2/24)),1,0),0)</f>
        <v>0</v>
      </c>
    </row>
    <row r="49" spans="1:36" x14ac:dyDescent="0.2">
      <c r="A49" s="39"/>
      <c r="B49" s="40"/>
      <c r="C49" s="15" t="s">
        <v>3</v>
      </c>
      <c r="D49" s="43"/>
      <c r="E49" s="43" t="str">
        <f t="shared" ref="E49:J49" si="39">IF(E46="","",IF(E47&gt;E46,(E47-E46-E48)*24,(1-E46-E48+E47)*24))</f>
        <v/>
      </c>
      <c r="F49" s="43">
        <v>9</v>
      </c>
      <c r="G49" s="43" t="str">
        <f t="shared" si="39"/>
        <v/>
      </c>
      <c r="H49" s="43" t="str">
        <f t="shared" si="39"/>
        <v/>
      </c>
      <c r="I49" s="43"/>
      <c r="J49" s="44" t="str">
        <f t="shared" si="39"/>
        <v/>
      </c>
      <c r="K49" s="18">
        <f>SUMIF(D50:J50,"",D49:J49)</f>
        <v>9</v>
      </c>
      <c r="L49" s="12">
        <f>SUM(D49:J49)</f>
        <v>9</v>
      </c>
      <c r="M49" s="24"/>
      <c r="N49" s="10">
        <f t="shared" ref="N49:T49" si="40">IF(D50="",D49,0)</f>
        <v>0</v>
      </c>
      <c r="O49" s="10" t="str">
        <f t="shared" si="40"/>
        <v/>
      </c>
      <c r="P49" s="10">
        <f t="shared" si="40"/>
        <v>9</v>
      </c>
      <c r="Q49" s="10" t="str">
        <f t="shared" si="40"/>
        <v/>
      </c>
      <c r="R49" s="10" t="str">
        <f t="shared" si="40"/>
        <v/>
      </c>
      <c r="S49" s="10">
        <f t="shared" si="40"/>
        <v>0</v>
      </c>
      <c r="T49" s="10" t="str">
        <f t="shared" si="40"/>
        <v/>
      </c>
      <c r="U49" s="10"/>
      <c r="V49" s="10">
        <f t="shared" ref="V49:AB49" si="41">D49</f>
        <v>0</v>
      </c>
      <c r="W49" s="10" t="str">
        <f t="shared" si="41"/>
        <v/>
      </c>
      <c r="X49" s="10">
        <f t="shared" si="41"/>
        <v>9</v>
      </c>
      <c r="Y49" s="10" t="str">
        <f t="shared" si="41"/>
        <v/>
      </c>
      <c r="Z49" s="10" t="str">
        <f t="shared" si="41"/>
        <v/>
      </c>
      <c r="AA49" s="10">
        <f t="shared" si="41"/>
        <v>0</v>
      </c>
      <c r="AB49" s="10" t="str">
        <f t="shared" si="41"/>
        <v/>
      </c>
      <c r="AD49" s="6">
        <f>IF((D46&lt;&gt;"")*(D50=""),IF((D46&lt;=$B$221)*((D48&gt;=$C$221)+(D48&lt;2/24)),1,0),0)</f>
        <v>0</v>
      </c>
      <c r="AE49" s="6">
        <f>IF((E46&lt;&gt;"")*(E50=""),IF((E46&lt;=$B$221)*((E47&gt;=$C$221)+(E47&lt;2/24)),1,0),0)</f>
        <v>0</v>
      </c>
      <c r="AF49" s="6">
        <f>IF((F46&lt;&gt;"")*(F50=""),IF((F46&lt;=$B$221)*((F47&gt;=$C$221)+(F47&lt;2/24)),1,0),0)</f>
        <v>1</v>
      </c>
      <c r="AG49" s="6">
        <f>IF((G46&lt;&gt;"")*(G50=""),IF((G46&lt;=$B$221)*((G47&gt;=$C$221)+(G47&lt;2/24)),1,0),0)</f>
        <v>0</v>
      </c>
      <c r="AH49" s="6">
        <f>IF((H46&lt;&gt;"")*(H50=""),IF((H46&lt;=$B$221)*((H47&gt;=$C$221)+(H47&lt;2/24)),1,0),0)</f>
        <v>0</v>
      </c>
      <c r="AI49" s="6">
        <f>IF((I46&lt;&gt;"")*(I50=""),IF((I46&lt;=$B$221)*((I47&gt;=$C$221)+(I47&lt;2/24)),1,0),0)</f>
        <v>0</v>
      </c>
      <c r="AJ49" s="6">
        <f>IF((J46&lt;&gt;"")*(J50=""),IF((J46&lt;=$B$221)*((J47&gt;=$C$221)+(J47&lt;2/24)),1,0),0)</f>
        <v>0</v>
      </c>
    </row>
    <row r="50" spans="1:36" x14ac:dyDescent="0.2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  <c r="N50" s="6"/>
      <c r="O50" s="6"/>
      <c r="P50" s="6"/>
      <c r="Q50" s="6"/>
      <c r="R50" s="6"/>
      <c r="S50" s="6"/>
      <c r="T50" s="6"/>
      <c r="U50" s="6"/>
      <c r="V50" s="20"/>
      <c r="W50" s="20"/>
      <c r="X50" s="20"/>
      <c r="Y50" s="20"/>
      <c r="Z50" s="20"/>
      <c r="AA50" s="20"/>
      <c r="AB50" s="20"/>
      <c r="AD50" s="6">
        <f>IF((D46&lt;&gt;"")*(D50=""),IF((D46&lt;=$B$222)*((D48&gt;=$C$222)+(D48&lt;2/24)),1,0),0)</f>
        <v>0</v>
      </c>
      <c r="AE50" s="6">
        <f>IF((E46&lt;&gt;"")*(E50=""),IF((E46&lt;=$B$222)*((E47&gt;=$C$222)+(E47&lt;2/24)),1,0),0)</f>
        <v>0</v>
      </c>
      <c r="AF50" s="6">
        <f>IF((F46&lt;&gt;"")*(F50=""),IF((F46&lt;=$B$222)*((F47&gt;=$C$222)+(F47&lt;2/24)),1,0),0)</f>
        <v>1</v>
      </c>
      <c r="AG50" s="6">
        <f>IF((G46&lt;&gt;"")*(G50=""),IF((G46&lt;=$B$222)*((G47&gt;=$C$222)+(G47&lt;2/24)),1,0),0)</f>
        <v>0</v>
      </c>
      <c r="AH50" s="6">
        <f>IF((H46&lt;&gt;"")*(H50=""),IF((H46&lt;=$B$222)*((H47&gt;=$C$222)+(H47&lt;2/24)),1,0),0)</f>
        <v>0</v>
      </c>
      <c r="AI50" s="6">
        <f>IF((I46&lt;&gt;"")*(I50=""),IF((I46&lt;=$B$222)*((I47&gt;=$C$222)+(I47&lt;2/24)),1,0),0)</f>
        <v>0</v>
      </c>
      <c r="AJ50" s="6">
        <f>IF((J46&lt;&gt;"")*(J50=""),IF((J46&lt;=$B$222)*((J47&gt;=$C$222)+(J47&lt;2/24)),1,0),0)</f>
        <v>0</v>
      </c>
    </row>
    <row r="51" spans="1:36" ht="13.5" thickBot="1" x14ac:dyDescent="0.25">
      <c r="A51" s="41"/>
      <c r="B51" s="42"/>
      <c r="C51" s="35" t="s">
        <v>28</v>
      </c>
      <c r="D51" s="54"/>
      <c r="E51" s="36"/>
      <c r="F51" s="36"/>
      <c r="G51" s="54"/>
      <c r="H51" s="36"/>
      <c r="I51" s="54"/>
      <c r="J51" s="36"/>
      <c r="K51" s="34"/>
      <c r="L51" s="6"/>
      <c r="M51" s="25"/>
      <c r="N51" s="6"/>
      <c r="O51" s="6"/>
      <c r="P51" s="6"/>
      <c r="Q51" s="6"/>
      <c r="R51" s="6"/>
      <c r="S51" s="6"/>
      <c r="T51" s="6"/>
      <c r="U51" s="6"/>
      <c r="V51" s="20"/>
      <c r="W51" s="20"/>
      <c r="X51" s="20"/>
      <c r="Y51" s="20"/>
      <c r="Z51" s="20"/>
      <c r="AA51" s="20"/>
      <c r="AB51" s="20"/>
      <c r="AD51" s="6"/>
      <c r="AE51" s="6"/>
      <c r="AF51" s="6"/>
      <c r="AG51" s="6"/>
      <c r="AH51" s="6"/>
      <c r="AI51" s="6"/>
      <c r="AJ51" s="6"/>
    </row>
    <row r="52" spans="1:36" x14ac:dyDescent="0.2">
      <c r="A52" s="37" t="s">
        <v>84</v>
      </c>
      <c r="B52" s="38" t="s">
        <v>85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D52" s="6">
        <f>IF((D52&lt;&gt;"")*(D56=""),IF((D52&lt;=#REF!)*((D53&gt;=#REF!)+(D53&lt;2/24)),1,0),0)</f>
        <v>0</v>
      </c>
      <c r="AE52" s="6">
        <f>IF((E52&lt;&gt;"")*(E56=""),IF((E52&lt;=#REF!)*((E53&gt;=#REF!)+(E53&lt;2/24)),1,0),0)</f>
        <v>0</v>
      </c>
      <c r="AF52" s="6">
        <f>IF((F52&lt;&gt;"")*(F56=""),IF((F52&lt;=#REF!)*((F53&gt;=#REF!)+(F53&lt;2/24)),1,0),0)</f>
        <v>0</v>
      </c>
      <c r="AG52" s="6">
        <f>IF((G52&lt;&gt;"")*(G56=""),IF((G52&lt;=#REF!)*((G53&gt;=#REF!)+(G53&lt;2/24)),1,0),0)</f>
        <v>0</v>
      </c>
      <c r="AH52" s="6">
        <f>IF((H52&lt;&gt;"")*(H56=""),IF((H52&lt;=#REF!)*((H53&gt;=#REF!)+(H53&lt;2/24)),1,0),0)</f>
        <v>0</v>
      </c>
      <c r="AI52" s="6">
        <f>IF((I52&lt;&gt;"")*(I56=""),IF((I52&lt;=#REF!)*((I53&gt;=#REF!)+(I53&lt;2/24)),1,0),0)</f>
        <v>0</v>
      </c>
      <c r="AJ52" s="6">
        <f>IF((J52&lt;&gt;"")*(J56=""),IF((J52&lt;=#REF!)*((J53&gt;=#REF!)+(J53&lt;2/24)),1,0),0)</f>
        <v>0</v>
      </c>
    </row>
    <row r="53" spans="1:36" x14ac:dyDescent="0.2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D53" s="6">
        <f>IF((D52&lt;&gt;"")*(D56=""),IF((D52&lt;=#REF!)*((D53&gt;=#REF!)+(D53&lt;2/24)),1,0),0)</f>
        <v>0</v>
      </c>
      <c r="AE53" s="6">
        <f>IF((E52&lt;&gt;"")*(E56=""),IF((E52&lt;=#REF!)*((E53&gt;=#REF!)+(E53&lt;2/24)),1,0),0)</f>
        <v>0</v>
      </c>
      <c r="AF53" s="6">
        <f>IF((F52&lt;&gt;"")*(F56=""),IF((F52&lt;=#REF!)*((F53&gt;=#REF!)+(F53&lt;2/24)),1,0),0)</f>
        <v>0</v>
      </c>
      <c r="AG53" s="6">
        <f>IF((G52&lt;&gt;"")*(G56=""),IF((G52&lt;=#REF!)*((G53&gt;=#REF!)+(G53&lt;2/24)),1,0),0)</f>
        <v>0</v>
      </c>
      <c r="AH53" s="6">
        <f>IF((H52&lt;&gt;"")*(H56=""),IF((H52&lt;=#REF!)*((H53&gt;=#REF!)+(H53&lt;2/24)),1,0),0)</f>
        <v>0</v>
      </c>
      <c r="AI53" s="6">
        <f>IF((I52&lt;&gt;"")*(I56=""),IF((I52&lt;=#REF!)*((I53&gt;=#REF!)+(I53&lt;2/24)),1,0),0)</f>
        <v>0</v>
      </c>
      <c r="AJ53" s="6">
        <f>IF((J52&lt;&gt;"")*(J56=""),IF((J52&lt;=#REF!)*((J53&gt;=#REF!)+(J53&lt;2/24)),1,0),0)</f>
        <v>0</v>
      </c>
    </row>
    <row r="54" spans="1:36" x14ac:dyDescent="0.2">
      <c r="A54" s="39"/>
      <c r="B54" s="40"/>
      <c r="C54" s="15" t="s">
        <v>2</v>
      </c>
      <c r="D54" s="4"/>
      <c r="E54" s="4"/>
      <c r="F54" s="4"/>
      <c r="G54" s="58"/>
      <c r="H54" s="4"/>
      <c r="I54" s="4"/>
      <c r="J54" s="4"/>
      <c r="K54" s="17"/>
      <c r="L54" s="6"/>
      <c r="M54" s="21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D54" s="6">
        <f>IF((D52&lt;&gt;"")*(D56=""),IF((D52&lt;=#REF!)*((D53&gt;=#REF!)+(D53&lt;2/24)),1,0),0)</f>
        <v>0</v>
      </c>
      <c r="AE54" s="6">
        <f>IF((E52&lt;&gt;"")*(E56=""),IF((E52&lt;=#REF!)*((E53&gt;=#REF!)+(E53&lt;2/24)),1,0),0)</f>
        <v>0</v>
      </c>
      <c r="AF54" s="6">
        <f>IF((F52&lt;&gt;"")*(F56=""),IF((F52&lt;=#REF!)*((F53&gt;=#REF!)+(F53&lt;2/24)),1,0),0)</f>
        <v>0</v>
      </c>
      <c r="AG54" s="6">
        <f>IF((G52&lt;&gt;"")*(G56=""),IF((G52&lt;=#REF!)*((G53&gt;=#REF!)+(G53&lt;2/24)),1,0),0)</f>
        <v>0</v>
      </c>
      <c r="AH54" s="6">
        <f>IF((H52&lt;&gt;"")*(H56=""),IF((H52&lt;=#REF!)*((H53&gt;=#REF!)+(H53&lt;2/24)),1,0),0)</f>
        <v>0</v>
      </c>
      <c r="AI54" s="6">
        <f>IF((I52&lt;&gt;"")*(I56=""),IF((I52&lt;=#REF!)*((I53&gt;=#REF!)+(I53&lt;2/24)),1,0),0)</f>
        <v>0</v>
      </c>
      <c r="AJ54" s="6">
        <f>IF((J52&lt;&gt;"")*(J56=""),IF((J52&lt;=#REF!)*((J53&gt;=#REF!)+(J53&lt;2/24)),1,0),0)</f>
        <v>0</v>
      </c>
    </row>
    <row r="55" spans="1:36" x14ac:dyDescent="0.2">
      <c r="A55" s="39"/>
      <c r="B55" s="40"/>
      <c r="C55" s="15" t="s">
        <v>3</v>
      </c>
      <c r="D55" s="43" t="str">
        <f t="shared" ref="D55:J55" si="42">IF(D52="","",IF(D53&gt;D52,(D53-D52-D54)*24,(1-D52-D54+D53)*24))</f>
        <v/>
      </c>
      <c r="E55" s="43" t="str">
        <f t="shared" si="42"/>
        <v/>
      </c>
      <c r="F55" s="43" t="str">
        <f t="shared" si="42"/>
        <v/>
      </c>
      <c r="G55" s="55" t="str">
        <f t="shared" si="42"/>
        <v/>
      </c>
      <c r="H55" s="55" t="str">
        <f t="shared" si="42"/>
        <v/>
      </c>
      <c r="I55" s="43" t="str">
        <f t="shared" si="42"/>
        <v/>
      </c>
      <c r="J55" s="44" t="str">
        <f t="shared" si="42"/>
        <v/>
      </c>
      <c r="K55" s="18">
        <f>SUMIF(D56:J56,"",D55:J55)</f>
        <v>0</v>
      </c>
      <c r="L55" s="12">
        <f>SUM(D55:J55)</f>
        <v>0</v>
      </c>
      <c r="M55" s="24"/>
      <c r="N55" s="10" t="str">
        <f t="shared" ref="N55:T55" si="43">IF(D56="",D55,0)</f>
        <v/>
      </c>
      <c r="O55" s="10" t="str">
        <f t="shared" si="43"/>
        <v/>
      </c>
      <c r="P55" s="10" t="str">
        <f t="shared" si="43"/>
        <v/>
      </c>
      <c r="Q55" s="10" t="str">
        <f t="shared" si="43"/>
        <v/>
      </c>
      <c r="R55" s="10" t="str">
        <f t="shared" si="43"/>
        <v/>
      </c>
      <c r="S55" s="10" t="str">
        <f t="shared" si="43"/>
        <v/>
      </c>
      <c r="T55" s="10" t="str">
        <f t="shared" si="43"/>
        <v/>
      </c>
      <c r="U55" s="10"/>
      <c r="V55" s="10" t="str">
        <f t="shared" ref="V55:AB55" si="44">D55</f>
        <v/>
      </c>
      <c r="W55" s="10" t="str">
        <f t="shared" si="44"/>
        <v/>
      </c>
      <c r="X55" s="10" t="str">
        <f t="shared" si="44"/>
        <v/>
      </c>
      <c r="Y55" s="10" t="str">
        <f t="shared" si="44"/>
        <v/>
      </c>
      <c r="Z55" s="10" t="str">
        <f t="shared" si="44"/>
        <v/>
      </c>
      <c r="AA55" s="10" t="str">
        <f t="shared" si="44"/>
        <v/>
      </c>
      <c r="AB55" s="10" t="str">
        <f t="shared" si="44"/>
        <v/>
      </c>
      <c r="AD55" s="6">
        <f>IF((D52&lt;&gt;"")*(D56=""),IF((D52&lt;=#REF!)*((D53&gt;=#REF!)+(D53&lt;2/24)),1,0),0)</f>
        <v>0</v>
      </c>
      <c r="AE55" s="6">
        <f>IF((E52&lt;&gt;"")*(E56=""),IF((E52&lt;=#REF!)*((E53&gt;=#REF!)+(E53&lt;2/24)),1,0),0)</f>
        <v>0</v>
      </c>
      <c r="AF55" s="6">
        <f>IF((F52&lt;&gt;"")*(F56=""),IF((F52&lt;=#REF!)*((F53&gt;=#REF!)+(F53&lt;2/24)),1,0),0)</f>
        <v>0</v>
      </c>
      <c r="AG55" s="6">
        <f>IF((G52&lt;&gt;"")*(G56=""),IF((G52&lt;=#REF!)*((G53&gt;=#REF!)+(G53&lt;2/24)),1,0),0)</f>
        <v>0</v>
      </c>
      <c r="AH55" s="6">
        <f>IF((H52&lt;&gt;"")*(H56=""),IF((H52&lt;=#REF!)*((H53&gt;=#REF!)+(H53&lt;2/24)),1,0),0)</f>
        <v>0</v>
      </c>
      <c r="AI55" s="6">
        <f>IF((I52&lt;&gt;"")*(I56=""),IF((I52&lt;=#REF!)*((I53&gt;=#REF!)+(I53&lt;2/24)),1,0),0)</f>
        <v>0</v>
      </c>
      <c r="AJ55" s="6">
        <f>IF((J52&lt;&gt;"")*(J56=""),IF((J52&lt;=#REF!)*((J53&gt;=#REF!)+(J53&lt;2/24)),1,0),0)</f>
        <v>0</v>
      </c>
    </row>
    <row r="56" spans="1:36" x14ac:dyDescent="0.2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  <c r="N56" s="6"/>
      <c r="O56" s="6"/>
      <c r="P56" s="6"/>
      <c r="Q56" s="6"/>
      <c r="R56" s="6"/>
      <c r="S56" s="6"/>
      <c r="T56" s="6"/>
      <c r="U56" s="6"/>
      <c r="V56" s="20"/>
      <c r="W56" s="20"/>
      <c r="X56" s="20"/>
      <c r="Y56" s="20"/>
      <c r="Z56" s="20"/>
      <c r="AA56" s="20"/>
      <c r="AB56" s="20"/>
      <c r="AD56" s="6">
        <f>IF((D52&lt;&gt;"")*(D56=""),IF((D52&lt;=#REF!)*((D53&gt;=#REF!)+(D53&lt;2/24)),1,0),0)</f>
        <v>0</v>
      </c>
      <c r="AE56" s="6">
        <f>IF((E52&lt;&gt;"")*(E56=""),IF((E52&lt;=#REF!)*((E53&gt;=#REF!)+(E53&lt;2/24)),1,0),0)</f>
        <v>0</v>
      </c>
      <c r="AF56" s="6">
        <f>IF((F52&lt;&gt;"")*(F56=""),IF((F52&lt;=#REF!)*((F53&gt;=#REF!)+(F53&lt;2/24)),1,0),0)</f>
        <v>0</v>
      </c>
      <c r="AG56" s="6">
        <f>IF((G52&lt;&gt;"")*(G56=""),IF((G52&lt;=#REF!)*((G53&gt;=#REF!)+(G53&lt;2/24)),1,0),0)</f>
        <v>0</v>
      </c>
      <c r="AH56" s="6">
        <f>IF((H52&lt;&gt;"")*(H56=""),IF((H52&lt;=#REF!)*((H53&gt;=#REF!)+(H53&lt;2/24)),1,0),0)</f>
        <v>0</v>
      </c>
      <c r="AI56" s="6">
        <f>IF((I52&lt;&gt;"")*(I56=""),IF((I52&lt;=#REF!)*((I53&gt;=#REF!)+(I53&lt;2/24)),1,0),0)</f>
        <v>0</v>
      </c>
      <c r="AJ56" s="6">
        <f>IF((J52&lt;&gt;"")*(J56=""),IF((J52&lt;=#REF!)*((J53&gt;=#REF!)+(J53&lt;2/24)),1,0),0)</f>
        <v>0</v>
      </c>
    </row>
    <row r="57" spans="1:36" ht="13.5" thickBot="1" x14ac:dyDescent="0.25">
      <c r="A57" s="41"/>
      <c r="B57" s="42"/>
      <c r="C57" s="35" t="s">
        <v>28</v>
      </c>
      <c r="D57" s="36"/>
      <c r="E57" s="36"/>
      <c r="F57" s="36"/>
      <c r="G57" s="36"/>
      <c r="H57" s="36"/>
      <c r="I57" s="36"/>
      <c r="J57" s="36"/>
      <c r="K57" s="34"/>
      <c r="L57" s="6"/>
      <c r="M57" s="25"/>
      <c r="N57" s="6"/>
      <c r="O57" s="6"/>
      <c r="P57" s="6"/>
      <c r="Q57" s="6"/>
      <c r="R57" s="6"/>
      <c r="S57" s="6"/>
      <c r="T57" s="6"/>
      <c r="U57" s="6"/>
      <c r="V57" s="20"/>
      <c r="W57" s="20"/>
      <c r="X57" s="20"/>
      <c r="Y57" s="20"/>
      <c r="Z57" s="20"/>
      <c r="AA57" s="20"/>
      <c r="AB57" s="20"/>
      <c r="AD57" s="6"/>
      <c r="AE57" s="6"/>
      <c r="AF57" s="6"/>
      <c r="AG57" s="6"/>
      <c r="AH57" s="6"/>
      <c r="AI57" s="6"/>
      <c r="AJ57" s="6"/>
    </row>
    <row r="58" spans="1:36" x14ac:dyDescent="0.2">
      <c r="A58" s="37" t="s">
        <v>95</v>
      </c>
      <c r="B58" s="38" t="s">
        <v>96</v>
      </c>
      <c r="C58" s="14" t="s">
        <v>0</v>
      </c>
      <c r="D58" s="26"/>
      <c r="E58" s="26"/>
      <c r="F58" s="26"/>
      <c r="G58" s="26"/>
      <c r="H58" s="26"/>
      <c r="I58" s="26"/>
      <c r="J58" s="26">
        <v>0.54166666666666663</v>
      </c>
      <c r="K58" s="16"/>
      <c r="L58" s="6"/>
      <c r="M58" s="21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D58" s="6">
        <f>IF((D58&lt;&gt;"")*(D62=""),IF((D58&lt;=#REF!)*((D59&gt;=#REF!)+(D59&lt;2/24)),1,0),0)</f>
        <v>0</v>
      </c>
      <c r="AE58" s="6">
        <f>IF((E58&lt;&gt;"")*(E62=""),IF((E58&lt;=#REF!)*((E59&gt;=#REF!)+(E59&lt;2/24)),1,0),0)</f>
        <v>0</v>
      </c>
      <c r="AF58" s="6">
        <f>IF((F58&lt;&gt;"")*(F62=""),IF((F58&lt;=#REF!)*((F59&gt;=#REF!)+(F59&lt;2/24)),1,0),0)</f>
        <v>0</v>
      </c>
      <c r="AG58" s="6">
        <f>IF((G58&lt;&gt;"")*(G62=""),IF((G58&lt;=#REF!)*((G59&gt;=#REF!)+(G59&lt;2/24)),1,0),0)</f>
        <v>0</v>
      </c>
      <c r="AH58" s="6">
        <f>IF((H58&lt;&gt;"")*(H62=""),IF((H58&lt;=#REF!)*((H59&gt;=#REF!)+(H59&lt;2/24)),1,0),0)</f>
        <v>0</v>
      </c>
      <c r="AI58" s="6">
        <f>IF((I58&lt;&gt;"")*(I62=""),IF((I58&lt;=#REF!)*((I59&gt;=#REF!)+(I59&lt;2/24)),1,0),0)</f>
        <v>0</v>
      </c>
      <c r="AJ58" s="6" t="e">
        <f>IF((J58&lt;&gt;"")*(J62=""),IF((J58&lt;=#REF!)*((J59&gt;=#REF!)+(J59&lt;2/24)),1,0),0)</f>
        <v>#REF!</v>
      </c>
    </row>
    <row r="59" spans="1:36" x14ac:dyDescent="0.2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>
        <v>0.95833333333333337</v>
      </c>
      <c r="K59" s="17"/>
      <c r="L59" s="6"/>
      <c r="M59" s="21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D59" s="6">
        <f>IF((D58&lt;&gt;"")*(D62=""),IF((D58&lt;=#REF!)*((D59&gt;=#REF!)+(D59&lt;2/24)),1,0),0)</f>
        <v>0</v>
      </c>
      <c r="AE59" s="6">
        <f>IF((E58&lt;&gt;"")*(E62=""),IF((E58&lt;=#REF!)*((E59&gt;=#REF!)+(E59&lt;2/24)),1,0),0)</f>
        <v>0</v>
      </c>
      <c r="AF59" s="6">
        <f>IF((F58&lt;&gt;"")*(F62=""),IF((F58&lt;=#REF!)*((F59&gt;=#REF!)+(F59&lt;2/24)),1,0),0)</f>
        <v>0</v>
      </c>
      <c r="AG59" s="6">
        <f>IF((G58&lt;&gt;"")*(G62=""),IF((G58&lt;=#REF!)*((G59&gt;=#REF!)+(G59&lt;2/24)),1,0),0)</f>
        <v>0</v>
      </c>
      <c r="AH59" s="6">
        <f>IF((H58&lt;&gt;"")*(H62=""),IF((H58&lt;=#REF!)*((H59&gt;=#REF!)+(H59&lt;2/24)),1,0),0)</f>
        <v>0</v>
      </c>
      <c r="AI59" s="6">
        <f>IF((I58&lt;&gt;"")*(I62=""),IF((I58&lt;=#REF!)*((I59&gt;=#REF!)+(I59&lt;2/24)),1,0),0)</f>
        <v>0</v>
      </c>
      <c r="AJ59" s="6" t="e">
        <f>IF((J58&lt;&gt;"")*(J62=""),IF((J58&lt;=#REF!)*((J59&gt;=#REF!)+(J59&lt;2/24)),1,0),0)</f>
        <v>#REF!</v>
      </c>
    </row>
    <row r="60" spans="1:36" x14ac:dyDescent="0.2">
      <c r="A60" s="39"/>
      <c r="B60" s="40"/>
      <c r="C60" s="15" t="s">
        <v>2</v>
      </c>
      <c r="D60" s="4"/>
      <c r="E60" s="4"/>
      <c r="F60" s="4"/>
      <c r="G60" s="58"/>
      <c r="H60" s="4"/>
      <c r="I60" s="4"/>
      <c r="J60" s="4">
        <v>4.1666666666666664E-2</v>
      </c>
      <c r="K60" s="17"/>
      <c r="L60" s="6"/>
      <c r="M60" s="21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D60" s="6">
        <f>IF((D58&lt;&gt;"")*(D62=""),IF((D58&lt;=#REF!)*((D59&gt;=#REF!)+(D59&lt;2/24)),1,0),0)</f>
        <v>0</v>
      </c>
      <c r="AE60" s="6">
        <f>IF((E58&lt;&gt;"")*(E62=""),IF((E58&lt;=#REF!)*((E59&gt;=#REF!)+(E59&lt;2/24)),1,0),0)</f>
        <v>0</v>
      </c>
      <c r="AF60" s="6">
        <f>IF((F58&lt;&gt;"")*(F62=""),IF((F58&lt;=#REF!)*((F59&gt;=#REF!)+(F59&lt;2/24)),1,0),0)</f>
        <v>0</v>
      </c>
      <c r="AG60" s="6">
        <f>IF((G58&lt;&gt;"")*(G62=""),IF((G58&lt;=#REF!)*((G59&gt;=#REF!)+(G59&lt;2/24)),1,0),0)</f>
        <v>0</v>
      </c>
      <c r="AH60" s="6">
        <f>IF((H58&lt;&gt;"")*(H62=""),IF((H58&lt;=#REF!)*((H59&gt;=#REF!)+(H59&lt;2/24)),1,0),0)</f>
        <v>0</v>
      </c>
      <c r="AI60" s="6">
        <f>IF((I58&lt;&gt;"")*(I62=""),IF((I58&lt;=#REF!)*((I59&gt;=#REF!)+(I59&lt;2/24)),1,0),0)</f>
        <v>0</v>
      </c>
      <c r="AJ60" s="6" t="e">
        <f>IF((J58&lt;&gt;"")*(J62=""),IF((J58&lt;=#REF!)*((J59&gt;=#REF!)+(J59&lt;2/24)),1,0),0)</f>
        <v>#REF!</v>
      </c>
    </row>
    <row r="61" spans="1:36" x14ac:dyDescent="0.2">
      <c r="A61" s="39"/>
      <c r="B61" s="40"/>
      <c r="C61" s="15" t="s">
        <v>3</v>
      </c>
      <c r="D61" s="43" t="str">
        <f t="shared" ref="D61:J61" si="45">IF(D58="","",IF(D59&gt;D58,(D59-D58-D60)*24,(1-D58-D60+D59)*24))</f>
        <v/>
      </c>
      <c r="E61" s="43" t="str">
        <f t="shared" si="45"/>
        <v/>
      </c>
      <c r="F61" s="43" t="str">
        <f t="shared" si="45"/>
        <v/>
      </c>
      <c r="G61" s="55" t="str">
        <f t="shared" si="45"/>
        <v/>
      </c>
      <c r="H61" s="55" t="str">
        <f t="shared" si="45"/>
        <v/>
      </c>
      <c r="I61" s="43" t="str">
        <f t="shared" si="45"/>
        <v/>
      </c>
      <c r="J61" s="44">
        <f t="shared" si="45"/>
        <v>9.0000000000000018</v>
      </c>
      <c r="K61" s="18">
        <f>SUMIF(D62:J62,"",D61:J61)</f>
        <v>9.0000000000000018</v>
      </c>
      <c r="L61" s="12">
        <f>SUM(D61:J61)</f>
        <v>9.0000000000000018</v>
      </c>
      <c r="M61" s="24"/>
      <c r="N61" s="10" t="str">
        <f t="shared" ref="N61:T61" si="46">IF(D62="",D61,0)</f>
        <v/>
      </c>
      <c r="O61" s="10" t="str">
        <f t="shared" si="46"/>
        <v/>
      </c>
      <c r="P61" s="10" t="str">
        <f t="shared" si="46"/>
        <v/>
      </c>
      <c r="Q61" s="10" t="str">
        <f t="shared" si="46"/>
        <v/>
      </c>
      <c r="R61" s="10" t="str">
        <f t="shared" si="46"/>
        <v/>
      </c>
      <c r="S61" s="10" t="str">
        <f t="shared" si="46"/>
        <v/>
      </c>
      <c r="T61" s="10">
        <f t="shared" si="46"/>
        <v>9.0000000000000018</v>
      </c>
      <c r="U61" s="10"/>
      <c r="V61" s="10" t="str">
        <f t="shared" ref="V61:AB61" si="47">D61</f>
        <v/>
      </c>
      <c r="W61" s="10" t="str">
        <f t="shared" si="47"/>
        <v/>
      </c>
      <c r="X61" s="10" t="str">
        <f t="shared" si="47"/>
        <v/>
      </c>
      <c r="Y61" s="10" t="str">
        <f t="shared" si="47"/>
        <v/>
      </c>
      <c r="Z61" s="10" t="str">
        <f t="shared" si="47"/>
        <v/>
      </c>
      <c r="AA61" s="10" t="str">
        <f t="shared" si="47"/>
        <v/>
      </c>
      <c r="AB61" s="10">
        <f t="shared" si="47"/>
        <v>9.0000000000000018</v>
      </c>
      <c r="AD61" s="6">
        <f>IF((D58&lt;&gt;"")*(D62=""),IF((D58&lt;=#REF!)*((D59&gt;=#REF!)+(D59&lt;2/24)),1,0),0)</f>
        <v>0</v>
      </c>
      <c r="AE61" s="6">
        <f>IF((E58&lt;&gt;"")*(E62=""),IF((E58&lt;=#REF!)*((E59&gt;=#REF!)+(E59&lt;2/24)),1,0),0)</f>
        <v>0</v>
      </c>
      <c r="AF61" s="6">
        <f>IF((F58&lt;&gt;"")*(F62=""),IF((F58&lt;=#REF!)*((F59&gt;=#REF!)+(F59&lt;2/24)),1,0),0)</f>
        <v>0</v>
      </c>
      <c r="AG61" s="6">
        <f>IF((G58&lt;&gt;"")*(G62=""),IF((G58&lt;=#REF!)*((G59&gt;=#REF!)+(G59&lt;2/24)),1,0),0)</f>
        <v>0</v>
      </c>
      <c r="AH61" s="6">
        <f>IF((H58&lt;&gt;"")*(H62=""),IF((H58&lt;=#REF!)*((H59&gt;=#REF!)+(H59&lt;2/24)),1,0),0)</f>
        <v>0</v>
      </c>
      <c r="AI61" s="6">
        <f>IF((I58&lt;&gt;"")*(I62=""),IF((I58&lt;=#REF!)*((I59&gt;=#REF!)+(I59&lt;2/24)),1,0),0)</f>
        <v>0</v>
      </c>
      <c r="AJ61" s="6" t="e">
        <f>IF((J58&lt;&gt;"")*(J62=""),IF((J58&lt;=#REF!)*((J59&gt;=#REF!)+(J59&lt;2/24)),1,0),0)</f>
        <v>#REF!</v>
      </c>
    </row>
    <row r="62" spans="1:36" x14ac:dyDescent="0.2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  <c r="N62" s="6"/>
      <c r="O62" s="6"/>
      <c r="P62" s="6"/>
      <c r="Q62" s="6"/>
      <c r="R62" s="6"/>
      <c r="S62" s="6"/>
      <c r="T62" s="6"/>
      <c r="U62" s="6"/>
      <c r="V62" s="20"/>
      <c r="W62" s="20"/>
      <c r="X62" s="20"/>
      <c r="Y62" s="20"/>
      <c r="Z62" s="20"/>
      <c r="AA62" s="20"/>
      <c r="AB62" s="20"/>
      <c r="AD62" s="6">
        <f>IF((D58&lt;&gt;"")*(D62=""),IF((D58&lt;=#REF!)*((D59&gt;=#REF!)+(D59&lt;2/24)),1,0),0)</f>
        <v>0</v>
      </c>
      <c r="AE62" s="6">
        <f>IF((E58&lt;&gt;"")*(E62=""),IF((E58&lt;=#REF!)*((E59&gt;=#REF!)+(E59&lt;2/24)),1,0),0)</f>
        <v>0</v>
      </c>
      <c r="AF62" s="6">
        <f>IF((F58&lt;&gt;"")*(F62=""),IF((F58&lt;=#REF!)*((F59&gt;=#REF!)+(F59&lt;2/24)),1,0),0)</f>
        <v>0</v>
      </c>
      <c r="AG62" s="6">
        <f>IF((G58&lt;&gt;"")*(G62=""),IF((G58&lt;=#REF!)*((G59&gt;=#REF!)+(G59&lt;2/24)),1,0),0)</f>
        <v>0</v>
      </c>
      <c r="AH62" s="6">
        <f>IF((H58&lt;&gt;"")*(H62=""),IF((H58&lt;=#REF!)*((H59&gt;=#REF!)+(H59&lt;2/24)),1,0),0)</f>
        <v>0</v>
      </c>
      <c r="AI62" s="6">
        <f>IF((I58&lt;&gt;"")*(I62=""),IF((I58&lt;=#REF!)*((I59&gt;=#REF!)+(I59&lt;2/24)),1,0),0)</f>
        <v>0</v>
      </c>
      <c r="AJ62" s="6" t="e">
        <f>IF((J58&lt;&gt;"")*(J62=""),IF((J58&lt;=#REF!)*((J59&gt;=#REF!)+(J59&lt;2/24)),1,0),0)</f>
        <v>#REF!</v>
      </c>
    </row>
    <row r="63" spans="1:36" ht="13.5" thickBot="1" x14ac:dyDescent="0.25">
      <c r="A63" s="41"/>
      <c r="B63" s="42"/>
      <c r="C63" s="35" t="s">
        <v>28</v>
      </c>
      <c r="D63" s="93"/>
      <c r="E63" s="93"/>
      <c r="F63" s="93"/>
      <c r="G63" s="93"/>
      <c r="H63" s="93"/>
      <c r="I63" s="93"/>
      <c r="J63" s="93"/>
      <c r="K63" s="94"/>
      <c r="L63" s="6"/>
      <c r="M63" s="25"/>
      <c r="N63" s="6"/>
      <c r="O63" s="6"/>
      <c r="P63" s="6"/>
      <c r="Q63" s="6"/>
      <c r="R63" s="6"/>
      <c r="S63" s="6"/>
      <c r="T63" s="6"/>
      <c r="U63" s="6"/>
      <c r="V63" s="20"/>
      <c r="W63" s="20"/>
      <c r="X63" s="20"/>
      <c r="Y63" s="20"/>
      <c r="Z63" s="20"/>
      <c r="AA63" s="20"/>
      <c r="AB63" s="20"/>
      <c r="AD63" s="6"/>
      <c r="AE63" s="6"/>
      <c r="AF63" s="6"/>
      <c r="AG63" s="6"/>
      <c r="AH63" s="6"/>
      <c r="AI63" s="6"/>
      <c r="AJ63" s="6"/>
    </row>
    <row r="64" spans="1:36" x14ac:dyDescent="0.2">
      <c r="A64" s="37" t="s">
        <v>103</v>
      </c>
      <c r="B64" s="38" t="s">
        <v>104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  <c r="L64" s="6"/>
      <c r="M64" s="25"/>
      <c r="N64" s="6"/>
      <c r="O64" s="6"/>
      <c r="P64" s="6"/>
      <c r="Q64" s="6"/>
      <c r="R64" s="6"/>
      <c r="S64" s="6"/>
      <c r="T64" s="6"/>
      <c r="U64" s="6"/>
      <c r="V64" s="20"/>
      <c r="W64" s="20"/>
      <c r="X64" s="20"/>
      <c r="Y64" s="20"/>
      <c r="Z64" s="20"/>
      <c r="AA64" s="20"/>
      <c r="AB64" s="20"/>
      <c r="AD64" s="6"/>
      <c r="AE64" s="6"/>
      <c r="AF64" s="6"/>
      <c r="AG64" s="6"/>
      <c r="AH64" s="6"/>
      <c r="AI64" s="6"/>
      <c r="AJ64" s="6"/>
    </row>
    <row r="65" spans="1:36" x14ac:dyDescent="0.2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5"/>
      <c r="N65" s="6"/>
      <c r="O65" s="6"/>
      <c r="P65" s="6"/>
      <c r="Q65" s="6"/>
      <c r="R65" s="6"/>
      <c r="S65" s="6"/>
      <c r="T65" s="6"/>
      <c r="U65" s="6"/>
      <c r="V65" s="20"/>
      <c r="W65" s="20"/>
      <c r="X65" s="20"/>
      <c r="Y65" s="20"/>
      <c r="Z65" s="20"/>
      <c r="AA65" s="20"/>
      <c r="AB65" s="20"/>
      <c r="AD65" s="6"/>
      <c r="AE65" s="6"/>
      <c r="AF65" s="6"/>
      <c r="AG65" s="6"/>
      <c r="AH65" s="6"/>
      <c r="AI65" s="6"/>
      <c r="AJ65" s="6"/>
    </row>
    <row r="66" spans="1:36" x14ac:dyDescent="0.2">
      <c r="A66" s="39"/>
      <c r="B66" s="40"/>
      <c r="C66" s="15" t="s">
        <v>2</v>
      </c>
      <c r="D66" s="4"/>
      <c r="E66" s="4"/>
      <c r="F66" s="4"/>
      <c r="G66" s="58"/>
      <c r="H66" s="4"/>
      <c r="I66" s="4"/>
      <c r="J66" s="4"/>
      <c r="K66" s="17"/>
      <c r="L66" s="6"/>
      <c r="M66" s="25"/>
      <c r="N66" s="6"/>
      <c r="O66" s="6"/>
      <c r="P66" s="6"/>
      <c r="Q66" s="6"/>
      <c r="R66" s="6"/>
      <c r="S66" s="6"/>
      <c r="T66" s="6"/>
      <c r="U66" s="6"/>
      <c r="V66" s="20"/>
      <c r="W66" s="20"/>
      <c r="X66" s="20"/>
      <c r="Y66" s="20"/>
      <c r="Z66" s="20"/>
      <c r="AA66" s="20"/>
      <c r="AB66" s="20"/>
      <c r="AD66" s="6"/>
      <c r="AE66" s="6"/>
      <c r="AF66" s="6"/>
      <c r="AG66" s="6"/>
      <c r="AH66" s="6"/>
      <c r="AI66" s="6"/>
      <c r="AJ66" s="6"/>
    </row>
    <row r="67" spans="1:36" x14ac:dyDescent="0.2">
      <c r="A67" s="39"/>
      <c r="B67" s="40"/>
      <c r="C67" s="15" t="s">
        <v>3</v>
      </c>
      <c r="D67" s="43" t="str">
        <f t="shared" ref="D67:J67" si="48">IF(D64="","",IF(D65&gt;D64,(D65-D64-D66)*24,(1-D64-D66+D65)*24))</f>
        <v/>
      </c>
      <c r="E67" s="43" t="str">
        <f t="shared" si="48"/>
        <v/>
      </c>
      <c r="F67" s="43" t="str">
        <f t="shared" si="48"/>
        <v/>
      </c>
      <c r="G67" s="55" t="str">
        <f t="shared" si="48"/>
        <v/>
      </c>
      <c r="H67" s="55" t="str">
        <f t="shared" si="48"/>
        <v/>
      </c>
      <c r="I67" s="43" t="str">
        <f t="shared" si="48"/>
        <v/>
      </c>
      <c r="J67" s="44" t="str">
        <f t="shared" si="48"/>
        <v/>
      </c>
      <c r="K67" s="18">
        <f>SUMIF(D68:J68,"",D67:J67)</f>
        <v>0</v>
      </c>
      <c r="L67" s="12">
        <f>SUM(D67:J67)</f>
        <v>0</v>
      </c>
      <c r="M67" s="25"/>
      <c r="N67" s="6"/>
      <c r="O67" s="6"/>
      <c r="P67" s="6"/>
      <c r="Q67" s="6"/>
      <c r="R67" s="6"/>
      <c r="S67" s="6"/>
      <c r="T67" s="6"/>
      <c r="U67" s="6"/>
      <c r="V67" s="20"/>
      <c r="W67" s="20"/>
      <c r="X67" s="20"/>
      <c r="Y67" s="20"/>
      <c r="Z67" s="20"/>
      <c r="AA67" s="20"/>
      <c r="AB67" s="20"/>
      <c r="AD67" s="6"/>
      <c r="AE67" s="6"/>
      <c r="AF67" s="6"/>
      <c r="AG67" s="6"/>
      <c r="AH67" s="6"/>
      <c r="AI67" s="6"/>
      <c r="AJ67" s="6"/>
    </row>
    <row r="68" spans="1:36" x14ac:dyDescent="0.2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  <c r="N68" s="6"/>
      <c r="O68" s="6"/>
      <c r="P68" s="6"/>
      <c r="Q68" s="6"/>
      <c r="R68" s="6"/>
      <c r="S68" s="6"/>
      <c r="T68" s="6"/>
      <c r="U68" s="6"/>
      <c r="V68" s="20"/>
      <c r="W68" s="20"/>
      <c r="X68" s="20"/>
      <c r="Y68" s="20"/>
      <c r="Z68" s="20"/>
      <c r="AA68" s="20"/>
      <c r="AB68" s="20"/>
      <c r="AD68" s="6"/>
      <c r="AE68" s="6"/>
      <c r="AF68" s="6"/>
      <c r="AG68" s="6"/>
      <c r="AH68" s="6"/>
      <c r="AI68" s="6"/>
      <c r="AJ68" s="6"/>
    </row>
    <row r="69" spans="1:36" ht="13.5" thickBot="1" x14ac:dyDescent="0.25">
      <c r="A69" s="41"/>
      <c r="B69" s="42"/>
      <c r="C69" s="35" t="s">
        <v>28</v>
      </c>
      <c r="D69" s="93"/>
      <c r="E69" s="93"/>
      <c r="F69" s="93"/>
      <c r="G69" s="93"/>
      <c r="H69" s="93"/>
      <c r="I69" s="93"/>
      <c r="J69" s="93"/>
      <c r="K69" s="94"/>
      <c r="L69" s="6"/>
      <c r="M69" s="25"/>
      <c r="N69" s="6"/>
      <c r="O69" s="6"/>
      <c r="P69" s="6"/>
      <c r="Q69" s="6"/>
      <c r="R69" s="6"/>
      <c r="S69" s="6"/>
      <c r="T69" s="6"/>
      <c r="U69" s="6"/>
      <c r="V69" s="20"/>
      <c r="W69" s="20"/>
      <c r="X69" s="20"/>
      <c r="Y69" s="20"/>
      <c r="Z69" s="20"/>
      <c r="AA69" s="20"/>
      <c r="AB69" s="20"/>
      <c r="AD69" s="6"/>
      <c r="AE69" s="6"/>
      <c r="AF69" s="6"/>
      <c r="AG69" s="6"/>
      <c r="AH69" s="6"/>
      <c r="AI69" s="6"/>
      <c r="AJ69" s="6"/>
    </row>
    <row r="70" spans="1:36" ht="10.5" customHeight="1" x14ac:dyDescent="0.2">
      <c r="A70" s="37" t="s">
        <v>46</v>
      </c>
      <c r="B70" s="38" t="s">
        <v>47</v>
      </c>
      <c r="C70" s="14" t="s">
        <v>0</v>
      </c>
      <c r="D70" s="26"/>
      <c r="E70" s="26"/>
      <c r="F70" s="26">
        <v>0.77083333333333337</v>
      </c>
      <c r="G70" s="26"/>
      <c r="H70" s="26"/>
      <c r="I70" s="26"/>
      <c r="J70" s="26"/>
      <c r="K70" s="16"/>
      <c r="L70" s="6"/>
      <c r="M70" s="21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D70" s="6">
        <f>IF((D70&lt;&gt;"")*(D74=""),IF((D70&lt;=#REF!)*((D71&gt;=#REF!)+(D71&lt;2/24)),1,0),0)</f>
        <v>0</v>
      </c>
      <c r="AE70" s="6">
        <f>IF((E70&lt;&gt;"")*(E74=""),IF((E70&lt;=#REF!)*((E71&gt;=#REF!)+(E71&lt;2/24)),1,0),0)</f>
        <v>0</v>
      </c>
      <c r="AF70" s="6" t="e">
        <f>IF((F70&lt;&gt;"")*(F74=""),IF((F70&lt;=#REF!)*((F71&gt;=#REF!)+(F71&lt;2/24)),1,0),0)</f>
        <v>#REF!</v>
      </c>
      <c r="AG70" s="6">
        <f>IF((G70&lt;&gt;"")*(G74=""),IF((G70&lt;=#REF!)*((G71&gt;=#REF!)+(G71&lt;2/24)),1,0),0)</f>
        <v>0</v>
      </c>
      <c r="AH70" s="6">
        <f>IF((H70&lt;&gt;"")*(H74=""),IF((H70&lt;=#REF!)*((H71&gt;=#REF!)+(H71&lt;2/24)),1,0),0)</f>
        <v>0</v>
      </c>
      <c r="AI70" s="6">
        <f>IF((I70&lt;&gt;"")*(I74=""),IF((I70&lt;=#REF!)*((I71&gt;=#REF!)+(I71&lt;2/24)),1,0),0)</f>
        <v>0</v>
      </c>
      <c r="AJ70" s="6">
        <f>IF((J70&lt;&gt;"")*(J74=""),IF((J70&lt;=#REF!)*((J71&gt;=#REF!)+(J71&lt;2/24)),1,0),0)</f>
        <v>0</v>
      </c>
    </row>
    <row r="71" spans="1:36" x14ac:dyDescent="0.2">
      <c r="A71" s="39"/>
      <c r="B71" s="40"/>
      <c r="C71" s="15" t="s">
        <v>1</v>
      </c>
      <c r="D71" s="27"/>
      <c r="E71" s="27"/>
      <c r="F71" s="27">
        <v>0.95833333333333337</v>
      </c>
      <c r="G71" s="27"/>
      <c r="H71" s="27"/>
      <c r="I71" s="27"/>
      <c r="J71" s="27"/>
      <c r="K71" s="17"/>
      <c r="L71" s="6"/>
      <c r="M71" s="21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D71" s="6">
        <f>IF((D70&lt;&gt;"")*(D74=""),IF((D70&lt;=#REF!)*((D71&gt;=#REF!)+(D71&lt;2/24)),1,0),0)</f>
        <v>0</v>
      </c>
      <c r="AE71" s="6">
        <f>IF((E70&lt;&gt;"")*(E74=""),IF((E70&lt;=#REF!)*((E71&gt;=#REF!)+(E71&lt;2/24)),1,0),0)</f>
        <v>0</v>
      </c>
      <c r="AF71" s="6" t="e">
        <f>IF((F70&lt;&gt;"")*(F74=""),IF((F70&lt;=#REF!)*((F71&gt;=#REF!)+(F71&lt;2/24)),1,0),0)</f>
        <v>#REF!</v>
      </c>
      <c r="AG71" s="6">
        <f>IF((G70&lt;&gt;"")*(G74=""),IF((G70&lt;=#REF!)*((G71&gt;=#REF!)+(G71&lt;2/24)),1,0),0)</f>
        <v>0</v>
      </c>
      <c r="AH71" s="6">
        <f>IF((H70&lt;&gt;"")*(H74=""),IF((H70&lt;=#REF!)*((H71&gt;=#REF!)+(H71&lt;2/24)),1,0),0)</f>
        <v>0</v>
      </c>
      <c r="AI71" s="6">
        <f>IF((I70&lt;&gt;"")*(I74=""),IF((I70&lt;=#REF!)*((I71&gt;=#REF!)+(I71&lt;2/24)),1,0),0)</f>
        <v>0</v>
      </c>
      <c r="AJ71" s="6">
        <f>IF((J70&lt;&gt;"")*(J74=""),IF((J70&lt;=#REF!)*((J71&gt;=#REF!)+(J71&lt;2/24)),1,0),0)</f>
        <v>0</v>
      </c>
    </row>
    <row r="72" spans="1:36" x14ac:dyDescent="0.2">
      <c r="A72" s="39"/>
      <c r="B72" s="40"/>
      <c r="C72" s="15" t="s">
        <v>2</v>
      </c>
      <c r="D72" s="4"/>
      <c r="E72" s="4"/>
      <c r="F72" s="4"/>
      <c r="G72" s="58"/>
      <c r="H72" s="4"/>
      <c r="I72" s="4"/>
      <c r="J72" s="4"/>
      <c r="K72" s="17"/>
      <c r="L72" s="6"/>
      <c r="M72" s="21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D72" s="6">
        <f>IF((D70&lt;&gt;"")*(D74=""),IF((D70&lt;=#REF!)*((D71&gt;=#REF!)+(D71&lt;2/24)),1,0),0)</f>
        <v>0</v>
      </c>
      <c r="AE72" s="6">
        <f>IF((E70&lt;&gt;"")*(E74=""),IF((E70&lt;=#REF!)*((E71&gt;=#REF!)+(E71&lt;2/24)),1,0),0)</f>
        <v>0</v>
      </c>
      <c r="AF72" s="6" t="e">
        <f>IF((F70&lt;&gt;"")*(F74=""),IF((F70&lt;=#REF!)*((F71&gt;=#REF!)+(F71&lt;2/24)),1,0),0)</f>
        <v>#REF!</v>
      </c>
      <c r="AG72" s="6">
        <f>IF((G70&lt;&gt;"")*(G74=""),IF((G70&lt;=#REF!)*((G71&gt;=#REF!)+(G71&lt;2/24)),1,0),0)</f>
        <v>0</v>
      </c>
      <c r="AH72" s="6">
        <f>IF((H70&lt;&gt;"")*(H74=""),IF((H70&lt;=#REF!)*((H71&gt;=#REF!)+(H71&lt;2/24)),1,0),0)</f>
        <v>0</v>
      </c>
      <c r="AI72" s="6">
        <f>IF((I70&lt;&gt;"")*(I74=""),IF((I70&lt;=#REF!)*((I71&gt;=#REF!)+(I71&lt;2/24)),1,0),0)</f>
        <v>0</v>
      </c>
      <c r="AJ72" s="6">
        <f>IF((J70&lt;&gt;"")*(J74=""),IF((J70&lt;=#REF!)*((J71&gt;=#REF!)+(J71&lt;2/24)),1,0),0)</f>
        <v>0</v>
      </c>
    </row>
    <row r="73" spans="1:36" x14ac:dyDescent="0.2">
      <c r="A73" s="39"/>
      <c r="B73" s="40"/>
      <c r="C73" s="15" t="s">
        <v>3</v>
      </c>
      <c r="D73" s="43" t="str">
        <f t="shared" ref="D73:J73" si="49">IF(D70="","",IF(D71&gt;D70,(D71-D70-D72)*24,(1-D70-D72+D71)*24))</f>
        <v/>
      </c>
      <c r="E73" s="43" t="str">
        <f t="shared" si="49"/>
        <v/>
      </c>
      <c r="F73" s="43">
        <f t="shared" si="49"/>
        <v>4.5</v>
      </c>
      <c r="G73" s="55" t="str">
        <f t="shared" si="49"/>
        <v/>
      </c>
      <c r="H73" s="55" t="str">
        <f t="shared" si="49"/>
        <v/>
      </c>
      <c r="I73" s="43"/>
      <c r="J73" s="44" t="str">
        <f t="shared" si="49"/>
        <v/>
      </c>
      <c r="K73" s="18">
        <f>SUMIF(D74:J74,"",D73:J73)</f>
        <v>4.5</v>
      </c>
      <c r="L73" s="12">
        <f>SUM(D73:J73)</f>
        <v>4.5</v>
      </c>
      <c r="M73" s="24"/>
      <c r="N73" s="10" t="str">
        <f t="shared" ref="N73:T73" si="50">IF(D74="",D73,0)</f>
        <v/>
      </c>
      <c r="O73" s="10" t="str">
        <f t="shared" si="50"/>
        <v/>
      </c>
      <c r="P73" s="10">
        <f t="shared" si="50"/>
        <v>4.5</v>
      </c>
      <c r="Q73" s="10" t="str">
        <f t="shared" si="50"/>
        <v/>
      </c>
      <c r="R73" s="10" t="str">
        <f t="shared" si="50"/>
        <v/>
      </c>
      <c r="S73" s="10">
        <f t="shared" si="50"/>
        <v>0</v>
      </c>
      <c r="T73" s="10" t="str">
        <f t="shared" si="50"/>
        <v/>
      </c>
      <c r="U73" s="10"/>
      <c r="V73" s="10" t="str">
        <f t="shared" ref="V73:AB73" si="51">D73</f>
        <v/>
      </c>
      <c r="W73" s="10" t="str">
        <f t="shared" si="51"/>
        <v/>
      </c>
      <c r="X73" s="10">
        <f t="shared" si="51"/>
        <v>4.5</v>
      </c>
      <c r="Y73" s="10" t="str">
        <f t="shared" si="51"/>
        <v/>
      </c>
      <c r="Z73" s="10" t="str">
        <f t="shared" si="51"/>
        <v/>
      </c>
      <c r="AA73" s="10">
        <f t="shared" si="51"/>
        <v>0</v>
      </c>
      <c r="AB73" s="10" t="str">
        <f t="shared" si="51"/>
        <v/>
      </c>
      <c r="AD73" s="6">
        <f>IF((D70&lt;&gt;"")*(D74=""),IF((D70&lt;=#REF!)*((D71&gt;=#REF!)+(D71&lt;2/24)),1,0),0)</f>
        <v>0</v>
      </c>
      <c r="AE73" s="6">
        <f>IF((E70&lt;&gt;"")*(E74=""),IF((E70&lt;=#REF!)*((E71&gt;=#REF!)+(E71&lt;2/24)),1,0),0)</f>
        <v>0</v>
      </c>
      <c r="AF73" s="6" t="e">
        <f>IF((F70&lt;&gt;"")*(F74=""),IF((F70&lt;=#REF!)*((F71&gt;=#REF!)+(F71&lt;2/24)),1,0),0)</f>
        <v>#REF!</v>
      </c>
      <c r="AG73" s="6">
        <f>IF((G70&lt;&gt;"")*(G74=""),IF((G70&lt;=#REF!)*((G71&gt;=#REF!)+(G71&lt;2/24)),1,0),0)</f>
        <v>0</v>
      </c>
      <c r="AH73" s="6">
        <f>IF((H70&lt;&gt;"")*(H74=""),IF((H70&lt;=#REF!)*((H71&gt;=#REF!)+(H71&lt;2/24)),1,0),0)</f>
        <v>0</v>
      </c>
      <c r="AI73" s="6">
        <f>IF((I70&lt;&gt;"")*(I74=""),IF((I70&lt;=#REF!)*((I71&gt;=#REF!)+(I71&lt;2/24)),1,0),0)</f>
        <v>0</v>
      </c>
      <c r="AJ73" s="6">
        <f>IF((J70&lt;&gt;"")*(J74=""),IF((J70&lt;=#REF!)*((J71&gt;=#REF!)+(J71&lt;2/24)),1,0),0)</f>
        <v>0</v>
      </c>
    </row>
    <row r="74" spans="1:36" x14ac:dyDescent="0.2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  <c r="N74" s="6"/>
      <c r="O74" s="6"/>
      <c r="P74" s="6"/>
      <c r="Q74" s="6"/>
      <c r="R74" s="6"/>
      <c r="S74" s="6"/>
      <c r="T74" s="6"/>
      <c r="U74" s="6"/>
      <c r="V74" s="20"/>
      <c r="W74" s="20"/>
      <c r="X74" s="20"/>
      <c r="Y74" s="20"/>
      <c r="Z74" s="20"/>
      <c r="AA74" s="20"/>
      <c r="AB74" s="20"/>
      <c r="AD74" s="6">
        <f>IF((D70&lt;&gt;"")*(D74=""),IF((D70&lt;=#REF!)*((D71&gt;=#REF!)+(D71&lt;2/24)),1,0),0)</f>
        <v>0</v>
      </c>
      <c r="AE74" s="6">
        <f>IF((E70&lt;&gt;"")*(E74=""),IF((E70&lt;=#REF!)*((E71&gt;=#REF!)+(E71&lt;2/24)),1,0),0)</f>
        <v>0</v>
      </c>
      <c r="AF74" s="6" t="e">
        <f>IF((F70&lt;&gt;"")*(F74=""),IF((F70&lt;=#REF!)*((F71&gt;=#REF!)+(F71&lt;2/24)),1,0),0)</f>
        <v>#REF!</v>
      </c>
      <c r="AG74" s="6">
        <f>IF((G70&lt;&gt;"")*(G74=""),IF((G70&lt;=#REF!)*((G71&gt;=#REF!)+(G71&lt;2/24)),1,0),0)</f>
        <v>0</v>
      </c>
      <c r="AH74" s="6">
        <f>IF((H70&lt;&gt;"")*(H74=""),IF((H70&lt;=#REF!)*((H71&gt;=#REF!)+(H71&lt;2/24)),1,0),0)</f>
        <v>0</v>
      </c>
      <c r="AI74" s="6">
        <f>IF((I70&lt;&gt;"")*(I74=""),IF((I70&lt;=#REF!)*((I71&gt;=#REF!)+(I71&lt;2/24)),1,0),0)</f>
        <v>0</v>
      </c>
      <c r="AJ74" s="6">
        <f>IF((J70&lt;&gt;"")*(J74=""),IF((J70&lt;=#REF!)*((J71&gt;=#REF!)+(J71&lt;2/24)),1,0),0)</f>
        <v>0</v>
      </c>
    </row>
    <row r="75" spans="1:36" ht="13.5" thickBot="1" x14ac:dyDescent="0.25">
      <c r="A75" s="41"/>
      <c r="B75" s="42"/>
      <c r="C75" s="35" t="s">
        <v>28</v>
      </c>
      <c r="D75" s="93"/>
      <c r="E75" s="93"/>
      <c r="F75" s="93"/>
      <c r="G75" s="93"/>
      <c r="H75" s="93"/>
      <c r="I75" s="93"/>
      <c r="J75" s="93"/>
      <c r="K75" s="94"/>
      <c r="L75" s="6"/>
      <c r="M75" s="25"/>
      <c r="N75" s="6"/>
      <c r="O75" s="6"/>
      <c r="P75" s="6"/>
      <c r="Q75" s="6"/>
      <c r="R75" s="6"/>
      <c r="S75" s="6"/>
      <c r="T75" s="6"/>
      <c r="U75" s="6"/>
      <c r="V75" s="20"/>
      <c r="W75" s="20"/>
      <c r="X75" s="20"/>
      <c r="Y75" s="20"/>
      <c r="Z75" s="20"/>
      <c r="AA75" s="20"/>
      <c r="AB75" s="20"/>
      <c r="AD75" s="6"/>
      <c r="AE75" s="6"/>
      <c r="AF75" s="6"/>
      <c r="AG75" s="6"/>
      <c r="AH75" s="6"/>
      <c r="AI75" s="6"/>
      <c r="AJ75" s="6"/>
    </row>
    <row r="76" spans="1:36" x14ac:dyDescent="0.2">
      <c r="A76" s="39" t="s">
        <v>159</v>
      </c>
      <c r="B76" s="40" t="s">
        <v>109</v>
      </c>
      <c r="C76" s="14" t="s">
        <v>0</v>
      </c>
      <c r="D76" s="26"/>
      <c r="E76" s="26">
        <v>0.77083333333333337</v>
      </c>
      <c r="F76" s="26"/>
      <c r="G76" s="26">
        <v>0.77083333333333337</v>
      </c>
      <c r="H76" s="26"/>
      <c r="I76" s="26"/>
      <c r="J76" s="26"/>
      <c r="K76" s="16"/>
      <c r="L76" s="6"/>
      <c r="M76" s="25"/>
      <c r="N76" s="6"/>
      <c r="O76" s="6"/>
      <c r="P76" s="6"/>
      <c r="Q76" s="6"/>
      <c r="R76" s="6"/>
      <c r="S76" s="6"/>
      <c r="T76" s="6"/>
      <c r="U76" s="6"/>
      <c r="V76" s="20"/>
      <c r="W76" s="20"/>
      <c r="X76" s="20"/>
      <c r="Y76" s="20"/>
      <c r="Z76" s="20"/>
      <c r="AA76" s="20"/>
      <c r="AB76" s="20"/>
      <c r="AD76" s="6"/>
      <c r="AE76" s="6"/>
      <c r="AF76" s="6"/>
      <c r="AG76" s="6"/>
      <c r="AH76" s="6"/>
      <c r="AI76" s="6"/>
      <c r="AJ76" s="6"/>
    </row>
    <row r="77" spans="1:36" x14ac:dyDescent="0.2">
      <c r="A77" s="39"/>
      <c r="B77" s="40"/>
      <c r="C77" s="15" t="s">
        <v>1</v>
      </c>
      <c r="D77" s="27"/>
      <c r="E77" s="27">
        <v>0.95833333333333337</v>
      </c>
      <c r="F77" s="27"/>
      <c r="G77" s="27">
        <v>0.95833333333333337</v>
      </c>
      <c r="H77" s="27"/>
      <c r="I77" s="27"/>
      <c r="J77" s="27"/>
      <c r="K77" s="17"/>
      <c r="L77" s="6"/>
      <c r="M77" s="25"/>
      <c r="N77" s="6"/>
      <c r="O77" s="6"/>
      <c r="P77" s="6"/>
      <c r="Q77" s="6"/>
      <c r="R77" s="6"/>
      <c r="S77" s="6"/>
      <c r="T77" s="6"/>
      <c r="U77" s="6"/>
      <c r="V77" s="20"/>
      <c r="W77" s="20"/>
      <c r="X77" s="20"/>
      <c r="Y77" s="20"/>
      <c r="Z77" s="20"/>
      <c r="AA77" s="20"/>
      <c r="AB77" s="20"/>
      <c r="AD77" s="6"/>
      <c r="AE77" s="6"/>
      <c r="AF77" s="6"/>
      <c r="AG77" s="6"/>
      <c r="AH77" s="6"/>
      <c r="AI77" s="6"/>
      <c r="AJ77" s="6"/>
    </row>
    <row r="78" spans="1:36" x14ac:dyDescent="0.2">
      <c r="A78" s="39"/>
      <c r="B78" s="40"/>
      <c r="C78" s="15" t="s">
        <v>2</v>
      </c>
      <c r="D78" s="4"/>
      <c r="E78" s="4"/>
      <c r="F78" s="4"/>
      <c r="G78" s="58"/>
      <c r="H78" s="4"/>
      <c r="I78" s="4"/>
      <c r="J78" s="4"/>
      <c r="K78" s="17"/>
      <c r="L78" s="6"/>
      <c r="M78" s="25"/>
      <c r="N78" s="6"/>
      <c r="O78" s="6"/>
      <c r="P78" s="6"/>
      <c r="Q78" s="6"/>
      <c r="R78" s="6"/>
      <c r="S78" s="6"/>
      <c r="T78" s="6"/>
      <c r="U78" s="6"/>
      <c r="V78" s="20"/>
      <c r="W78" s="20"/>
      <c r="X78" s="20"/>
      <c r="Y78" s="20"/>
      <c r="Z78" s="20"/>
      <c r="AA78" s="20"/>
      <c r="AB78" s="20"/>
      <c r="AD78" s="6"/>
      <c r="AE78" s="6"/>
      <c r="AF78" s="6"/>
      <c r="AG78" s="6"/>
      <c r="AH78" s="6"/>
      <c r="AI78" s="6"/>
      <c r="AJ78" s="6"/>
    </row>
    <row r="79" spans="1:36" x14ac:dyDescent="0.2">
      <c r="A79" s="39"/>
      <c r="B79" s="40"/>
      <c r="C79" s="15" t="s">
        <v>3</v>
      </c>
      <c r="D79" s="43" t="str">
        <f t="shared" ref="D79:H79" si="52">IF(D76="","",IF(D77&gt;D76,(D77-D76-D78)*24,(1-D76-D78+D77)*24))</f>
        <v/>
      </c>
      <c r="E79" s="43">
        <f t="shared" si="52"/>
        <v>4.5</v>
      </c>
      <c r="F79" s="43">
        <v>4.5</v>
      </c>
      <c r="G79" s="55">
        <f t="shared" si="52"/>
        <v>4.5</v>
      </c>
      <c r="H79" s="55" t="str">
        <f t="shared" si="52"/>
        <v/>
      </c>
      <c r="I79" s="43"/>
      <c r="J79" s="44" t="str">
        <f t="shared" ref="J79" si="53">IF(J76="","",IF(J77&gt;J76,(J77-J76-J78)*24,(1-J76-J78+J77)*24))</f>
        <v/>
      </c>
      <c r="K79" s="18">
        <f>SUMIF(D80:J80,"",D79:J79)</f>
        <v>13.5</v>
      </c>
      <c r="L79" s="12">
        <f>SUM(D79:J79)</f>
        <v>13.5</v>
      </c>
      <c r="M79" s="25"/>
      <c r="N79" s="6"/>
      <c r="O79" s="6"/>
      <c r="P79" s="6"/>
      <c r="Q79" s="6"/>
      <c r="R79" s="6"/>
      <c r="S79" s="6"/>
      <c r="T79" s="6"/>
      <c r="U79" s="6"/>
      <c r="V79" s="20"/>
      <c r="W79" s="20"/>
      <c r="X79" s="20"/>
      <c r="Y79" s="20"/>
      <c r="Z79" s="20"/>
      <c r="AA79" s="20"/>
      <c r="AB79" s="20"/>
      <c r="AD79" s="6"/>
      <c r="AE79" s="6"/>
      <c r="AF79" s="6"/>
      <c r="AG79" s="6"/>
      <c r="AH79" s="6"/>
      <c r="AI79" s="6"/>
      <c r="AJ79" s="6"/>
    </row>
    <row r="80" spans="1:36" x14ac:dyDescent="0.2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  <c r="N80" s="6"/>
      <c r="O80" s="6"/>
      <c r="P80" s="6"/>
      <c r="Q80" s="6"/>
      <c r="R80" s="6"/>
      <c r="S80" s="6"/>
      <c r="T80" s="6"/>
      <c r="U80" s="6"/>
      <c r="V80" s="20"/>
      <c r="W80" s="20"/>
      <c r="X80" s="20"/>
      <c r="Y80" s="20"/>
      <c r="Z80" s="20"/>
      <c r="AA80" s="20"/>
      <c r="AB80" s="20"/>
      <c r="AD80" s="6"/>
      <c r="AE80" s="6"/>
      <c r="AF80" s="6"/>
      <c r="AG80" s="6"/>
      <c r="AH80" s="6"/>
      <c r="AI80" s="6"/>
      <c r="AJ80" s="6"/>
    </row>
    <row r="81" spans="1:36" ht="13.5" thickBot="1" x14ac:dyDescent="0.25">
      <c r="A81" s="41"/>
      <c r="B81" s="42"/>
      <c r="C81" s="35" t="s">
        <v>28</v>
      </c>
      <c r="D81" s="93"/>
      <c r="E81" s="93"/>
      <c r="F81" s="101" t="s">
        <v>162</v>
      </c>
      <c r="G81" s="93"/>
      <c r="H81" s="93"/>
      <c r="I81" s="93"/>
      <c r="J81" s="93"/>
      <c r="K81" s="94"/>
      <c r="L81" s="6"/>
      <c r="M81" s="25"/>
      <c r="N81" s="6"/>
      <c r="O81" s="6"/>
      <c r="P81" s="6"/>
      <c r="Q81" s="6"/>
      <c r="R81" s="6"/>
      <c r="S81" s="6"/>
      <c r="T81" s="6"/>
      <c r="U81" s="6"/>
      <c r="V81" s="20"/>
      <c r="W81" s="20"/>
      <c r="X81" s="20"/>
      <c r="Y81" s="20"/>
      <c r="Z81" s="20"/>
      <c r="AA81" s="20"/>
      <c r="AB81" s="20"/>
      <c r="AD81" s="6"/>
      <c r="AE81" s="6"/>
      <c r="AF81" s="6"/>
      <c r="AG81" s="6"/>
      <c r="AH81" s="6"/>
      <c r="AI81" s="6"/>
      <c r="AJ81" s="6"/>
    </row>
    <row r="82" spans="1:36" x14ac:dyDescent="0.2">
      <c r="A82" s="37" t="s">
        <v>107</v>
      </c>
      <c r="B82" s="38" t="s">
        <v>113</v>
      </c>
      <c r="C82" s="14" t="s">
        <v>0</v>
      </c>
      <c r="D82" s="26"/>
      <c r="E82" s="26">
        <v>0.77083333333333337</v>
      </c>
      <c r="F82" s="26"/>
      <c r="G82" s="26"/>
      <c r="H82" s="26"/>
      <c r="I82" s="26"/>
      <c r="J82" s="26"/>
      <c r="K82" s="16"/>
      <c r="L82" s="6"/>
      <c r="M82" s="21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D82" s="6">
        <f>IF((D82&lt;&gt;"")*(D86=""),IF((D82&lt;=#REF!)*((D83&gt;=#REF!)+(D83&lt;2/24)),1,0),0)</f>
        <v>0</v>
      </c>
      <c r="AE82" s="6" t="e">
        <f>IF((E82&lt;&gt;"")*(E86=""),IF((E82&lt;=#REF!)*((E83&gt;=#REF!)+(E83&lt;2/24)),1,0),0)</f>
        <v>#REF!</v>
      </c>
      <c r="AF82" s="6">
        <f>IF((F82&lt;&gt;"")*(F86=""),IF((F82&lt;=#REF!)*((F83&gt;=#REF!)+(F83&lt;2/24)),1,0),0)</f>
        <v>0</v>
      </c>
      <c r="AG82" s="6">
        <f>IF((G82&lt;&gt;"")*(G86=""),IF((G82&lt;=#REF!)*((G83&gt;=#REF!)+(G83&lt;2/24)),1,0),0)</f>
        <v>0</v>
      </c>
      <c r="AH82" s="6">
        <f>IF((H82&lt;&gt;"")*(H86=""),IF((H82&lt;=#REF!)*((H83&gt;=#REF!)+(H83&lt;2/24)),1,0),0)</f>
        <v>0</v>
      </c>
      <c r="AI82" s="6">
        <f>IF((I82&lt;&gt;"")*(I86=""),IF((I82&lt;=#REF!)*((I83&gt;=#REF!)+(I83&lt;2/24)),1,0),0)</f>
        <v>0</v>
      </c>
      <c r="AJ82" s="6">
        <f>IF((J82&lt;&gt;"")*(J86=""),IF((J82&lt;=#REF!)*((J83&gt;=#REF!)+(J83&lt;2/24)),1,0),0)</f>
        <v>0</v>
      </c>
    </row>
    <row r="83" spans="1:36" x14ac:dyDescent="0.2">
      <c r="A83" s="39"/>
      <c r="B83" s="40"/>
      <c r="C83" s="15" t="s">
        <v>1</v>
      </c>
      <c r="D83" s="27"/>
      <c r="E83" s="27">
        <v>0.95833333333333337</v>
      </c>
      <c r="F83" s="27"/>
      <c r="G83" s="27"/>
      <c r="H83" s="27"/>
      <c r="I83" s="27"/>
      <c r="J83" s="27"/>
      <c r="K83" s="17"/>
      <c r="L83" s="6"/>
      <c r="M83" s="21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D83" s="6">
        <f>IF((D82&lt;&gt;"")*(D86=""),IF((D82&lt;=#REF!)*((D83&gt;=#REF!)+(D83&lt;2/24)),1,0),0)</f>
        <v>0</v>
      </c>
      <c r="AE83" s="6" t="e">
        <f>IF((E82&lt;&gt;"")*(E86=""),IF((E82&lt;=#REF!)*((E83&gt;=#REF!)+(E83&lt;2/24)),1,0),0)</f>
        <v>#REF!</v>
      </c>
      <c r="AF83" s="6">
        <f>IF((F82&lt;&gt;"")*(F86=""),IF((F82&lt;=#REF!)*((F83&gt;=#REF!)+(F83&lt;2/24)),1,0),0)</f>
        <v>0</v>
      </c>
      <c r="AG83" s="6">
        <f>IF((G82&lt;&gt;"")*(G86=""),IF((G82&lt;=#REF!)*((G83&gt;=#REF!)+(G83&lt;2/24)),1,0),0)</f>
        <v>0</v>
      </c>
      <c r="AH83" s="6">
        <f>IF((H82&lt;&gt;"")*(H86=""),IF((H82&lt;=#REF!)*((H83&gt;=#REF!)+(H83&lt;2/24)),1,0),0)</f>
        <v>0</v>
      </c>
      <c r="AI83" s="6">
        <f>IF((I82&lt;&gt;"")*(I86=""),IF((I82&lt;=#REF!)*((I83&gt;=#REF!)+(I83&lt;2/24)),1,0),0)</f>
        <v>0</v>
      </c>
      <c r="AJ83" s="6">
        <f>IF((J82&lt;&gt;"")*(J86=""),IF((J82&lt;=#REF!)*((J83&gt;=#REF!)+(J83&lt;2/24)),1,0),0)</f>
        <v>0</v>
      </c>
    </row>
    <row r="84" spans="1:36" x14ac:dyDescent="0.2">
      <c r="A84" s="39"/>
      <c r="B84" s="40"/>
      <c r="C84" s="15" t="s">
        <v>2</v>
      </c>
      <c r="D84" s="4"/>
      <c r="E84" s="4"/>
      <c r="F84" s="4"/>
      <c r="G84" s="58"/>
      <c r="H84" s="4"/>
      <c r="I84" s="4"/>
      <c r="J84" s="4"/>
      <c r="K84" s="17"/>
      <c r="L84" s="6"/>
      <c r="M84" s="21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D84" s="6">
        <f>IF((D82&lt;&gt;"")*(D86=""),IF((D82&lt;=#REF!)*((D83&gt;=#REF!)+(D83&lt;2/24)),1,0),0)</f>
        <v>0</v>
      </c>
      <c r="AE84" s="6" t="e">
        <f>IF((E82&lt;&gt;"")*(E86=""),IF((E82&lt;=#REF!)*((E83&gt;=#REF!)+(E83&lt;2/24)),1,0),0)</f>
        <v>#REF!</v>
      </c>
      <c r="AF84" s="6">
        <f>IF((F82&lt;&gt;"")*(F86=""),IF((F82&lt;=#REF!)*((F83&gt;=#REF!)+(F83&lt;2/24)),1,0),0)</f>
        <v>0</v>
      </c>
      <c r="AG84" s="6">
        <f>IF((G82&lt;&gt;"")*(G86=""),IF((G82&lt;=#REF!)*((G83&gt;=#REF!)+(G83&lt;2/24)),1,0),0)</f>
        <v>0</v>
      </c>
      <c r="AH84" s="6">
        <f>IF((H82&lt;&gt;"")*(H86=""),IF((H82&lt;=#REF!)*((H83&gt;=#REF!)+(H83&lt;2/24)),1,0),0)</f>
        <v>0</v>
      </c>
      <c r="AI84" s="6">
        <f>IF((I82&lt;&gt;"")*(I86=""),IF((I82&lt;=#REF!)*((I83&gt;=#REF!)+(I83&lt;2/24)),1,0),0)</f>
        <v>0</v>
      </c>
      <c r="AJ84" s="6">
        <f>IF((J82&lt;&gt;"")*(J86=""),IF((J82&lt;=#REF!)*((J83&gt;=#REF!)+(J83&lt;2/24)),1,0),0)</f>
        <v>0</v>
      </c>
    </row>
    <row r="85" spans="1:36" x14ac:dyDescent="0.2">
      <c r="A85" s="39"/>
      <c r="B85" s="40"/>
      <c r="C85" s="15" t="s">
        <v>3</v>
      </c>
      <c r="D85" s="43" t="str">
        <f t="shared" ref="D85:J85" si="54">IF(D82="","",IF(D83&gt;D82,(D83-D82-D84)*24,(1-D82-D84+D83)*24))</f>
        <v/>
      </c>
      <c r="E85" s="43">
        <f t="shared" si="54"/>
        <v>4.5</v>
      </c>
      <c r="F85" s="43">
        <v>4.5</v>
      </c>
      <c r="G85" s="55" t="str">
        <f t="shared" si="54"/>
        <v/>
      </c>
      <c r="H85" s="55" t="str">
        <f t="shared" si="54"/>
        <v/>
      </c>
      <c r="I85" s="43" t="str">
        <f t="shared" si="54"/>
        <v/>
      </c>
      <c r="J85" s="44" t="str">
        <f t="shared" si="54"/>
        <v/>
      </c>
      <c r="K85" s="18">
        <f>SUMIF(D86:J86,"",D85:J85)</f>
        <v>9</v>
      </c>
      <c r="L85" s="12">
        <f>SUM(D85:J85)</f>
        <v>9</v>
      </c>
      <c r="M85" s="24"/>
      <c r="N85" s="10" t="str">
        <f t="shared" ref="N85:T85" si="55">IF(D86="",D85,0)</f>
        <v/>
      </c>
      <c r="O85" s="10">
        <f t="shared" si="55"/>
        <v>4.5</v>
      </c>
      <c r="P85" s="10">
        <f t="shared" si="55"/>
        <v>4.5</v>
      </c>
      <c r="Q85" s="10" t="str">
        <f t="shared" si="55"/>
        <v/>
      </c>
      <c r="R85" s="10" t="str">
        <f t="shared" si="55"/>
        <v/>
      </c>
      <c r="S85" s="10" t="str">
        <f t="shared" si="55"/>
        <v/>
      </c>
      <c r="T85" s="10" t="str">
        <f t="shared" si="55"/>
        <v/>
      </c>
      <c r="U85" s="10"/>
      <c r="V85" s="10" t="str">
        <f t="shared" ref="V85:AB85" si="56">D85</f>
        <v/>
      </c>
      <c r="W85" s="10">
        <f t="shared" si="56"/>
        <v>4.5</v>
      </c>
      <c r="X85" s="10">
        <f t="shared" si="56"/>
        <v>4.5</v>
      </c>
      <c r="Y85" s="10" t="str">
        <f t="shared" si="56"/>
        <v/>
      </c>
      <c r="Z85" s="10" t="str">
        <f t="shared" si="56"/>
        <v/>
      </c>
      <c r="AA85" s="10" t="str">
        <f t="shared" si="56"/>
        <v/>
      </c>
      <c r="AB85" s="10" t="str">
        <f t="shared" si="56"/>
        <v/>
      </c>
      <c r="AD85" s="6">
        <f>IF((D82&lt;&gt;"")*(D86=""),IF((D82&lt;=#REF!)*((D83&gt;=#REF!)+(D83&lt;2/24)),1,0),0)</f>
        <v>0</v>
      </c>
      <c r="AE85" s="6" t="e">
        <f>IF((E82&lt;&gt;"")*(E86=""),IF((E82&lt;=#REF!)*((E83&gt;=#REF!)+(E83&lt;2/24)),1,0),0)</f>
        <v>#REF!</v>
      </c>
      <c r="AF85" s="6">
        <f>IF((F82&lt;&gt;"")*(F86=""),IF((F82&lt;=#REF!)*((F83&gt;=#REF!)+(F83&lt;2/24)),1,0),0)</f>
        <v>0</v>
      </c>
      <c r="AG85" s="6">
        <f>IF((G82&lt;&gt;"")*(G86=""),IF((G82&lt;=#REF!)*((G83&gt;=#REF!)+(G83&lt;2/24)),1,0),0)</f>
        <v>0</v>
      </c>
      <c r="AH85" s="6">
        <f>IF((H82&lt;&gt;"")*(H86=""),IF((H82&lt;=#REF!)*((H83&gt;=#REF!)+(H83&lt;2/24)),1,0),0)</f>
        <v>0</v>
      </c>
      <c r="AI85" s="6">
        <f>IF((I82&lt;&gt;"")*(I86=""),IF((I82&lt;=#REF!)*((I83&gt;=#REF!)+(I83&lt;2/24)),1,0),0)</f>
        <v>0</v>
      </c>
      <c r="AJ85" s="6">
        <f>IF((J82&lt;&gt;"")*(J86=""),IF((J82&lt;=#REF!)*((J83&gt;=#REF!)+(J83&lt;2/24)),1,0),0)</f>
        <v>0</v>
      </c>
    </row>
    <row r="86" spans="1:36" x14ac:dyDescent="0.2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  <c r="N86" s="6"/>
      <c r="O86" s="6"/>
      <c r="P86" s="6"/>
      <c r="Q86" s="6"/>
      <c r="R86" s="6"/>
      <c r="S86" s="6"/>
      <c r="T86" s="6"/>
      <c r="U86" s="6"/>
      <c r="V86" s="20"/>
      <c r="W86" s="20"/>
      <c r="X86" s="20"/>
      <c r="Y86" s="20"/>
      <c r="Z86" s="20"/>
      <c r="AA86" s="20"/>
      <c r="AB86" s="20"/>
      <c r="AD86" s="6">
        <f>IF((D82&lt;&gt;"")*(D86=""),IF((D82&lt;=#REF!)*((D83&gt;=#REF!)+(D83&lt;2/24)),1,0),0)</f>
        <v>0</v>
      </c>
      <c r="AE86" s="6" t="e">
        <f>IF((E82&lt;&gt;"")*(E86=""),IF((E82&lt;=#REF!)*((E83&gt;=#REF!)+(E83&lt;2/24)),1,0),0)</f>
        <v>#REF!</v>
      </c>
      <c r="AF86" s="6">
        <f>IF((F82&lt;&gt;"")*(F86=""),IF((F82&lt;=#REF!)*((F83&gt;=#REF!)+(F83&lt;2/24)),1,0),0)</f>
        <v>0</v>
      </c>
      <c r="AG86" s="6">
        <f>IF((G82&lt;&gt;"")*(G86=""),IF((G82&lt;=#REF!)*((G83&gt;=#REF!)+(G83&lt;2/24)),1,0),0)</f>
        <v>0</v>
      </c>
      <c r="AH86" s="6">
        <f>IF((H82&lt;&gt;"")*(H86=""),IF((H82&lt;=#REF!)*((H83&gt;=#REF!)+(H83&lt;2/24)),1,0),0)</f>
        <v>0</v>
      </c>
      <c r="AI86" s="6">
        <f>IF((I82&lt;&gt;"")*(I86=""),IF((I82&lt;=#REF!)*((I83&gt;=#REF!)+(I83&lt;2/24)),1,0),0)</f>
        <v>0</v>
      </c>
      <c r="AJ86" s="6">
        <f>IF((J82&lt;&gt;"")*(J86=""),IF((J82&lt;=#REF!)*((J83&gt;=#REF!)+(J83&lt;2/24)),1,0),0)</f>
        <v>0</v>
      </c>
    </row>
    <row r="87" spans="1:36" ht="13.5" thickBot="1" x14ac:dyDescent="0.25">
      <c r="A87" s="41"/>
      <c r="B87" s="42"/>
      <c r="C87" s="35" t="s">
        <v>28</v>
      </c>
      <c r="D87" s="36"/>
      <c r="E87" s="36"/>
      <c r="F87" s="36" t="s">
        <v>162</v>
      </c>
      <c r="G87" s="36"/>
      <c r="H87" s="36"/>
      <c r="I87" s="36"/>
      <c r="J87" s="36"/>
      <c r="K87" s="34"/>
      <c r="L87" s="6"/>
      <c r="M87" s="25"/>
      <c r="N87" s="6"/>
      <c r="O87" s="6"/>
      <c r="P87" s="6"/>
      <c r="Q87" s="6"/>
      <c r="R87" s="6"/>
      <c r="S87" s="6"/>
      <c r="T87" s="6"/>
      <c r="U87" s="6"/>
      <c r="V87" s="20"/>
      <c r="W87" s="20"/>
      <c r="X87" s="20"/>
      <c r="Y87" s="20"/>
      <c r="Z87" s="20"/>
      <c r="AA87" s="20"/>
      <c r="AB87" s="20"/>
      <c r="AD87" s="6"/>
      <c r="AE87" s="6"/>
      <c r="AF87" s="6"/>
      <c r="AG87" s="6"/>
      <c r="AH87" s="6"/>
      <c r="AI87" s="6"/>
      <c r="AJ87" s="6"/>
    </row>
    <row r="88" spans="1:36" ht="10.5" customHeight="1" x14ac:dyDescent="0.2">
      <c r="A88" s="37" t="s">
        <v>131</v>
      </c>
      <c r="B88" s="38" t="s">
        <v>132</v>
      </c>
      <c r="C88" s="14" t="s">
        <v>0</v>
      </c>
      <c r="D88" s="26">
        <v>0.54166666666666663</v>
      </c>
      <c r="E88" s="26"/>
      <c r="F88" s="26"/>
      <c r="G88" s="26"/>
      <c r="H88" s="26"/>
      <c r="I88" s="26"/>
      <c r="J88" s="26"/>
      <c r="K88" s="16"/>
      <c r="L88" s="6"/>
      <c r="M88" s="21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D88" s="6" t="e">
        <f>IF((D88&lt;&gt;"")*(D92=""),IF((D88&lt;=#REF!)*((D89&gt;=#REF!)+(D89&lt;2/24)),1,0),0)</f>
        <v>#REF!</v>
      </c>
      <c r="AE88" s="6">
        <f>IF((E88&lt;&gt;"")*(E92=""),IF((E88&lt;=#REF!)*((E89&gt;=#REF!)+(E89&lt;2/24)),1,0),0)</f>
        <v>0</v>
      </c>
      <c r="AF88" s="6">
        <f>IF((F88&lt;&gt;"")*(F92=""),IF((F88&lt;=#REF!)*((F89&gt;=#REF!)+(F89&lt;2/24)),1,0),0)</f>
        <v>0</v>
      </c>
      <c r="AG88" s="6">
        <f>IF((G88&lt;&gt;"")*(G92=""),IF((G88&lt;=#REF!)*((G89&gt;=#REF!)+(G89&lt;2/24)),1,0),0)</f>
        <v>0</v>
      </c>
      <c r="AH88" s="6">
        <f>IF((H88&lt;&gt;"")*(H92=""),IF((H88&lt;=#REF!)*((H89&gt;=#REF!)+(H89&lt;2/24)),1,0),0)</f>
        <v>0</v>
      </c>
      <c r="AI88" s="6">
        <f>IF((I88&lt;&gt;"")*(I92=""),IF((I88&lt;=#REF!)*((I89&gt;=#REF!)+(I89&lt;2/24)),1,0),0)</f>
        <v>0</v>
      </c>
      <c r="AJ88" s="6">
        <f>IF((J88&lt;&gt;"")*(J92=""),IF((J88&lt;=#REF!)*((J89&gt;=#REF!)+(J89&lt;2/24)),1,0),0)</f>
        <v>0</v>
      </c>
    </row>
    <row r="89" spans="1:36" x14ac:dyDescent="0.2">
      <c r="A89" s="39"/>
      <c r="B89" s="40"/>
      <c r="C89" s="15" t="s">
        <v>1</v>
      </c>
      <c r="D89" s="27">
        <v>0.95833333333333337</v>
      </c>
      <c r="E89" s="27"/>
      <c r="F89" s="27"/>
      <c r="G89" s="27"/>
      <c r="H89" s="27"/>
      <c r="I89" s="27"/>
      <c r="J89" s="27"/>
      <c r="K89" s="17"/>
      <c r="L89" s="6"/>
      <c r="M89" s="21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D89" s="6" t="e">
        <f>IF((D88&lt;&gt;"")*(D92=""),IF((D88&lt;=#REF!)*((D89&gt;=#REF!)+(D89&lt;2/24)),1,0),0)</f>
        <v>#REF!</v>
      </c>
      <c r="AE89" s="6">
        <f>IF((E88&lt;&gt;"")*(E92=""),IF((E88&lt;=#REF!)*((E89&gt;=#REF!)+(E89&lt;2/24)),1,0),0)</f>
        <v>0</v>
      </c>
      <c r="AF89" s="6">
        <f>IF((F88&lt;&gt;"")*(F92=""),IF((F88&lt;=#REF!)*((F89&gt;=#REF!)+(F89&lt;2/24)),1,0),0)</f>
        <v>0</v>
      </c>
      <c r="AG89" s="6">
        <f>IF((G88&lt;&gt;"")*(G92=""),IF((G88&lt;=#REF!)*((G89&gt;=#REF!)+(G89&lt;2/24)),1,0),0)</f>
        <v>0</v>
      </c>
      <c r="AH89" s="6">
        <f>IF((H88&lt;&gt;"")*(H92=""),IF((H88&lt;=#REF!)*((H89&gt;=#REF!)+(H89&lt;2/24)),1,0),0)</f>
        <v>0</v>
      </c>
      <c r="AI89" s="6">
        <f>IF((I88&lt;&gt;"")*(I92=""),IF((I88&lt;=#REF!)*((I89&gt;=#REF!)+(I89&lt;2/24)),1,0),0)</f>
        <v>0</v>
      </c>
      <c r="AJ89" s="6">
        <f>IF((J88&lt;&gt;"")*(J92=""),IF((J88&lt;=#REF!)*((J89&gt;=#REF!)+(J89&lt;2/24)),1,0),0)</f>
        <v>0</v>
      </c>
    </row>
    <row r="90" spans="1:36" x14ac:dyDescent="0.2">
      <c r="A90" s="39"/>
      <c r="B90" s="40"/>
      <c r="C90" s="15" t="s">
        <v>2</v>
      </c>
      <c r="D90" s="4">
        <v>4.1666666666666664E-2</v>
      </c>
      <c r="E90" s="4"/>
      <c r="F90" s="4"/>
      <c r="G90" s="58"/>
      <c r="H90" s="4"/>
      <c r="I90" s="4"/>
      <c r="J90" s="4"/>
      <c r="K90" s="17"/>
      <c r="L90" s="6"/>
      <c r="M90" s="21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D90" s="6" t="e">
        <f>IF((D88&lt;&gt;"")*(D92=""),IF((D88&lt;=#REF!)*((D89&gt;=#REF!)+(D89&lt;2/24)),1,0),0)</f>
        <v>#REF!</v>
      </c>
      <c r="AE90" s="6">
        <f>IF((E88&lt;&gt;"")*(E92=""),IF((E88&lt;=#REF!)*((E89&gt;=#REF!)+(E89&lt;2/24)),1,0),0)</f>
        <v>0</v>
      </c>
      <c r="AF90" s="6">
        <f>IF((F88&lt;&gt;"")*(F92=""),IF((F88&lt;=#REF!)*((F89&gt;=#REF!)+(F89&lt;2/24)),1,0),0)</f>
        <v>0</v>
      </c>
      <c r="AG90" s="6">
        <f>IF((G88&lt;&gt;"")*(G92=""),IF((G88&lt;=#REF!)*((G89&gt;=#REF!)+(G89&lt;2/24)),1,0),0)</f>
        <v>0</v>
      </c>
      <c r="AH90" s="6">
        <f>IF((H88&lt;&gt;"")*(H92=""),IF((H88&lt;=#REF!)*((H89&gt;=#REF!)+(H89&lt;2/24)),1,0),0)</f>
        <v>0</v>
      </c>
      <c r="AI90" s="6">
        <f>IF((I88&lt;&gt;"")*(I92=""),IF((I88&lt;=#REF!)*((I89&gt;=#REF!)+(I89&lt;2/24)),1,0),0)</f>
        <v>0</v>
      </c>
      <c r="AJ90" s="6">
        <f>IF((J88&lt;&gt;"")*(J92=""),IF((J88&lt;=#REF!)*((J89&gt;=#REF!)+(J89&lt;2/24)),1,0),0)</f>
        <v>0</v>
      </c>
    </row>
    <row r="91" spans="1:36" x14ac:dyDescent="0.2">
      <c r="A91" s="39"/>
      <c r="B91" s="40"/>
      <c r="C91" s="15" t="s">
        <v>3</v>
      </c>
      <c r="D91" s="43">
        <f t="shared" ref="D91:J91" si="57">IF(D88="","",IF(D89&gt;D88,(D89-D88-D90)*24,(1-D88-D90+D89)*24))</f>
        <v>9.0000000000000018</v>
      </c>
      <c r="E91" s="43" t="str">
        <f t="shared" si="57"/>
        <v/>
      </c>
      <c r="F91" s="43" t="str">
        <f t="shared" si="57"/>
        <v/>
      </c>
      <c r="G91" s="55" t="str">
        <f t="shared" si="57"/>
        <v/>
      </c>
      <c r="H91" s="55" t="str">
        <f t="shared" si="57"/>
        <v/>
      </c>
      <c r="I91" s="43" t="str">
        <f t="shared" si="57"/>
        <v/>
      </c>
      <c r="J91" s="44" t="str">
        <f t="shared" si="57"/>
        <v/>
      </c>
      <c r="K91" s="18">
        <f>SUMIF(D92:J92,"",D91:J91)</f>
        <v>9.0000000000000018</v>
      </c>
      <c r="L91" s="12">
        <f>SUM(D91:J91)</f>
        <v>9.0000000000000018</v>
      </c>
      <c r="M91" s="24"/>
      <c r="N91" s="10">
        <f t="shared" ref="N91:T91" si="58">IF(D92="",D91,0)</f>
        <v>9.0000000000000018</v>
      </c>
      <c r="O91" s="10" t="str">
        <f t="shared" si="58"/>
        <v/>
      </c>
      <c r="P91" s="10" t="str">
        <f t="shared" si="58"/>
        <v/>
      </c>
      <c r="Q91" s="10" t="str">
        <f t="shared" si="58"/>
        <v/>
      </c>
      <c r="R91" s="10" t="str">
        <f t="shared" si="58"/>
        <v/>
      </c>
      <c r="S91" s="10" t="str">
        <f t="shared" si="58"/>
        <v/>
      </c>
      <c r="T91" s="10" t="str">
        <f t="shared" si="58"/>
        <v/>
      </c>
      <c r="U91" s="10"/>
      <c r="V91" s="10">
        <f t="shared" ref="V91:AB91" si="59">D91</f>
        <v>9.0000000000000018</v>
      </c>
      <c r="W91" s="10" t="str">
        <f t="shared" si="59"/>
        <v/>
      </c>
      <c r="X91" s="10" t="str">
        <f t="shared" si="59"/>
        <v/>
      </c>
      <c r="Y91" s="10" t="str">
        <f t="shared" si="59"/>
        <v/>
      </c>
      <c r="Z91" s="10" t="str">
        <f t="shared" si="59"/>
        <v/>
      </c>
      <c r="AA91" s="10" t="str">
        <f t="shared" si="59"/>
        <v/>
      </c>
      <c r="AB91" s="10" t="str">
        <f t="shared" si="59"/>
        <v/>
      </c>
      <c r="AD91" s="6" t="e">
        <f>IF((D88&lt;&gt;"")*(D92=""),IF((D88&lt;=#REF!)*((D89&gt;=#REF!)+(D89&lt;2/24)),1,0),0)</f>
        <v>#REF!</v>
      </c>
      <c r="AE91" s="6">
        <f>IF((E88&lt;&gt;"")*(E92=""),IF((E88&lt;=#REF!)*((E89&gt;=#REF!)+(E89&lt;2/24)),1,0),0)</f>
        <v>0</v>
      </c>
      <c r="AF91" s="6">
        <f>IF((F88&lt;&gt;"")*(F92=""),IF((F88&lt;=#REF!)*((F89&gt;=#REF!)+(F89&lt;2/24)),1,0),0)</f>
        <v>0</v>
      </c>
      <c r="AG91" s="6">
        <f>IF((G88&lt;&gt;"")*(G92=""),IF((G88&lt;=#REF!)*((G89&gt;=#REF!)+(G89&lt;2/24)),1,0),0)</f>
        <v>0</v>
      </c>
      <c r="AH91" s="6">
        <f>IF((H88&lt;&gt;"")*(H92=""),IF((H88&lt;=#REF!)*((H89&gt;=#REF!)+(H89&lt;2/24)),1,0),0)</f>
        <v>0</v>
      </c>
      <c r="AI91" s="6">
        <f>IF((I88&lt;&gt;"")*(I92=""),IF((I88&lt;=#REF!)*((I89&gt;=#REF!)+(I89&lt;2/24)),1,0),0)</f>
        <v>0</v>
      </c>
      <c r="AJ91" s="6">
        <f>IF((J88&lt;&gt;"")*(J92=""),IF((J88&lt;=#REF!)*((J89&gt;=#REF!)+(J89&lt;2/24)),1,0),0)</f>
        <v>0</v>
      </c>
    </row>
    <row r="92" spans="1:36" x14ac:dyDescent="0.2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  <c r="N92" s="6"/>
      <c r="O92" s="6"/>
      <c r="P92" s="6"/>
      <c r="Q92" s="6"/>
      <c r="R92" s="6"/>
      <c r="S92" s="6"/>
      <c r="T92" s="6"/>
      <c r="U92" s="6"/>
      <c r="V92" s="20"/>
      <c r="W92" s="20"/>
      <c r="X92" s="20"/>
      <c r="Y92" s="20"/>
      <c r="Z92" s="20"/>
      <c r="AA92" s="20"/>
      <c r="AB92" s="20"/>
      <c r="AD92" s="6" t="e">
        <f>IF((D88&lt;&gt;"")*(D92=""),IF((D88&lt;=#REF!)*((D89&gt;=#REF!)+(D89&lt;2/24)),1,0),0)</f>
        <v>#REF!</v>
      </c>
      <c r="AE92" s="6">
        <f>IF((E88&lt;&gt;"")*(E92=""),IF((E88&lt;=#REF!)*((E89&gt;=#REF!)+(E89&lt;2/24)),1,0),0)</f>
        <v>0</v>
      </c>
      <c r="AF92" s="6">
        <f>IF((F88&lt;&gt;"")*(F92=""),IF((F88&lt;=#REF!)*((F89&gt;=#REF!)+(F89&lt;2/24)),1,0),0)</f>
        <v>0</v>
      </c>
      <c r="AG92" s="6">
        <f>IF((G88&lt;&gt;"")*(G92=""),IF((G88&lt;=#REF!)*((G89&gt;=#REF!)+(G89&lt;2/24)),1,0),0)</f>
        <v>0</v>
      </c>
      <c r="AH92" s="6">
        <f>IF((H88&lt;&gt;"")*(H92=""),IF((H88&lt;=#REF!)*((H89&gt;=#REF!)+(H89&lt;2/24)),1,0),0)</f>
        <v>0</v>
      </c>
      <c r="AI92" s="6">
        <f>IF((I88&lt;&gt;"")*(I92=""),IF((I88&lt;=#REF!)*((I89&gt;=#REF!)+(I89&lt;2/24)),1,0),0)</f>
        <v>0</v>
      </c>
      <c r="AJ92" s="6">
        <f>IF((J88&lt;&gt;"")*(J92=""),IF((J88&lt;=#REF!)*((J89&gt;=#REF!)+(J89&lt;2/24)),1,0),0)</f>
        <v>0</v>
      </c>
    </row>
    <row r="93" spans="1:36" ht="13.5" thickBot="1" x14ac:dyDescent="0.25">
      <c r="A93" s="41"/>
      <c r="B93" s="42"/>
      <c r="C93" s="35" t="s">
        <v>28</v>
      </c>
      <c r="D93" s="36"/>
      <c r="E93" s="36"/>
      <c r="F93" s="36"/>
      <c r="G93" s="36"/>
      <c r="H93" s="36"/>
      <c r="I93" s="36"/>
      <c r="J93" s="36"/>
      <c r="K93" s="34"/>
      <c r="L93" s="6"/>
      <c r="M93" s="25"/>
      <c r="N93" s="6"/>
      <c r="O93" s="6"/>
      <c r="P93" s="6"/>
      <c r="Q93" s="6"/>
      <c r="R93" s="6"/>
      <c r="S93" s="6"/>
      <c r="T93" s="6"/>
      <c r="U93" s="6"/>
      <c r="V93" s="20"/>
      <c r="W93" s="20"/>
      <c r="X93" s="20"/>
      <c r="Y93" s="20"/>
      <c r="Z93" s="20"/>
      <c r="AA93" s="20"/>
      <c r="AB93" s="20"/>
      <c r="AD93" s="6"/>
      <c r="AE93" s="6"/>
      <c r="AF93" s="6"/>
      <c r="AG93" s="6"/>
      <c r="AH93" s="6"/>
      <c r="AI93" s="6"/>
      <c r="AJ93" s="6"/>
    </row>
    <row r="94" spans="1:36" ht="13.5" customHeight="1" x14ac:dyDescent="0.2">
      <c r="A94" s="37" t="s">
        <v>135</v>
      </c>
      <c r="B94" s="38" t="s">
        <v>136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  <c r="L94" s="6"/>
      <c r="M94" s="21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D94" s="6">
        <f>IF((D94&lt;&gt;"")*(D98=""),IF((D94&lt;=#REF!)*((D95&gt;=#REF!)+(D95&lt;2/24)),1,0),0)</f>
        <v>0</v>
      </c>
      <c r="AE94" s="6">
        <f>IF((E94&lt;&gt;"")*(E98=""),IF((E94&lt;=#REF!)*((E95&gt;=#REF!)+(E95&lt;2/24)),1,0),0)</f>
        <v>0</v>
      </c>
      <c r="AF94" s="6">
        <f>IF((F94&lt;&gt;"")*(F98=""),IF((F94&lt;=#REF!)*((F95&gt;=#REF!)+(F95&lt;2/24)),1,0),0)</f>
        <v>0</v>
      </c>
      <c r="AG94" s="6">
        <f>IF((G94&lt;&gt;"")*(G98=""),IF((G94&lt;=#REF!)*((G95&gt;=#REF!)+(G95&lt;2/24)),1,0),0)</f>
        <v>0</v>
      </c>
      <c r="AH94" s="6">
        <f>IF((H94&lt;&gt;"")*(H98=""),IF((H94&lt;=#REF!)*((H95&gt;=#REF!)+(H95&lt;2/24)),1,0),0)</f>
        <v>0</v>
      </c>
      <c r="AI94" s="6">
        <f>IF((I94&lt;&gt;"")*(I98=""),IF((I94&lt;=#REF!)*((I95&gt;=#REF!)+(I95&lt;2/24)),1,0),0)</f>
        <v>0</v>
      </c>
      <c r="AJ94" s="6">
        <f>IF((J94&lt;&gt;"")*(J98=""),IF((J94&lt;=#REF!)*((J95&gt;=#REF!)+(J95&lt;2/24)),1,0),0)</f>
        <v>0</v>
      </c>
    </row>
    <row r="95" spans="1:36" x14ac:dyDescent="0.2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  <c r="L95" s="6"/>
      <c r="M95" s="21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D95" s="6">
        <f>IF((D94&lt;&gt;"")*(D98=""),IF((D94&lt;=#REF!)*((D95&gt;=#REF!)+(D95&lt;2/24)),1,0),0)</f>
        <v>0</v>
      </c>
      <c r="AE95" s="6">
        <f>IF((E94&lt;&gt;"")*(E98=""),IF((E94&lt;=#REF!)*((E95&gt;=#REF!)+(E95&lt;2/24)),1,0),0)</f>
        <v>0</v>
      </c>
      <c r="AF95" s="6">
        <f>IF((F94&lt;&gt;"")*(F98=""),IF((F94&lt;=#REF!)*((F95&gt;=#REF!)+(F95&lt;2/24)),1,0),0)</f>
        <v>0</v>
      </c>
      <c r="AG95" s="6">
        <f>IF((G94&lt;&gt;"")*(G98=""),IF((G94&lt;=#REF!)*((G95&gt;=#REF!)+(G95&lt;2/24)),1,0),0)</f>
        <v>0</v>
      </c>
      <c r="AH95" s="6">
        <f>IF((H94&lt;&gt;"")*(H98=""),IF((H94&lt;=#REF!)*((H95&gt;=#REF!)+(H95&lt;2/24)),1,0),0)</f>
        <v>0</v>
      </c>
      <c r="AI95" s="6">
        <f>IF((I94&lt;&gt;"")*(I98=""),IF((I94&lt;=#REF!)*((I95&gt;=#REF!)+(I95&lt;2/24)),1,0),0)</f>
        <v>0</v>
      </c>
      <c r="AJ95" s="6">
        <f>IF((J94&lt;&gt;"")*(J98=""),IF((J94&lt;=#REF!)*((J95&gt;=#REF!)+(J95&lt;2/24)),1,0),0)</f>
        <v>0</v>
      </c>
    </row>
    <row r="96" spans="1:36" x14ac:dyDescent="0.2">
      <c r="A96" s="39"/>
      <c r="B96" s="40"/>
      <c r="C96" s="15" t="s">
        <v>2</v>
      </c>
      <c r="D96" s="4"/>
      <c r="E96" s="4"/>
      <c r="F96" s="4"/>
      <c r="G96" s="58"/>
      <c r="H96" s="4"/>
      <c r="I96" s="4"/>
      <c r="J96" s="4"/>
      <c r="K96" s="17"/>
      <c r="L96" s="6"/>
      <c r="M96" s="21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D96" s="6">
        <f>IF((D94&lt;&gt;"")*(D98=""),IF((D94&lt;=#REF!)*((D95&gt;=#REF!)+(D95&lt;2/24)),1,0),0)</f>
        <v>0</v>
      </c>
      <c r="AE96" s="6">
        <f>IF((E94&lt;&gt;"")*(E98=""),IF((E94&lt;=#REF!)*((E95&gt;=#REF!)+(E95&lt;2/24)),1,0),0)</f>
        <v>0</v>
      </c>
      <c r="AF96" s="6">
        <f>IF((F94&lt;&gt;"")*(F98=""),IF((F94&lt;=#REF!)*((F95&gt;=#REF!)+(F95&lt;2/24)),1,0),0)</f>
        <v>0</v>
      </c>
      <c r="AG96" s="6">
        <f>IF((G94&lt;&gt;"")*(G98=""),IF((G94&lt;=#REF!)*((G95&gt;=#REF!)+(G95&lt;2/24)),1,0),0)</f>
        <v>0</v>
      </c>
      <c r="AH96" s="6">
        <f>IF((H94&lt;&gt;"")*(H98=""),IF((H94&lt;=#REF!)*((H95&gt;=#REF!)+(H95&lt;2/24)),1,0),0)</f>
        <v>0</v>
      </c>
      <c r="AI96" s="6">
        <f>IF((I94&lt;&gt;"")*(I98=""),IF((I94&lt;=#REF!)*((I95&gt;=#REF!)+(I95&lt;2/24)),1,0),0)</f>
        <v>0</v>
      </c>
      <c r="AJ96" s="6">
        <f>IF((J94&lt;&gt;"")*(J98=""),IF((J94&lt;=#REF!)*((J95&gt;=#REF!)+(J95&lt;2/24)),1,0),0)</f>
        <v>0</v>
      </c>
    </row>
    <row r="97" spans="1:36" x14ac:dyDescent="0.2">
      <c r="A97" s="39"/>
      <c r="B97" s="40"/>
      <c r="C97" s="15" t="s">
        <v>3</v>
      </c>
      <c r="D97" s="43" t="str">
        <f t="shared" ref="D97:J97" si="60">IF(D94="","",IF(D95&gt;D94,(D95-D94-D96)*24,(1-D94-D96+D95)*24))</f>
        <v/>
      </c>
      <c r="E97" s="43" t="str">
        <f t="shared" si="60"/>
        <v/>
      </c>
      <c r="F97" s="43" t="str">
        <f t="shared" si="60"/>
        <v/>
      </c>
      <c r="G97" s="55" t="str">
        <f t="shared" si="60"/>
        <v/>
      </c>
      <c r="H97" s="55" t="str">
        <f t="shared" si="60"/>
        <v/>
      </c>
      <c r="I97" s="43" t="str">
        <f t="shared" si="60"/>
        <v/>
      </c>
      <c r="J97" s="44" t="str">
        <f t="shared" si="60"/>
        <v/>
      </c>
      <c r="K97" s="18">
        <f>SUMIF(D98:J98,"",D97:J97)</f>
        <v>0</v>
      </c>
      <c r="L97" s="12">
        <f>SUM(D97:J97)</f>
        <v>0</v>
      </c>
      <c r="M97" s="24"/>
      <c r="N97" s="10" t="str">
        <f t="shared" ref="N97:T97" si="61">IF(D98="",D97,0)</f>
        <v/>
      </c>
      <c r="O97" s="10" t="str">
        <f t="shared" si="61"/>
        <v/>
      </c>
      <c r="P97" s="10" t="str">
        <f t="shared" si="61"/>
        <v/>
      </c>
      <c r="Q97" s="10" t="str">
        <f t="shared" si="61"/>
        <v/>
      </c>
      <c r="R97" s="10" t="str">
        <f t="shared" si="61"/>
        <v/>
      </c>
      <c r="S97" s="10" t="str">
        <f t="shared" si="61"/>
        <v/>
      </c>
      <c r="T97" s="10" t="str">
        <f t="shared" si="61"/>
        <v/>
      </c>
      <c r="U97" s="10"/>
      <c r="V97" s="10" t="str">
        <f t="shared" ref="V97:AB97" si="62">D97</f>
        <v/>
      </c>
      <c r="W97" s="10" t="str">
        <f t="shared" si="62"/>
        <v/>
      </c>
      <c r="X97" s="10" t="str">
        <f t="shared" si="62"/>
        <v/>
      </c>
      <c r="Y97" s="10" t="str">
        <f t="shared" si="62"/>
        <v/>
      </c>
      <c r="Z97" s="10" t="str">
        <f t="shared" si="62"/>
        <v/>
      </c>
      <c r="AA97" s="10" t="str">
        <f t="shared" si="62"/>
        <v/>
      </c>
      <c r="AB97" s="10" t="str">
        <f t="shared" si="62"/>
        <v/>
      </c>
      <c r="AD97" s="6">
        <f>IF((D94&lt;&gt;"")*(D98=""),IF((D94&lt;=#REF!)*((D95&gt;=#REF!)+(D95&lt;2/24)),1,0),0)</f>
        <v>0</v>
      </c>
      <c r="AE97" s="6">
        <f>IF((E94&lt;&gt;"")*(E98=""),IF((E94&lt;=#REF!)*((E95&gt;=#REF!)+(E95&lt;2/24)),1,0),0)</f>
        <v>0</v>
      </c>
      <c r="AF97" s="6">
        <f>IF((F94&lt;&gt;"")*(F98=""),IF((F94&lt;=#REF!)*((F95&gt;=#REF!)+(F95&lt;2/24)),1,0),0)</f>
        <v>0</v>
      </c>
      <c r="AG97" s="6">
        <f>IF((G94&lt;&gt;"")*(G98=""),IF((G94&lt;=#REF!)*((G95&gt;=#REF!)+(G95&lt;2/24)),1,0),0)</f>
        <v>0</v>
      </c>
      <c r="AH97" s="6">
        <f>IF((H94&lt;&gt;"")*(H98=""),IF((H94&lt;=#REF!)*((H95&gt;=#REF!)+(H95&lt;2/24)),1,0),0)</f>
        <v>0</v>
      </c>
      <c r="AI97" s="6">
        <f>IF((I94&lt;&gt;"")*(I98=""),IF((I94&lt;=#REF!)*((I95&gt;=#REF!)+(I95&lt;2/24)),1,0),0)</f>
        <v>0</v>
      </c>
      <c r="AJ97" s="6">
        <f>IF((J94&lt;&gt;"")*(J98=""),IF((J94&lt;=#REF!)*((J95&gt;=#REF!)+(J95&lt;2/24)),1,0),0)</f>
        <v>0</v>
      </c>
    </row>
    <row r="98" spans="1:36" x14ac:dyDescent="0.2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  <c r="N98" s="6"/>
      <c r="O98" s="6"/>
      <c r="P98" s="6"/>
      <c r="Q98" s="6"/>
      <c r="R98" s="6"/>
      <c r="S98" s="6"/>
      <c r="T98" s="6"/>
      <c r="U98" s="6"/>
      <c r="V98" s="20"/>
      <c r="W98" s="20"/>
      <c r="X98" s="20"/>
      <c r="Y98" s="20"/>
      <c r="Z98" s="20"/>
      <c r="AA98" s="20"/>
      <c r="AB98" s="20"/>
      <c r="AD98" s="6">
        <f>IF((D94&lt;&gt;"")*(D98=""),IF((D94&lt;=#REF!)*((D95&gt;=#REF!)+(D95&lt;2/24)),1,0),0)</f>
        <v>0</v>
      </c>
      <c r="AE98" s="6">
        <f>IF((E94&lt;&gt;"")*(E98=""),IF((E94&lt;=#REF!)*((E95&gt;=#REF!)+(E95&lt;2/24)),1,0),0)</f>
        <v>0</v>
      </c>
      <c r="AF98" s="6">
        <f>IF((F94&lt;&gt;"")*(F98=""),IF((F94&lt;=#REF!)*((F95&gt;=#REF!)+(F95&lt;2/24)),1,0),0)</f>
        <v>0</v>
      </c>
      <c r="AG98" s="6">
        <f>IF((G94&lt;&gt;"")*(G98=""),IF((G94&lt;=#REF!)*((G95&gt;=#REF!)+(G95&lt;2/24)),1,0),0)</f>
        <v>0</v>
      </c>
      <c r="AH98" s="6">
        <f>IF((H94&lt;&gt;"")*(H98=""),IF((H94&lt;=#REF!)*((H95&gt;=#REF!)+(H95&lt;2/24)),1,0),0)</f>
        <v>0</v>
      </c>
      <c r="AI98" s="6">
        <f>IF((I94&lt;&gt;"")*(I98=""),IF((I94&lt;=#REF!)*((I95&gt;=#REF!)+(I95&lt;2/24)),1,0),0)</f>
        <v>0</v>
      </c>
      <c r="AJ98" s="6">
        <f>IF((J94&lt;&gt;"")*(J98=""),IF((J94&lt;=#REF!)*((J95&gt;=#REF!)+(J95&lt;2/24)),1,0),0)</f>
        <v>0</v>
      </c>
    </row>
    <row r="99" spans="1:36" ht="13.5" thickBot="1" x14ac:dyDescent="0.25">
      <c r="A99" s="41"/>
      <c r="B99" s="42"/>
      <c r="C99" s="35" t="s">
        <v>28</v>
      </c>
      <c r="D99" s="36"/>
      <c r="E99" s="36"/>
      <c r="F99" s="36"/>
      <c r="G99" s="36"/>
      <c r="H99" s="36"/>
      <c r="I99" s="36"/>
      <c r="J99" s="36"/>
      <c r="K99" s="34"/>
      <c r="L99" s="6"/>
      <c r="M99" s="25"/>
      <c r="N99" s="6"/>
      <c r="O99" s="6"/>
      <c r="P99" s="6"/>
      <c r="Q99" s="6"/>
      <c r="R99" s="6"/>
      <c r="S99" s="6"/>
      <c r="T99" s="6"/>
      <c r="U99" s="6"/>
      <c r="V99" s="20"/>
      <c r="W99" s="20"/>
      <c r="X99" s="20"/>
      <c r="Y99" s="20"/>
      <c r="Z99" s="20"/>
      <c r="AA99" s="20"/>
      <c r="AB99" s="20"/>
      <c r="AD99" s="6"/>
      <c r="AE99" s="6"/>
      <c r="AF99" s="6"/>
      <c r="AG99" s="6"/>
      <c r="AH99" s="6"/>
      <c r="AI99" s="6"/>
      <c r="AJ99" s="6"/>
    </row>
    <row r="100" spans="1:36" ht="13.5" customHeight="1" x14ac:dyDescent="0.2">
      <c r="A100" s="37" t="s">
        <v>137</v>
      </c>
      <c r="B100" s="38" t="s">
        <v>138</v>
      </c>
      <c r="C100" s="14" t="s">
        <v>0</v>
      </c>
      <c r="D100" s="26"/>
      <c r="E100" s="26"/>
      <c r="F100" s="26">
        <v>0.77083333333333337</v>
      </c>
      <c r="G100" s="26"/>
      <c r="H100" s="26"/>
      <c r="I100" s="26"/>
      <c r="J100" s="26"/>
      <c r="K100" s="16"/>
      <c r="L100" s="6"/>
      <c r="M100" s="21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D100" s="6">
        <f>IF((D100&lt;&gt;"")*(D104=""),IF((D100&lt;=#REF!)*((D101&gt;=#REF!)+(D101&lt;2/24)),1,0),0)</f>
        <v>0</v>
      </c>
      <c r="AE100" s="6">
        <f>IF((E100&lt;&gt;"")*(E104=""),IF((E100&lt;=#REF!)*((E101&gt;=#REF!)+(E101&lt;2/24)),1,0),0)</f>
        <v>0</v>
      </c>
      <c r="AF100" s="6" t="e">
        <f>IF((F100&lt;&gt;"")*(F104=""),IF((F100&lt;=#REF!)*((F101&gt;=#REF!)+(F101&lt;2/24)),1,0),0)</f>
        <v>#REF!</v>
      </c>
      <c r="AG100" s="6">
        <f>IF((G100&lt;&gt;"")*(G104=""),IF((G100&lt;=#REF!)*((G101&gt;=#REF!)+(G101&lt;2/24)),1,0),0)</f>
        <v>0</v>
      </c>
      <c r="AH100" s="6">
        <f>IF((H100&lt;&gt;"")*(H104=""),IF((H100&lt;=#REF!)*((H101&gt;=#REF!)+(H101&lt;2/24)),1,0),0)</f>
        <v>0</v>
      </c>
      <c r="AI100" s="6">
        <f>IF((I100&lt;&gt;"")*(I104=""),IF((I100&lt;=#REF!)*((I101&gt;=#REF!)+(I101&lt;2/24)),1,0),0)</f>
        <v>0</v>
      </c>
      <c r="AJ100" s="6">
        <f>IF((J100&lt;&gt;"")*(J104=""),IF((J100&lt;=#REF!)*((J101&gt;=#REF!)+(J101&lt;2/24)),1,0),0)</f>
        <v>0</v>
      </c>
    </row>
    <row r="101" spans="1:36" x14ac:dyDescent="0.2">
      <c r="A101" s="39"/>
      <c r="B101" s="40"/>
      <c r="C101" s="15" t="s">
        <v>1</v>
      </c>
      <c r="D101" s="27"/>
      <c r="E101" s="27"/>
      <c r="F101" s="27">
        <v>0.95833333333333337</v>
      </c>
      <c r="G101" s="27"/>
      <c r="H101" s="27"/>
      <c r="I101" s="27"/>
      <c r="J101" s="27"/>
      <c r="K101" s="17"/>
      <c r="L101" s="6"/>
      <c r="M101" s="21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D101" s="6">
        <f>IF((D100&lt;&gt;"")*(D104=""),IF((D100&lt;=#REF!)*((D101&gt;=#REF!)+(D101&lt;2/24)),1,0),0)</f>
        <v>0</v>
      </c>
      <c r="AE101" s="6">
        <f>IF((E100&lt;&gt;"")*(E104=""),IF((E100&lt;=#REF!)*((E101&gt;=#REF!)+(E101&lt;2/24)),1,0),0)</f>
        <v>0</v>
      </c>
      <c r="AF101" s="6" t="e">
        <f>IF((F100&lt;&gt;"")*(F104=""),IF((F100&lt;=#REF!)*((F101&gt;=#REF!)+(F101&lt;2/24)),1,0),0)</f>
        <v>#REF!</v>
      </c>
      <c r="AG101" s="6">
        <f>IF((G100&lt;&gt;"")*(G104=""),IF((G100&lt;=#REF!)*((G101&gt;=#REF!)+(G101&lt;2/24)),1,0),0)</f>
        <v>0</v>
      </c>
      <c r="AH101" s="6">
        <f>IF((H100&lt;&gt;"")*(H104=""),IF((H100&lt;=#REF!)*((H101&gt;=#REF!)+(H101&lt;2/24)),1,0),0)</f>
        <v>0</v>
      </c>
      <c r="AI101" s="6">
        <f>IF((I100&lt;&gt;"")*(I104=""),IF((I100&lt;=#REF!)*((I101&gt;=#REF!)+(I101&lt;2/24)),1,0),0)</f>
        <v>0</v>
      </c>
      <c r="AJ101" s="6">
        <f>IF((J100&lt;&gt;"")*(J104=""),IF((J100&lt;=#REF!)*((J101&gt;=#REF!)+(J101&lt;2/24)),1,0),0)</f>
        <v>0</v>
      </c>
    </row>
    <row r="102" spans="1:36" x14ac:dyDescent="0.2">
      <c r="A102" s="39"/>
      <c r="B102" s="40"/>
      <c r="C102" s="15" t="s">
        <v>2</v>
      </c>
      <c r="D102" s="4"/>
      <c r="E102" s="4"/>
      <c r="F102" s="4"/>
      <c r="G102" s="58"/>
      <c r="H102" s="4"/>
      <c r="I102" s="4"/>
      <c r="J102" s="4"/>
      <c r="K102" s="17"/>
      <c r="L102" s="6"/>
      <c r="M102" s="21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D102" s="6">
        <f>IF((D100&lt;&gt;"")*(D104=""),IF((D100&lt;=#REF!)*((D101&gt;=#REF!)+(D101&lt;2/24)),1,0),0)</f>
        <v>0</v>
      </c>
      <c r="AE102" s="6">
        <f>IF((E100&lt;&gt;"")*(E104=""),IF((E100&lt;=#REF!)*((E101&gt;=#REF!)+(E101&lt;2/24)),1,0),0)</f>
        <v>0</v>
      </c>
      <c r="AF102" s="6" t="e">
        <f>IF((F100&lt;&gt;"")*(F104=""),IF((F100&lt;=#REF!)*((F101&gt;=#REF!)+(F101&lt;2/24)),1,0),0)</f>
        <v>#REF!</v>
      </c>
      <c r="AG102" s="6">
        <f>IF((G100&lt;&gt;"")*(G104=""),IF((G100&lt;=#REF!)*((G101&gt;=#REF!)+(G101&lt;2/24)),1,0),0)</f>
        <v>0</v>
      </c>
      <c r="AH102" s="6">
        <f>IF((H100&lt;&gt;"")*(H104=""),IF((H100&lt;=#REF!)*((H101&gt;=#REF!)+(H101&lt;2/24)),1,0),0)</f>
        <v>0</v>
      </c>
      <c r="AI102" s="6">
        <f>IF((I100&lt;&gt;"")*(I104=""),IF((I100&lt;=#REF!)*((I101&gt;=#REF!)+(I101&lt;2/24)),1,0),0)</f>
        <v>0</v>
      </c>
      <c r="AJ102" s="6">
        <f>IF((J100&lt;&gt;"")*(J104=""),IF((J100&lt;=#REF!)*((J101&gt;=#REF!)+(J101&lt;2/24)),1,0),0)</f>
        <v>0</v>
      </c>
    </row>
    <row r="103" spans="1:36" x14ac:dyDescent="0.2">
      <c r="A103" s="39"/>
      <c r="B103" s="40"/>
      <c r="C103" s="15" t="s">
        <v>3</v>
      </c>
      <c r="D103" s="43" t="str">
        <f t="shared" ref="D103:J103" si="63">IF(D100="","",IF(D101&gt;D100,(D101-D100-D102)*24,(1-D100-D102+D101)*24))</f>
        <v/>
      </c>
      <c r="E103" s="43" t="str">
        <f t="shared" si="63"/>
        <v/>
      </c>
      <c r="F103" s="43">
        <f t="shared" si="63"/>
        <v>4.5</v>
      </c>
      <c r="G103" s="55" t="str">
        <f t="shared" si="63"/>
        <v/>
      </c>
      <c r="H103" s="55" t="str">
        <f t="shared" si="63"/>
        <v/>
      </c>
      <c r="I103" s="43" t="str">
        <f t="shared" si="63"/>
        <v/>
      </c>
      <c r="J103" s="44" t="str">
        <f t="shared" si="63"/>
        <v/>
      </c>
      <c r="K103" s="18">
        <f>SUMIF(D104:J104,"",D103:J103)</f>
        <v>4.5</v>
      </c>
      <c r="L103" s="12">
        <f>SUM(D103:J103)</f>
        <v>4.5</v>
      </c>
      <c r="M103" s="24"/>
      <c r="N103" s="10" t="str">
        <f t="shared" ref="N103" si="64">IF(D104="",D103,0)</f>
        <v/>
      </c>
      <c r="O103" s="10" t="str">
        <f t="shared" ref="O103" si="65">IF(E104="",E103,0)</f>
        <v/>
      </c>
      <c r="P103" s="10">
        <f t="shared" ref="P103" si="66">IF(F104="",F103,0)</f>
        <v>4.5</v>
      </c>
      <c r="Q103" s="10" t="str">
        <f t="shared" ref="Q103" si="67">IF(G104="",G103,0)</f>
        <v/>
      </c>
      <c r="R103" s="10" t="str">
        <f t="shared" ref="R103" si="68">IF(H104="",H103,0)</f>
        <v/>
      </c>
      <c r="S103" s="10" t="str">
        <f t="shared" ref="S103" si="69">IF(I104="",I103,0)</f>
        <v/>
      </c>
      <c r="T103" s="10" t="str">
        <f t="shared" ref="T103" si="70">IF(J104="",J103,0)</f>
        <v/>
      </c>
      <c r="U103" s="10"/>
      <c r="V103" s="10" t="str">
        <f t="shared" ref="V103" si="71">D103</f>
        <v/>
      </c>
      <c r="W103" s="10" t="str">
        <f t="shared" ref="W103" si="72">E103</f>
        <v/>
      </c>
      <c r="X103" s="10">
        <f t="shared" ref="X103" si="73">F103</f>
        <v>4.5</v>
      </c>
      <c r="Y103" s="10" t="str">
        <f t="shared" ref="Y103" si="74">G103</f>
        <v/>
      </c>
      <c r="Z103" s="10" t="str">
        <f t="shared" ref="Z103" si="75">H103</f>
        <v/>
      </c>
      <c r="AA103" s="10" t="str">
        <f t="shared" ref="AA103" si="76">I103</f>
        <v/>
      </c>
      <c r="AB103" s="10" t="str">
        <f t="shared" ref="AB103" si="77">J103</f>
        <v/>
      </c>
      <c r="AD103" s="6">
        <f>IF((D100&lt;&gt;"")*(D104=""),IF((D100&lt;=#REF!)*((D101&gt;=#REF!)+(D101&lt;2/24)),1,0),0)</f>
        <v>0</v>
      </c>
      <c r="AE103" s="6">
        <f>IF((E100&lt;&gt;"")*(E104=""),IF((E100&lt;=#REF!)*((E101&gt;=#REF!)+(E101&lt;2/24)),1,0),0)</f>
        <v>0</v>
      </c>
      <c r="AF103" s="6" t="e">
        <f>IF((F100&lt;&gt;"")*(F104=""),IF((F100&lt;=#REF!)*((F101&gt;=#REF!)+(F101&lt;2/24)),1,0),0)</f>
        <v>#REF!</v>
      </c>
      <c r="AG103" s="6">
        <f>IF((G100&lt;&gt;"")*(G104=""),IF((G100&lt;=#REF!)*((G101&gt;=#REF!)+(G101&lt;2/24)),1,0),0)</f>
        <v>0</v>
      </c>
      <c r="AH103" s="6">
        <f>IF((H100&lt;&gt;"")*(H104=""),IF((H100&lt;=#REF!)*((H101&gt;=#REF!)+(H101&lt;2/24)),1,0),0)</f>
        <v>0</v>
      </c>
      <c r="AI103" s="6">
        <f>IF((I100&lt;&gt;"")*(I104=""),IF((I100&lt;=#REF!)*((I101&gt;=#REF!)+(I101&lt;2/24)),1,0),0)</f>
        <v>0</v>
      </c>
      <c r="AJ103" s="6">
        <f>IF((J100&lt;&gt;"")*(J104=""),IF((J100&lt;=#REF!)*((J101&gt;=#REF!)+(J101&lt;2/24)),1,0),0)</f>
        <v>0</v>
      </c>
    </row>
    <row r="104" spans="1:36" x14ac:dyDescent="0.2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  <c r="N104" s="6"/>
      <c r="O104" s="6"/>
      <c r="P104" s="6"/>
      <c r="Q104" s="6"/>
      <c r="R104" s="6"/>
      <c r="S104" s="6"/>
      <c r="T104" s="6"/>
      <c r="U104" s="6"/>
      <c r="V104" s="20"/>
      <c r="W104" s="20"/>
      <c r="X104" s="20"/>
      <c r="Y104" s="20"/>
      <c r="Z104" s="20"/>
      <c r="AA104" s="20"/>
      <c r="AB104" s="20"/>
      <c r="AD104" s="6">
        <f>IF((D100&lt;&gt;"")*(D104=""),IF((D100&lt;=#REF!)*((D101&gt;=#REF!)+(D101&lt;2/24)),1,0),0)</f>
        <v>0</v>
      </c>
      <c r="AE104" s="6">
        <f>IF((E100&lt;&gt;"")*(E104=""),IF((E100&lt;=#REF!)*((E101&gt;=#REF!)+(E101&lt;2/24)),1,0),0)</f>
        <v>0</v>
      </c>
      <c r="AF104" s="6" t="e">
        <f>IF((F100&lt;&gt;"")*(F104=""),IF((F100&lt;=#REF!)*((F101&gt;=#REF!)+(F101&lt;2/24)),1,0),0)</f>
        <v>#REF!</v>
      </c>
      <c r="AG104" s="6">
        <f>IF((G100&lt;&gt;"")*(G104=""),IF((G100&lt;=#REF!)*((G101&gt;=#REF!)+(G101&lt;2/24)),1,0),0)</f>
        <v>0</v>
      </c>
      <c r="AH104" s="6">
        <f>IF((H100&lt;&gt;"")*(H104=""),IF((H100&lt;=#REF!)*((H101&gt;=#REF!)+(H101&lt;2/24)),1,0),0)</f>
        <v>0</v>
      </c>
      <c r="AI104" s="6">
        <f>IF((I100&lt;&gt;"")*(I104=""),IF((I100&lt;=#REF!)*((I101&gt;=#REF!)+(I101&lt;2/24)),1,0),0)</f>
        <v>0</v>
      </c>
      <c r="AJ104" s="6">
        <f>IF((J100&lt;&gt;"")*(J104=""),IF((J100&lt;=#REF!)*((J101&gt;=#REF!)+(J101&lt;2/24)),1,0),0)</f>
        <v>0</v>
      </c>
    </row>
    <row r="105" spans="1:36" ht="13.5" thickBot="1" x14ac:dyDescent="0.25">
      <c r="A105" s="41"/>
      <c r="B105" s="42"/>
      <c r="C105" s="35" t="s">
        <v>28</v>
      </c>
      <c r="D105" s="36"/>
      <c r="E105" s="36"/>
      <c r="F105" s="36" t="s">
        <v>160</v>
      </c>
      <c r="G105" s="36"/>
      <c r="H105" s="36"/>
      <c r="I105" s="36"/>
      <c r="J105" s="36"/>
      <c r="K105" s="34"/>
      <c r="L105" s="6"/>
      <c r="M105" s="25"/>
      <c r="N105" s="6"/>
      <c r="O105" s="6"/>
      <c r="P105" s="6"/>
      <c r="Q105" s="6"/>
      <c r="R105" s="6"/>
      <c r="S105" s="6"/>
      <c r="T105" s="6"/>
      <c r="U105" s="6"/>
      <c r="V105" s="20"/>
      <c r="W105" s="20"/>
      <c r="X105" s="20"/>
      <c r="Y105" s="20"/>
      <c r="Z105" s="20"/>
      <c r="AA105" s="20"/>
      <c r="AB105" s="20"/>
      <c r="AD105" s="6"/>
      <c r="AE105" s="6"/>
      <c r="AF105" s="6"/>
      <c r="AG105" s="6"/>
      <c r="AH105" s="6"/>
      <c r="AI105" s="6"/>
      <c r="AJ105" s="6"/>
    </row>
    <row r="106" spans="1:36" ht="13.5" customHeight="1" x14ac:dyDescent="0.2">
      <c r="A106" s="37" t="s">
        <v>139</v>
      </c>
      <c r="B106" s="38" t="s">
        <v>140</v>
      </c>
      <c r="C106" s="14" t="s">
        <v>0</v>
      </c>
      <c r="D106" s="26">
        <v>0.77083333333333337</v>
      </c>
      <c r="E106" s="26">
        <v>0.77083333333333337</v>
      </c>
      <c r="F106" s="26"/>
      <c r="G106" s="26">
        <v>0.77083333333333337</v>
      </c>
      <c r="H106" s="26"/>
      <c r="I106" s="26">
        <v>0.77083333333333337</v>
      </c>
      <c r="J106" s="26"/>
      <c r="K106" s="16"/>
      <c r="L106" s="6"/>
      <c r="M106" s="21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D106" s="6" t="e">
        <f>IF((D106&lt;&gt;"")*(D110=""),IF((D106&lt;=#REF!)*((D107&gt;=#REF!)+(D107&lt;2/24)),1,0),0)</f>
        <v>#REF!</v>
      </c>
      <c r="AE106" s="6" t="e">
        <f>IF((E106&lt;&gt;"")*(E110=""),IF((E106&lt;=#REF!)*((E107&gt;=#REF!)+(E107&lt;2/24)),1,0),0)</f>
        <v>#REF!</v>
      </c>
      <c r="AF106" s="6">
        <f>IF((F106&lt;&gt;"")*(F110=""),IF((F106&lt;=#REF!)*((F107&gt;=#REF!)+(F107&lt;2/24)),1,0),0)</f>
        <v>0</v>
      </c>
      <c r="AG106" s="6" t="e">
        <f>IF((G106&lt;&gt;"")*(G110=""),IF((G106&lt;=#REF!)*((G107&gt;=#REF!)+(G107&lt;2/24)),1,0),0)</f>
        <v>#REF!</v>
      </c>
      <c r="AH106" s="6">
        <f>IF((H106&lt;&gt;"")*(H110=""),IF((H106&lt;=#REF!)*((H107&gt;=#REF!)+(H107&lt;2/24)),1,0),0)</f>
        <v>0</v>
      </c>
      <c r="AI106" s="6" t="e">
        <f>IF((I106&lt;&gt;"")*(I110=""),IF((I106&lt;=#REF!)*((I107&gt;=#REF!)+(I107&lt;2/24)),1,0),0)</f>
        <v>#REF!</v>
      </c>
      <c r="AJ106" s="6">
        <f>IF((J106&lt;&gt;"")*(J110=""),IF((J106&lt;=#REF!)*((J107&gt;=#REF!)+(J107&lt;2/24)),1,0),0)</f>
        <v>0</v>
      </c>
    </row>
    <row r="107" spans="1:36" x14ac:dyDescent="0.2">
      <c r="A107" s="39"/>
      <c r="B107" s="40"/>
      <c r="C107" s="15" t="s">
        <v>1</v>
      </c>
      <c r="D107" s="27">
        <v>0.95833333333333337</v>
      </c>
      <c r="E107" s="27">
        <v>0.95833333333333337</v>
      </c>
      <c r="F107" s="27"/>
      <c r="G107" s="27">
        <v>0.95833333333333337</v>
      </c>
      <c r="H107" s="27"/>
      <c r="I107" s="27">
        <v>0.95833333333333337</v>
      </c>
      <c r="J107" s="27"/>
      <c r="K107" s="17"/>
      <c r="L107" s="6"/>
      <c r="M107" s="21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D107" s="6" t="e">
        <f>IF((D106&lt;&gt;"")*(D110=""),IF((D106&lt;=#REF!)*((D107&gt;=#REF!)+(D107&lt;2/24)),1,0),0)</f>
        <v>#REF!</v>
      </c>
      <c r="AE107" s="6" t="e">
        <f>IF((E106&lt;&gt;"")*(E110=""),IF((E106&lt;=#REF!)*((E107&gt;=#REF!)+(E107&lt;2/24)),1,0),0)</f>
        <v>#REF!</v>
      </c>
      <c r="AF107" s="6">
        <f>IF((F106&lt;&gt;"")*(F110=""),IF((F106&lt;=#REF!)*((F107&gt;=#REF!)+(F107&lt;2/24)),1,0),0)</f>
        <v>0</v>
      </c>
      <c r="AG107" s="6" t="e">
        <f>IF((G106&lt;&gt;"")*(G110=""),IF((G106&lt;=#REF!)*((G107&gt;=#REF!)+(G107&lt;2/24)),1,0),0)</f>
        <v>#REF!</v>
      </c>
      <c r="AH107" s="6">
        <f>IF((H106&lt;&gt;"")*(H110=""),IF((H106&lt;=#REF!)*((H107&gt;=#REF!)+(H107&lt;2/24)),1,0),0)</f>
        <v>0</v>
      </c>
      <c r="AI107" s="6" t="e">
        <f>IF((I106&lt;&gt;"")*(I110=""),IF((I106&lt;=#REF!)*((I107&gt;=#REF!)+(I107&lt;2/24)),1,0),0)</f>
        <v>#REF!</v>
      </c>
      <c r="AJ107" s="6">
        <f>IF((J106&lt;&gt;"")*(J110=""),IF((J106&lt;=#REF!)*((J107&gt;=#REF!)+(J107&lt;2/24)),1,0),0)</f>
        <v>0</v>
      </c>
    </row>
    <row r="108" spans="1:36" x14ac:dyDescent="0.2">
      <c r="A108" s="39"/>
      <c r="B108" s="40"/>
      <c r="C108" s="15" t="s">
        <v>2</v>
      </c>
      <c r="D108" s="4"/>
      <c r="E108" s="4"/>
      <c r="F108" s="4"/>
      <c r="G108" s="58"/>
      <c r="H108" s="4"/>
      <c r="I108" s="4"/>
      <c r="J108" s="4"/>
      <c r="K108" s="17"/>
      <c r="L108" s="6"/>
      <c r="M108" s="21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D108" s="6" t="e">
        <f>IF((D106&lt;&gt;"")*(D110=""),IF((D106&lt;=#REF!)*((D107&gt;=#REF!)+(D107&lt;2/24)),1,0),0)</f>
        <v>#REF!</v>
      </c>
      <c r="AE108" s="6" t="e">
        <f>IF((E106&lt;&gt;"")*(E110=""),IF((E106&lt;=#REF!)*((E107&gt;=#REF!)+(E107&lt;2/24)),1,0),0)</f>
        <v>#REF!</v>
      </c>
      <c r="AF108" s="6">
        <f>IF((F106&lt;&gt;"")*(F110=""),IF((F106&lt;=#REF!)*((F107&gt;=#REF!)+(F107&lt;2/24)),1,0),0)</f>
        <v>0</v>
      </c>
      <c r="AG108" s="6" t="e">
        <f>IF((G106&lt;&gt;"")*(G110=""),IF((G106&lt;=#REF!)*((G107&gt;=#REF!)+(G107&lt;2/24)),1,0),0)</f>
        <v>#REF!</v>
      </c>
      <c r="AH108" s="6">
        <f>IF((H106&lt;&gt;"")*(H110=""),IF((H106&lt;=#REF!)*((H107&gt;=#REF!)+(H107&lt;2/24)),1,0),0)</f>
        <v>0</v>
      </c>
      <c r="AI108" s="6" t="e">
        <f>IF((I106&lt;&gt;"")*(I110=""),IF((I106&lt;=#REF!)*((I107&gt;=#REF!)+(I107&lt;2/24)),1,0),0)</f>
        <v>#REF!</v>
      </c>
      <c r="AJ108" s="6">
        <f>IF((J106&lt;&gt;"")*(J110=""),IF((J106&lt;=#REF!)*((J107&gt;=#REF!)+(J107&lt;2/24)),1,0),0)</f>
        <v>0</v>
      </c>
    </row>
    <row r="109" spans="1:36" x14ac:dyDescent="0.2">
      <c r="A109" s="39"/>
      <c r="B109" s="40"/>
      <c r="C109" s="15" t="s">
        <v>3</v>
      </c>
      <c r="D109" s="43">
        <f t="shared" ref="D109:J109" si="78">IF(D106="","",IF(D107&gt;D106,(D107-D106-D108)*24,(1-D106-D108+D107)*24))</f>
        <v>4.5</v>
      </c>
      <c r="E109" s="43">
        <f t="shared" si="78"/>
        <v>4.5</v>
      </c>
      <c r="F109" s="43">
        <v>4.5</v>
      </c>
      <c r="G109" s="55">
        <f t="shared" si="78"/>
        <v>4.5</v>
      </c>
      <c r="H109" s="55" t="str">
        <f t="shared" si="78"/>
        <v/>
      </c>
      <c r="I109" s="43">
        <f t="shared" si="78"/>
        <v>4.5</v>
      </c>
      <c r="J109" s="44" t="str">
        <f t="shared" si="78"/>
        <v/>
      </c>
      <c r="K109" s="18">
        <f>SUMIF(D110:J110,"",D109:J109)</f>
        <v>22.5</v>
      </c>
      <c r="L109" s="12">
        <f>SUM(D109:J109)</f>
        <v>22.5</v>
      </c>
      <c r="M109" s="24"/>
      <c r="N109" s="10">
        <f t="shared" ref="N109:T109" si="79">IF(D110="",D109,0)</f>
        <v>4.5</v>
      </c>
      <c r="O109" s="10">
        <f t="shared" si="79"/>
        <v>4.5</v>
      </c>
      <c r="P109" s="10">
        <f t="shared" si="79"/>
        <v>4.5</v>
      </c>
      <c r="Q109" s="10">
        <f t="shared" si="79"/>
        <v>4.5</v>
      </c>
      <c r="R109" s="10" t="str">
        <f t="shared" si="79"/>
        <v/>
      </c>
      <c r="S109" s="10">
        <f t="shared" si="79"/>
        <v>4.5</v>
      </c>
      <c r="T109" s="10" t="str">
        <f t="shared" si="79"/>
        <v/>
      </c>
      <c r="U109" s="10"/>
      <c r="V109" s="10">
        <f t="shared" ref="V109:AB109" si="80">D109</f>
        <v>4.5</v>
      </c>
      <c r="W109" s="10">
        <f t="shared" si="80"/>
        <v>4.5</v>
      </c>
      <c r="X109" s="10">
        <f t="shared" si="80"/>
        <v>4.5</v>
      </c>
      <c r="Y109" s="10">
        <f t="shared" si="80"/>
        <v>4.5</v>
      </c>
      <c r="Z109" s="10" t="str">
        <f t="shared" si="80"/>
        <v/>
      </c>
      <c r="AA109" s="10">
        <f t="shared" si="80"/>
        <v>4.5</v>
      </c>
      <c r="AB109" s="10" t="str">
        <f t="shared" si="80"/>
        <v/>
      </c>
      <c r="AD109" s="6" t="e">
        <f>IF((D106&lt;&gt;"")*(D110=""),IF((D106&lt;=#REF!)*((D107&gt;=#REF!)+(D107&lt;2/24)),1,0),0)</f>
        <v>#REF!</v>
      </c>
      <c r="AE109" s="6" t="e">
        <f>IF((E106&lt;&gt;"")*(E110=""),IF((E106&lt;=#REF!)*((E107&gt;=#REF!)+(E107&lt;2/24)),1,0),0)</f>
        <v>#REF!</v>
      </c>
      <c r="AF109" s="6">
        <f>IF((F106&lt;&gt;"")*(F110=""),IF((F106&lt;=#REF!)*((F107&gt;=#REF!)+(F107&lt;2/24)),1,0),0)</f>
        <v>0</v>
      </c>
      <c r="AG109" s="6" t="e">
        <f>IF((G106&lt;&gt;"")*(G110=""),IF((G106&lt;=#REF!)*((G107&gt;=#REF!)+(G107&lt;2/24)),1,0),0)</f>
        <v>#REF!</v>
      </c>
      <c r="AH109" s="6">
        <f>IF((H106&lt;&gt;"")*(H110=""),IF((H106&lt;=#REF!)*((H107&gt;=#REF!)+(H107&lt;2/24)),1,0),0)</f>
        <v>0</v>
      </c>
      <c r="AI109" s="6" t="e">
        <f>IF((I106&lt;&gt;"")*(I110=""),IF((I106&lt;=#REF!)*((I107&gt;=#REF!)+(I107&lt;2/24)),1,0),0)</f>
        <v>#REF!</v>
      </c>
      <c r="AJ109" s="6">
        <f>IF((J106&lt;&gt;"")*(J110=""),IF((J106&lt;=#REF!)*((J107&gt;=#REF!)+(J107&lt;2/24)),1,0),0)</f>
        <v>0</v>
      </c>
    </row>
    <row r="110" spans="1:36" x14ac:dyDescent="0.2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  <c r="N110" s="6"/>
      <c r="O110" s="6"/>
      <c r="P110" s="6"/>
      <c r="Q110" s="6"/>
      <c r="R110" s="6"/>
      <c r="S110" s="6"/>
      <c r="T110" s="6"/>
      <c r="U110" s="6"/>
      <c r="V110" s="20"/>
      <c r="W110" s="20"/>
      <c r="X110" s="20"/>
      <c r="Y110" s="20"/>
      <c r="Z110" s="20"/>
      <c r="AA110" s="20"/>
      <c r="AB110" s="20"/>
      <c r="AD110" s="6" t="e">
        <f>IF((D106&lt;&gt;"")*(D110=""),IF((D106&lt;=#REF!)*((D107&gt;=#REF!)+(D107&lt;2/24)),1,0),0)</f>
        <v>#REF!</v>
      </c>
      <c r="AE110" s="6" t="e">
        <f>IF((E106&lt;&gt;"")*(E110=""),IF((E106&lt;=#REF!)*((E107&gt;=#REF!)+(E107&lt;2/24)),1,0),0)</f>
        <v>#REF!</v>
      </c>
      <c r="AF110" s="6">
        <f>IF((F106&lt;&gt;"")*(F110=""),IF((F106&lt;=#REF!)*((F107&gt;=#REF!)+(F107&lt;2/24)),1,0),0)</f>
        <v>0</v>
      </c>
      <c r="AG110" s="6" t="e">
        <f>IF((G106&lt;&gt;"")*(G110=""),IF((G106&lt;=#REF!)*((G107&gt;=#REF!)+(G107&lt;2/24)),1,0),0)</f>
        <v>#REF!</v>
      </c>
      <c r="AH110" s="6">
        <f>IF((H106&lt;&gt;"")*(H110=""),IF((H106&lt;=#REF!)*((H107&gt;=#REF!)+(H107&lt;2/24)),1,0),0)</f>
        <v>0</v>
      </c>
      <c r="AI110" s="6" t="e">
        <f>IF((I106&lt;&gt;"")*(I110=""),IF((I106&lt;=#REF!)*((I107&gt;=#REF!)+(I107&lt;2/24)),1,0),0)</f>
        <v>#REF!</v>
      </c>
      <c r="AJ110" s="6">
        <f>IF((J106&lt;&gt;"")*(J110=""),IF((J106&lt;=#REF!)*((J107&gt;=#REF!)+(J107&lt;2/24)),1,0),0)</f>
        <v>0</v>
      </c>
    </row>
    <row r="111" spans="1:36" ht="13.5" thickBot="1" x14ac:dyDescent="0.25">
      <c r="A111" s="41"/>
      <c r="B111" s="42"/>
      <c r="C111" s="35" t="s">
        <v>28</v>
      </c>
      <c r="D111" s="36"/>
      <c r="E111" s="36"/>
      <c r="F111" s="36" t="s">
        <v>162</v>
      </c>
      <c r="G111" s="36"/>
      <c r="H111" s="36"/>
      <c r="I111" s="36"/>
      <c r="J111" s="36"/>
      <c r="K111" s="34"/>
      <c r="L111" s="6"/>
      <c r="M111" s="25"/>
      <c r="N111" s="6"/>
      <c r="O111" s="6"/>
      <c r="P111" s="6"/>
      <c r="Q111" s="6"/>
      <c r="R111" s="6"/>
      <c r="S111" s="6"/>
      <c r="T111" s="6"/>
      <c r="U111" s="6"/>
      <c r="V111" s="20"/>
      <c r="W111" s="20"/>
      <c r="X111" s="20"/>
      <c r="Y111" s="20"/>
      <c r="Z111" s="20"/>
      <c r="AA111" s="20"/>
      <c r="AB111" s="20"/>
      <c r="AD111" s="6"/>
      <c r="AE111" s="6"/>
      <c r="AF111" s="6"/>
      <c r="AG111" s="6"/>
      <c r="AH111" s="6"/>
      <c r="AI111" s="6"/>
      <c r="AJ111" s="6"/>
    </row>
    <row r="112" spans="1:36" x14ac:dyDescent="0.2">
      <c r="A112" s="37" t="s">
        <v>100</v>
      </c>
      <c r="B112" s="38" t="s">
        <v>101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D112" s="6">
        <f>IF((D112&lt;&gt;"")*(D116=""),IF((D112&lt;=$B$224)*((D113&gt;=$C$224)+(D113&lt;2/24)),1,0),0)</f>
        <v>0</v>
      </c>
      <c r="AE112" s="6">
        <f>IF((E112&lt;&gt;"")*(E116=""),IF((E112&lt;=$B$224)*((E113&gt;=$C$224)+(E113&lt;2/24)),1,0),0)</f>
        <v>0</v>
      </c>
      <c r="AF112" s="6">
        <f>IF((F112&lt;&gt;"")*(F116=""),IF((F112&lt;=$B$224)*((F113&gt;=$C$224)+(F113&lt;2/24)),1,0),0)</f>
        <v>0</v>
      </c>
      <c r="AG112" s="6">
        <f>IF((G112&lt;&gt;"")*(G116=""),IF((G112&lt;=$B$224)*((G113&gt;=$C$224)+(G113&lt;2/24)),1,0),0)</f>
        <v>0</v>
      </c>
      <c r="AH112" s="6">
        <f>IF((H112&lt;&gt;"")*(H116=""),IF((H112&lt;=$B$224)*((H113&gt;=$C$224)+(H113&lt;2/24)),1,0),0)</f>
        <v>0</v>
      </c>
      <c r="AI112" s="6">
        <f>IF((I112&lt;&gt;"")*(I116=""),IF((I112&lt;=$B$224)*((I113&gt;=$C$224)+(I113&lt;2/24)),1,0),0)</f>
        <v>0</v>
      </c>
      <c r="AJ112" s="6">
        <f>IF((J112&lt;&gt;"")*(J116=""),IF((J112&lt;=$B$224)*((J113&gt;=$C$224)+(J113&lt;2/24)),1,0),0)</f>
        <v>0</v>
      </c>
    </row>
    <row r="113" spans="1:36" x14ac:dyDescent="0.2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D113" s="6">
        <f>IF((D112&lt;&gt;"")*(D116=""),IF((D112&lt;=$B$225)*((D113&gt;=$C$225)+(D113&lt;2/24)),1,0),0)</f>
        <v>0</v>
      </c>
      <c r="AE113" s="6">
        <f>IF((E112&lt;&gt;"")*(E116=""),IF((E112&lt;=$B$225)*((E113&gt;=$C$225)+(E113&lt;2/24)),1,0),0)</f>
        <v>0</v>
      </c>
      <c r="AF113" s="6">
        <f>IF((F112&lt;&gt;"")*(F116=""),IF((F112&lt;=$B$225)*((F113&gt;=$C$225)+(F113&lt;2/24)),1,0),0)</f>
        <v>0</v>
      </c>
      <c r="AG113" s="6">
        <f>IF((G112&lt;&gt;"")*(G116=""),IF((G112&lt;=$B$225)*((G113&gt;=$C$225)+(G113&lt;2/24)),1,0),0)</f>
        <v>0</v>
      </c>
      <c r="AH113" s="6">
        <f>IF((H112&lt;&gt;"")*(H116=""),IF((H112&lt;=$B$225)*((H113&gt;=$C$225)+(H113&lt;2/24)),1,0),0)</f>
        <v>0</v>
      </c>
      <c r="AI113" s="6">
        <f>IF((I112&lt;&gt;"")*(I116=""),IF((I112&lt;=$B$225)*((I113&gt;=$C$225)+(I113&lt;2/24)),1,0),0)</f>
        <v>0</v>
      </c>
      <c r="AJ113" s="6">
        <f>IF((J112&lt;&gt;"")*(J116=""),IF((J112&lt;=$B$225)*((J113&gt;=$C$225)+(J113&lt;2/24)),1,0),0)</f>
        <v>0</v>
      </c>
    </row>
    <row r="114" spans="1:36" x14ac:dyDescent="0.2">
      <c r="A114" s="39"/>
      <c r="B114" s="40"/>
      <c r="C114" s="15" t="s">
        <v>2</v>
      </c>
      <c r="D114" s="4"/>
      <c r="E114" s="4"/>
      <c r="F114" s="4"/>
      <c r="G114" s="58"/>
      <c r="H114" s="4"/>
      <c r="I114" s="4"/>
      <c r="J114" s="4"/>
      <c r="K114" s="17"/>
      <c r="L114" s="6"/>
      <c r="M114" s="21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D114" s="6">
        <f>IF((D112&lt;&gt;"")*(D116=""),IF((D112&lt;=$B$226)*((D113&gt;=$C$226)+(D113&lt;2/24)),1,0),0)</f>
        <v>0</v>
      </c>
      <c r="AE114" s="6">
        <f>IF((E112&lt;&gt;"")*(E116=""),IF((E112&lt;=$B$226)*((E113&gt;=$C$226)+(E113&lt;2/24)),1,0),0)</f>
        <v>0</v>
      </c>
      <c r="AF114" s="6">
        <f>IF((F112&lt;&gt;"")*(F116=""),IF((F112&lt;=$B$226)*((F113&gt;=$C$226)+(F113&lt;2/24)),1,0),0)</f>
        <v>0</v>
      </c>
      <c r="AG114" s="6">
        <f>IF((G112&lt;&gt;"")*(G116=""),IF((G112&lt;=$B$226)*((G113&gt;=$C$226)+(G113&lt;2/24)),1,0),0)</f>
        <v>0</v>
      </c>
      <c r="AH114" s="6">
        <f>IF((H112&lt;&gt;"")*(H116=""),IF((H112&lt;=$B$226)*((H113&gt;=$C$226)+(H113&lt;2/24)),1,0),0)</f>
        <v>0</v>
      </c>
      <c r="AI114" s="6">
        <f>IF((I112&lt;&gt;"")*(I116=""),IF((I112&lt;=$B$226)*((I113&gt;=$C$226)+(I113&lt;2/24)),1,0),0)</f>
        <v>0</v>
      </c>
      <c r="AJ114" s="6">
        <f>IF((J112&lt;&gt;"")*(J116=""),IF((J112&lt;=$B$226)*((J113&gt;=$C$226)+(J113&lt;2/24)),1,0),0)</f>
        <v>0</v>
      </c>
    </row>
    <row r="115" spans="1:36" x14ac:dyDescent="0.2">
      <c r="A115" s="39"/>
      <c r="B115" s="40"/>
      <c r="C115" s="15" t="s">
        <v>3</v>
      </c>
      <c r="D115" s="43" t="str">
        <f t="shared" ref="D115:J115" si="81">IF(D112="","",IF(D113&gt;D112,(D113-D112-D114)*24,(1-D112-D114+D113)*24))</f>
        <v/>
      </c>
      <c r="E115" s="43" t="str">
        <f t="shared" si="81"/>
        <v/>
      </c>
      <c r="F115" s="43" t="str">
        <f t="shared" si="81"/>
        <v/>
      </c>
      <c r="G115" s="55" t="str">
        <f t="shared" si="81"/>
        <v/>
      </c>
      <c r="H115" s="55" t="str">
        <f t="shared" si="81"/>
        <v/>
      </c>
      <c r="I115" s="43" t="str">
        <f t="shared" si="81"/>
        <v/>
      </c>
      <c r="J115" s="44" t="str">
        <f t="shared" si="81"/>
        <v/>
      </c>
      <c r="K115" s="18">
        <f>SUMIF(D116:J116,"",D115:J115)</f>
        <v>0</v>
      </c>
      <c r="L115" s="12">
        <f>SUM(D115:J115)</f>
        <v>0</v>
      </c>
      <c r="M115" s="24"/>
      <c r="N115" s="10" t="str">
        <f t="shared" ref="N115:T115" si="82">IF(D116="",D115,0)</f>
        <v/>
      </c>
      <c r="O115" s="10" t="str">
        <f t="shared" si="82"/>
        <v/>
      </c>
      <c r="P115" s="10" t="str">
        <f t="shared" si="82"/>
        <v/>
      </c>
      <c r="Q115" s="10" t="str">
        <f t="shared" si="82"/>
        <v/>
      </c>
      <c r="R115" s="10" t="str">
        <f t="shared" si="82"/>
        <v/>
      </c>
      <c r="S115" s="10" t="str">
        <f t="shared" si="82"/>
        <v/>
      </c>
      <c r="T115" s="10" t="str">
        <f t="shared" si="82"/>
        <v/>
      </c>
      <c r="U115" s="10"/>
      <c r="V115" s="10" t="str">
        <f t="shared" ref="V115:AB115" si="83">D115</f>
        <v/>
      </c>
      <c r="W115" s="10" t="str">
        <f t="shared" si="83"/>
        <v/>
      </c>
      <c r="X115" s="10" t="str">
        <f t="shared" si="83"/>
        <v/>
      </c>
      <c r="Y115" s="10" t="str">
        <f t="shared" si="83"/>
        <v/>
      </c>
      <c r="Z115" s="10" t="str">
        <f t="shared" si="83"/>
        <v/>
      </c>
      <c r="AA115" s="10" t="str">
        <f t="shared" si="83"/>
        <v/>
      </c>
      <c r="AB115" s="10" t="str">
        <f t="shared" si="83"/>
        <v/>
      </c>
      <c r="AD115" s="6">
        <f>IF((D112&lt;&gt;"")*(D116=""),IF((D112&lt;=$B$227)*((D113&gt;=$C$227)+(D113&lt;2/24)),1,0),0)</f>
        <v>0</v>
      </c>
      <c r="AE115" s="6">
        <f>IF((E112&lt;&gt;"")*(E116=""),IF((E112&lt;=$B$227)*((E113&gt;=$C$227)+(E113&lt;2/24)),1,0),0)</f>
        <v>0</v>
      </c>
      <c r="AF115" s="6">
        <f>IF((F112&lt;&gt;"")*(F116=""),IF((F112&lt;=$B$227)*((F113&gt;=$C$227)+(F113&lt;2/24)),1,0),0)</f>
        <v>0</v>
      </c>
      <c r="AG115" s="6">
        <f>IF((G112&lt;&gt;"")*(G116=""),IF((G112&lt;=$B$227)*((G113&gt;=$C$227)+(G113&lt;2/24)),1,0),0)</f>
        <v>0</v>
      </c>
      <c r="AH115" s="6">
        <f>IF((H112&lt;&gt;"")*(H116=""),IF((H112&lt;=$B$227)*((H113&gt;=$C$227)+(H113&lt;2/24)),1,0),0)</f>
        <v>0</v>
      </c>
      <c r="AI115" s="6">
        <f>IF((I112&lt;&gt;"")*(I116=""),IF((I112&lt;=$B$227)*((I113&gt;=$C$227)+(I113&lt;2/24)),1,0),0)</f>
        <v>0</v>
      </c>
      <c r="AJ115" s="6">
        <f>IF((J112&lt;&gt;"")*(J116=""),IF((J112&lt;=$B$227)*((J113&gt;=$C$227)+(J113&lt;2/24)),1,0),0)</f>
        <v>0</v>
      </c>
    </row>
    <row r="116" spans="1:36" x14ac:dyDescent="0.2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  <c r="N116" s="6"/>
      <c r="O116" s="6"/>
      <c r="P116" s="6"/>
      <c r="Q116" s="6"/>
      <c r="R116" s="6"/>
      <c r="S116" s="6"/>
      <c r="T116" s="6"/>
      <c r="U116" s="6"/>
      <c r="V116" s="20"/>
      <c r="W116" s="20"/>
      <c r="X116" s="20"/>
      <c r="Y116" s="20"/>
      <c r="Z116" s="20"/>
      <c r="AA116" s="20"/>
      <c r="AB116" s="20"/>
      <c r="AD116" s="6">
        <f>IF((D112&lt;&gt;"")*(D116=""),IF((D112&lt;=$B$228)*((D113&gt;=$C$228)+(D113&lt;2/24)),1,0),0)</f>
        <v>0</v>
      </c>
      <c r="AE116" s="6">
        <f>IF((E112&lt;&gt;"")*(E116=""),IF((E112&lt;=$B$228)*((E113&gt;=$C$228)+(E113&lt;2/24)),1,0),0)</f>
        <v>0</v>
      </c>
      <c r="AF116" s="6">
        <f>IF((F112&lt;&gt;"")*(F116=""),IF((F112&lt;=$B$228)*((F113&gt;=$C$228)+(F113&lt;2/24)),1,0),0)</f>
        <v>0</v>
      </c>
      <c r="AG116" s="6">
        <f>IF((G112&lt;&gt;"")*(G116=""),IF((G112&lt;=$B$228)*((G113&gt;=$C$228)+(G113&lt;2/24)),1,0),0)</f>
        <v>0</v>
      </c>
      <c r="AH116" s="6">
        <f>IF((H112&lt;&gt;"")*(H116=""),IF((H112&lt;=$B$228)*((H113&gt;=$C$228)+(H113&lt;2/24)),1,0),0)</f>
        <v>0</v>
      </c>
      <c r="AI116" s="6">
        <f>IF((I112&lt;&gt;"")*(I116=""),IF((I112&lt;=$B$228)*((I113&gt;=$C$228)+(I113&lt;2/24)),1,0),0)</f>
        <v>0</v>
      </c>
      <c r="AJ116" s="6">
        <f>IF((J112&lt;&gt;"")*(J116=""),IF((J112&lt;=$B$228)*((J113&gt;=$C$228)+(J113&lt;2/24)),1,0),0)</f>
        <v>0</v>
      </c>
    </row>
    <row r="117" spans="1:36" ht="13.5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  <c r="N117" s="6"/>
      <c r="O117" s="6"/>
      <c r="P117" s="6"/>
      <c r="Q117" s="6"/>
      <c r="R117" s="6"/>
      <c r="S117" s="6"/>
      <c r="T117" s="6"/>
      <c r="U117" s="6"/>
      <c r="V117" s="20"/>
      <c r="W117" s="20"/>
      <c r="X117" s="20"/>
      <c r="Y117" s="20"/>
      <c r="Z117" s="20"/>
      <c r="AA117" s="20"/>
      <c r="AB117" s="20"/>
      <c r="AD117" s="6"/>
      <c r="AE117" s="6"/>
      <c r="AF117" s="6"/>
      <c r="AG117" s="6"/>
      <c r="AH117" s="6"/>
      <c r="AI117" s="6"/>
      <c r="AJ117" s="6"/>
    </row>
    <row r="118" spans="1:36" x14ac:dyDescent="0.2">
      <c r="A118" s="37" t="s">
        <v>108</v>
      </c>
      <c r="B118" s="38" t="s">
        <v>109</v>
      </c>
      <c r="C118" s="14" t="s">
        <v>0</v>
      </c>
      <c r="D118" s="26"/>
      <c r="E118" s="26">
        <v>0.54166666666666663</v>
      </c>
      <c r="F118" s="26"/>
      <c r="G118" s="26"/>
      <c r="H118" s="26"/>
      <c r="I118" s="26"/>
      <c r="J118" s="26"/>
      <c r="K118" s="16"/>
      <c r="L118" s="6"/>
      <c r="M118" s="21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D118" s="6">
        <f>IF((D118&lt;&gt;"")*(D122=""),IF((D118&lt;=$B$224)*((D119&gt;=$C$224)+(D119&lt;2/24)),1,0),0)</f>
        <v>0</v>
      </c>
      <c r="AE118" s="6">
        <f>IF((E118&lt;&gt;"")*(E122=""),IF((E118&lt;=$B$224)*((E119&gt;=$C$224)+(E119&lt;2/24)),1,0),0)</f>
        <v>0</v>
      </c>
      <c r="AF118" s="6">
        <f>IF((F118&lt;&gt;"")*(F122=""),IF((F118&lt;=$B$224)*((F119&gt;=$C$224)+(F119&lt;2/24)),1,0),0)</f>
        <v>0</v>
      </c>
      <c r="AG118" s="6">
        <f>IF((G118&lt;&gt;"")*(G122=""),IF((G118&lt;=$B$224)*((G119&gt;=$C$224)+(G119&lt;2/24)),1,0),0)</f>
        <v>0</v>
      </c>
      <c r="AH118" s="6">
        <f>IF((H118&lt;&gt;"")*(H122=""),IF((H118&lt;=$B$224)*((H119&gt;=$C$224)+(H119&lt;2/24)),1,0),0)</f>
        <v>0</v>
      </c>
      <c r="AI118" s="6">
        <f>IF((I118&lt;&gt;"")*(I122=""),IF((I118&lt;=$B$224)*((I119&gt;=$C$224)+(I119&lt;2/24)),1,0),0)</f>
        <v>0</v>
      </c>
      <c r="AJ118" s="6">
        <f>IF((J118&lt;&gt;"")*(J122=""),IF((J118&lt;=$B$224)*((J119&gt;=$C$224)+(J119&lt;2/24)),1,0),0)</f>
        <v>0</v>
      </c>
    </row>
    <row r="119" spans="1:36" x14ac:dyDescent="0.2">
      <c r="A119" s="39"/>
      <c r="B119" s="40"/>
      <c r="C119" s="15" t="s">
        <v>1</v>
      </c>
      <c r="D119" s="27"/>
      <c r="E119" s="27">
        <v>0.75</v>
      </c>
      <c r="F119" s="27"/>
      <c r="G119" s="27"/>
      <c r="H119" s="27"/>
      <c r="I119" s="27"/>
      <c r="J119" s="27"/>
      <c r="K119" s="17"/>
      <c r="L119" s="6"/>
      <c r="M119" s="21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D119" s="6">
        <f>IF((D118&lt;&gt;"")*(D122=""),IF((D118&lt;=$B$225)*((D119&gt;=$C$225)+(D119&lt;2/24)),1,0),0)</f>
        <v>0</v>
      </c>
      <c r="AE119" s="6">
        <f>IF((E118&lt;&gt;"")*(E122=""),IF((E118&lt;=$B$225)*((E119&gt;=$C$225)+(E119&lt;2/24)),1,0),0)</f>
        <v>0</v>
      </c>
      <c r="AF119" s="6">
        <f>IF((F118&lt;&gt;"")*(F122=""),IF((F118&lt;=$B$225)*((F119&gt;=$C$225)+(F119&lt;2/24)),1,0),0)</f>
        <v>0</v>
      </c>
      <c r="AG119" s="6">
        <f>IF((G118&lt;&gt;"")*(G122=""),IF((G118&lt;=$B$225)*((G119&gt;=$C$225)+(G119&lt;2/24)),1,0),0)</f>
        <v>0</v>
      </c>
      <c r="AH119" s="6">
        <f>IF((H118&lt;&gt;"")*(H122=""),IF((H118&lt;=$B$225)*((H119&gt;=$C$225)+(H119&lt;2/24)),1,0),0)</f>
        <v>0</v>
      </c>
      <c r="AI119" s="6">
        <f>IF((I118&lt;&gt;"")*(I122=""),IF((I118&lt;=$B$225)*((I119&gt;=$C$225)+(I119&lt;2/24)),1,0),0)</f>
        <v>0</v>
      </c>
      <c r="AJ119" s="6">
        <f>IF((J118&lt;&gt;"")*(J122=""),IF((J118&lt;=$B$225)*((J119&gt;=$C$225)+(J119&lt;2/24)),1,0),0)</f>
        <v>0</v>
      </c>
    </row>
    <row r="120" spans="1:36" x14ac:dyDescent="0.2">
      <c r="A120" s="39"/>
      <c r="B120" s="40"/>
      <c r="C120" s="15" t="s">
        <v>2</v>
      </c>
      <c r="D120" s="4"/>
      <c r="E120" s="4"/>
      <c r="F120" s="4"/>
      <c r="G120" s="58"/>
      <c r="H120" s="4"/>
      <c r="I120" s="4"/>
      <c r="J120" s="4"/>
      <c r="K120" s="17"/>
      <c r="L120" s="6"/>
      <c r="M120" s="21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D120" s="6">
        <f>IF((D118&lt;&gt;"")*(D122=""),IF((D118&lt;=$B$226)*((D119&gt;=$C$226)+(D119&lt;2/24)),1,0),0)</f>
        <v>0</v>
      </c>
      <c r="AE120" s="6">
        <f>IF((E118&lt;&gt;"")*(E122=""),IF((E118&lt;=$B$226)*((E119&gt;=$C$226)+(E119&lt;2/24)),1,0),0)</f>
        <v>0</v>
      </c>
      <c r="AF120" s="6">
        <f>IF((F118&lt;&gt;"")*(F122=""),IF((F118&lt;=$B$226)*((F119&gt;=$C$226)+(F119&lt;2/24)),1,0),0)</f>
        <v>0</v>
      </c>
      <c r="AG120" s="6">
        <f>IF((G118&lt;&gt;"")*(G122=""),IF((G118&lt;=$B$226)*((G119&gt;=$C$226)+(G119&lt;2/24)),1,0),0)</f>
        <v>0</v>
      </c>
      <c r="AH120" s="6">
        <f>IF((H118&lt;&gt;"")*(H122=""),IF((H118&lt;=$B$226)*((H119&gt;=$C$226)+(H119&lt;2/24)),1,0),0)</f>
        <v>0</v>
      </c>
      <c r="AI120" s="6">
        <f>IF((I118&lt;&gt;"")*(I122=""),IF((I118&lt;=$B$226)*((I119&gt;=$C$226)+(I119&lt;2/24)),1,0),0)</f>
        <v>0</v>
      </c>
      <c r="AJ120" s="6">
        <f>IF((J118&lt;&gt;"")*(J122=""),IF((J118&lt;=$B$226)*((J119&gt;=$C$226)+(J119&lt;2/24)),1,0),0)</f>
        <v>0</v>
      </c>
    </row>
    <row r="121" spans="1:36" x14ac:dyDescent="0.2">
      <c r="A121" s="39"/>
      <c r="B121" s="40"/>
      <c r="C121" s="15" t="s">
        <v>3</v>
      </c>
      <c r="D121" s="43" t="str">
        <f t="shared" ref="D121:J121" si="84">IF(D118="","",IF(D119&gt;D118,(D119-D118-D120)*24,(1-D118-D120+D119)*24))</f>
        <v/>
      </c>
      <c r="E121" s="43">
        <f t="shared" si="84"/>
        <v>5.0000000000000009</v>
      </c>
      <c r="F121" s="43">
        <v>5</v>
      </c>
      <c r="G121" s="55" t="str">
        <f t="shared" si="84"/>
        <v/>
      </c>
      <c r="H121" s="55" t="str">
        <f t="shared" si="84"/>
        <v/>
      </c>
      <c r="I121" s="43" t="str">
        <f t="shared" si="84"/>
        <v/>
      </c>
      <c r="J121" s="44" t="str">
        <f t="shared" si="84"/>
        <v/>
      </c>
      <c r="K121" s="18">
        <f>SUMIF(D122:J122,"",D121:J121)</f>
        <v>10</v>
      </c>
      <c r="L121" s="12">
        <f>SUM(D121:J121)</f>
        <v>10</v>
      </c>
      <c r="M121" s="24"/>
      <c r="N121" s="10" t="str">
        <f t="shared" ref="N121:T121" si="85">IF(D122="",D121,0)</f>
        <v/>
      </c>
      <c r="O121" s="10">
        <f t="shared" si="85"/>
        <v>5.0000000000000009</v>
      </c>
      <c r="P121" s="10">
        <f t="shared" si="85"/>
        <v>5</v>
      </c>
      <c r="Q121" s="10" t="str">
        <f t="shared" si="85"/>
        <v/>
      </c>
      <c r="R121" s="10" t="str">
        <f t="shared" si="85"/>
        <v/>
      </c>
      <c r="S121" s="10" t="str">
        <f t="shared" si="85"/>
        <v/>
      </c>
      <c r="T121" s="10" t="str">
        <f t="shared" si="85"/>
        <v/>
      </c>
      <c r="U121" s="10"/>
      <c r="V121" s="10" t="str">
        <f t="shared" ref="V121:AB121" si="86">D121</f>
        <v/>
      </c>
      <c r="W121" s="10">
        <f t="shared" si="86"/>
        <v>5.0000000000000009</v>
      </c>
      <c r="X121" s="10">
        <f t="shared" si="86"/>
        <v>5</v>
      </c>
      <c r="Y121" s="10" t="str">
        <f t="shared" si="86"/>
        <v/>
      </c>
      <c r="Z121" s="10" t="str">
        <f t="shared" si="86"/>
        <v/>
      </c>
      <c r="AA121" s="10" t="str">
        <f t="shared" si="86"/>
        <v/>
      </c>
      <c r="AB121" s="10" t="str">
        <f t="shared" si="86"/>
        <v/>
      </c>
      <c r="AD121" s="6">
        <f>IF((D118&lt;&gt;"")*(D122=""),IF((D118&lt;=$B$227)*((D119&gt;=$C$227)+(D119&lt;2/24)),1,0),0)</f>
        <v>0</v>
      </c>
      <c r="AE121" s="6">
        <f>IF((E118&lt;&gt;"")*(E122=""),IF((E118&lt;=$B$227)*((E119&gt;=$C$227)+(E119&lt;2/24)),1,0),0)</f>
        <v>0</v>
      </c>
      <c r="AF121" s="6">
        <f>IF((F118&lt;&gt;"")*(F122=""),IF((F118&lt;=$B$227)*((F119&gt;=$C$227)+(F119&lt;2/24)),1,0),0)</f>
        <v>0</v>
      </c>
      <c r="AG121" s="6">
        <f>IF((G118&lt;&gt;"")*(G122=""),IF((G118&lt;=$B$227)*((G119&gt;=$C$227)+(G119&lt;2/24)),1,0),0)</f>
        <v>0</v>
      </c>
      <c r="AH121" s="6">
        <f>IF((H118&lt;&gt;"")*(H122=""),IF((H118&lt;=$B$227)*((H119&gt;=$C$227)+(H119&lt;2/24)),1,0),0)</f>
        <v>0</v>
      </c>
      <c r="AI121" s="6">
        <f>IF((I118&lt;&gt;"")*(I122=""),IF((I118&lt;=$B$227)*((I119&gt;=$C$227)+(I119&lt;2/24)),1,0),0)</f>
        <v>0</v>
      </c>
      <c r="AJ121" s="6">
        <f>IF((J118&lt;&gt;"")*(J122=""),IF((J118&lt;=$B$227)*((J119&gt;=$C$227)+(J119&lt;2/24)),1,0),0)</f>
        <v>0</v>
      </c>
    </row>
    <row r="122" spans="1:36" x14ac:dyDescent="0.2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  <c r="N122" s="6"/>
      <c r="O122" s="6"/>
      <c r="P122" s="6"/>
      <c r="Q122" s="6"/>
      <c r="R122" s="6"/>
      <c r="S122" s="6"/>
      <c r="T122" s="6"/>
      <c r="U122" s="6"/>
      <c r="V122" s="20"/>
      <c r="W122" s="20"/>
      <c r="X122" s="20"/>
      <c r="Y122" s="20"/>
      <c r="Z122" s="20"/>
      <c r="AA122" s="20"/>
      <c r="AB122" s="20"/>
      <c r="AD122" s="6">
        <f>IF((D118&lt;&gt;"")*(D122=""),IF((D118&lt;=$B$228)*((D119&gt;=$C$228)+(D119&lt;2/24)),1,0),0)</f>
        <v>0</v>
      </c>
      <c r="AE122" s="6">
        <f>IF((E118&lt;&gt;"")*(E122=""),IF((E118&lt;=$B$228)*((E119&gt;=$C$228)+(E119&lt;2/24)),1,0),0)</f>
        <v>0</v>
      </c>
      <c r="AF122" s="6">
        <f>IF((F118&lt;&gt;"")*(F122=""),IF((F118&lt;=$B$228)*((F119&gt;=$C$228)+(F119&lt;2/24)),1,0),0)</f>
        <v>0</v>
      </c>
      <c r="AG122" s="6">
        <f>IF((G118&lt;&gt;"")*(G122=""),IF((G118&lt;=$B$228)*((G119&gt;=$C$228)+(G119&lt;2/24)),1,0),0)</f>
        <v>0</v>
      </c>
      <c r="AH122" s="6">
        <f>IF((H118&lt;&gt;"")*(H122=""),IF((H118&lt;=$B$228)*((H119&gt;=$C$228)+(H119&lt;2/24)),1,0),0)</f>
        <v>0</v>
      </c>
      <c r="AI122" s="6">
        <f>IF((I118&lt;&gt;"")*(I122=""),IF((I118&lt;=$B$228)*((I119&gt;=$C$228)+(I119&lt;2/24)),1,0),0)</f>
        <v>0</v>
      </c>
      <c r="AJ122" s="6">
        <f>IF((J118&lt;&gt;"")*(J122=""),IF((J118&lt;=$B$228)*((J119&gt;=$C$228)+(J119&lt;2/24)),1,0),0)</f>
        <v>0</v>
      </c>
    </row>
    <row r="123" spans="1:36" ht="13.5" thickBot="1" x14ac:dyDescent="0.25">
      <c r="A123" s="41"/>
      <c r="B123" s="42"/>
      <c r="C123" s="35" t="s">
        <v>28</v>
      </c>
      <c r="D123" s="93"/>
      <c r="E123" s="93"/>
      <c r="F123" s="101" t="s">
        <v>162</v>
      </c>
      <c r="G123" s="93"/>
      <c r="H123" s="93"/>
      <c r="I123" s="93"/>
      <c r="J123" s="93"/>
      <c r="K123" s="94"/>
      <c r="L123" s="6"/>
      <c r="M123" s="25"/>
      <c r="N123" s="6"/>
      <c r="O123" s="6"/>
      <c r="P123" s="6"/>
      <c r="Q123" s="6"/>
      <c r="R123" s="6"/>
      <c r="S123" s="6"/>
      <c r="T123" s="6"/>
      <c r="U123" s="6"/>
      <c r="V123" s="20"/>
      <c r="W123" s="20"/>
      <c r="X123" s="20"/>
      <c r="Y123" s="20"/>
      <c r="Z123" s="20"/>
      <c r="AA123" s="20"/>
      <c r="AB123" s="20"/>
      <c r="AD123" s="6"/>
      <c r="AE123" s="6"/>
      <c r="AF123" s="6"/>
      <c r="AG123" s="6"/>
      <c r="AH123" s="6"/>
      <c r="AI123" s="6"/>
      <c r="AJ123" s="6"/>
    </row>
    <row r="124" spans="1:36" x14ac:dyDescent="0.2">
      <c r="A124" s="37" t="s">
        <v>161</v>
      </c>
      <c r="B124" s="38" t="s">
        <v>143</v>
      </c>
      <c r="C124" s="14" t="s">
        <v>0</v>
      </c>
      <c r="D124" s="26"/>
      <c r="E124" s="26"/>
      <c r="F124" s="26"/>
      <c r="G124" s="26">
        <v>0.54166666666666663</v>
      </c>
      <c r="H124" s="26">
        <v>0.41666666666666669</v>
      </c>
      <c r="I124" s="26"/>
      <c r="J124" s="26"/>
      <c r="K124" s="16"/>
      <c r="L124" s="6"/>
      <c r="M124" s="25"/>
      <c r="N124" s="6"/>
      <c r="O124" s="6"/>
      <c r="P124" s="6"/>
      <c r="Q124" s="6"/>
      <c r="R124" s="6"/>
      <c r="S124" s="6"/>
      <c r="T124" s="6"/>
      <c r="U124" s="6"/>
      <c r="V124" s="20"/>
      <c r="W124" s="20"/>
      <c r="X124" s="20"/>
      <c r="Y124" s="20"/>
      <c r="Z124" s="20"/>
      <c r="AA124" s="20"/>
      <c r="AB124" s="20"/>
      <c r="AD124" s="6"/>
      <c r="AE124" s="6"/>
      <c r="AF124" s="6"/>
      <c r="AG124" s="6"/>
      <c r="AH124" s="6"/>
      <c r="AI124" s="6"/>
      <c r="AJ124" s="6"/>
    </row>
    <row r="125" spans="1:36" x14ac:dyDescent="0.2">
      <c r="A125" s="39"/>
      <c r="B125" s="40"/>
      <c r="C125" s="15" t="s">
        <v>1</v>
      </c>
      <c r="D125" s="27"/>
      <c r="E125" s="27"/>
      <c r="F125" s="27"/>
      <c r="G125" s="27">
        <v>0.75</v>
      </c>
      <c r="H125" s="27">
        <v>0.75</v>
      </c>
      <c r="I125" s="27"/>
      <c r="J125" s="27"/>
      <c r="K125" s="17"/>
      <c r="L125" s="6"/>
      <c r="M125" s="25"/>
      <c r="N125" s="6"/>
      <c r="O125" s="6"/>
      <c r="P125" s="6"/>
      <c r="Q125" s="6"/>
      <c r="R125" s="6"/>
      <c r="S125" s="6"/>
      <c r="T125" s="6"/>
      <c r="U125" s="6"/>
      <c r="V125" s="20"/>
      <c r="W125" s="20"/>
      <c r="X125" s="20"/>
      <c r="Y125" s="20"/>
      <c r="Z125" s="20"/>
      <c r="AA125" s="20"/>
      <c r="AB125" s="20"/>
      <c r="AD125" s="6"/>
      <c r="AE125" s="6"/>
      <c r="AF125" s="6"/>
      <c r="AG125" s="6"/>
      <c r="AH125" s="6"/>
      <c r="AI125" s="6"/>
      <c r="AJ125" s="6"/>
    </row>
    <row r="126" spans="1:36" x14ac:dyDescent="0.2">
      <c r="A126" s="39"/>
      <c r="B126" s="40"/>
      <c r="C126" s="15" t="s">
        <v>2</v>
      </c>
      <c r="D126" s="4"/>
      <c r="E126" s="4"/>
      <c r="F126" s="4"/>
      <c r="G126" s="4"/>
      <c r="H126" s="4">
        <v>4.1666666666666664E-2</v>
      </c>
      <c r="I126" s="4"/>
      <c r="J126" s="4"/>
      <c r="K126" s="17"/>
      <c r="L126" s="6"/>
      <c r="M126" s="25"/>
      <c r="N126" s="6"/>
      <c r="O126" s="6"/>
      <c r="P126" s="6"/>
      <c r="Q126" s="6"/>
      <c r="R126" s="6"/>
      <c r="S126" s="6"/>
      <c r="T126" s="6"/>
      <c r="U126" s="6"/>
      <c r="V126" s="20"/>
      <c r="W126" s="20"/>
      <c r="X126" s="20"/>
      <c r="Y126" s="20"/>
      <c r="Z126" s="20"/>
      <c r="AA126" s="20"/>
      <c r="AB126" s="20"/>
      <c r="AD126" s="6"/>
      <c r="AE126" s="6"/>
      <c r="AF126" s="6"/>
      <c r="AG126" s="6"/>
      <c r="AH126" s="6"/>
      <c r="AI126" s="6"/>
      <c r="AJ126" s="6"/>
    </row>
    <row r="127" spans="1:36" x14ac:dyDescent="0.2">
      <c r="A127" s="39"/>
      <c r="B127" s="40"/>
      <c r="C127" s="15" t="s">
        <v>3</v>
      </c>
      <c r="D127" s="43" t="str">
        <f t="shared" ref="D127:J127" si="87">IF(D124="","",IF(D125&gt;D124,(D125-D124-D126)*24,(1-D124-D126+D125)*24))</f>
        <v/>
      </c>
      <c r="E127" s="43" t="str">
        <f t="shared" si="87"/>
        <v/>
      </c>
      <c r="F127" s="43" t="str">
        <f t="shared" si="87"/>
        <v/>
      </c>
      <c r="G127" s="43">
        <v>5</v>
      </c>
      <c r="H127" s="55">
        <f t="shared" si="87"/>
        <v>6.9999999999999991</v>
      </c>
      <c r="I127" s="43" t="str">
        <f t="shared" si="87"/>
        <v/>
      </c>
      <c r="J127" s="44" t="str">
        <f t="shared" si="87"/>
        <v/>
      </c>
      <c r="K127" s="18">
        <f>SUMIF(D128:J128,"",D127:J127)</f>
        <v>12</v>
      </c>
      <c r="L127" s="12">
        <f>SUM(D127:J127)</f>
        <v>12</v>
      </c>
      <c r="M127" s="25"/>
      <c r="N127" s="6"/>
      <c r="O127" s="6"/>
      <c r="P127" s="6"/>
      <c r="Q127" s="6"/>
      <c r="R127" s="6"/>
      <c r="S127" s="6"/>
      <c r="T127" s="6"/>
      <c r="U127" s="6"/>
      <c r="V127" s="20"/>
      <c r="W127" s="20"/>
      <c r="X127" s="20"/>
      <c r="Y127" s="20"/>
      <c r="Z127" s="20"/>
      <c r="AA127" s="20"/>
      <c r="AB127" s="20"/>
      <c r="AD127" s="6"/>
      <c r="AE127" s="6"/>
      <c r="AF127" s="6"/>
      <c r="AG127" s="6"/>
      <c r="AH127" s="6"/>
      <c r="AI127" s="6"/>
      <c r="AJ127" s="6"/>
    </row>
    <row r="128" spans="1:36" x14ac:dyDescent="0.2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  <c r="N128" s="6"/>
      <c r="O128" s="6"/>
      <c r="P128" s="6"/>
      <c r="Q128" s="6"/>
      <c r="R128" s="6"/>
      <c r="S128" s="6"/>
      <c r="T128" s="6"/>
      <c r="U128" s="6"/>
      <c r="V128" s="20"/>
      <c r="W128" s="20"/>
      <c r="X128" s="20"/>
      <c r="Y128" s="20"/>
      <c r="Z128" s="20"/>
      <c r="AA128" s="20"/>
      <c r="AB128" s="20"/>
      <c r="AD128" s="6"/>
      <c r="AE128" s="6"/>
      <c r="AF128" s="6"/>
      <c r="AG128" s="6"/>
      <c r="AH128" s="6"/>
      <c r="AI128" s="6"/>
      <c r="AJ128" s="6"/>
    </row>
    <row r="129" spans="1:36" ht="13.5" thickBot="1" x14ac:dyDescent="0.25">
      <c r="A129" s="41"/>
      <c r="B129" s="42"/>
      <c r="C129" s="35" t="s">
        <v>28</v>
      </c>
      <c r="D129" s="93"/>
      <c r="E129" s="93"/>
      <c r="F129" s="93"/>
      <c r="G129" s="36"/>
      <c r="H129" s="93"/>
      <c r="I129" s="93"/>
      <c r="J129" s="93"/>
      <c r="K129" s="94"/>
      <c r="L129" s="6"/>
      <c r="M129" s="25"/>
      <c r="N129" s="6"/>
      <c r="O129" s="6"/>
      <c r="P129" s="6"/>
      <c r="Q129" s="6"/>
      <c r="R129" s="6"/>
      <c r="S129" s="6"/>
      <c r="T129" s="6"/>
      <c r="U129" s="6"/>
      <c r="V129" s="20"/>
      <c r="W129" s="20"/>
      <c r="X129" s="20"/>
      <c r="Y129" s="20"/>
      <c r="Z129" s="20"/>
      <c r="AA129" s="20"/>
      <c r="AB129" s="20"/>
      <c r="AD129" s="6"/>
      <c r="AE129" s="6"/>
      <c r="AF129" s="6"/>
      <c r="AG129" s="6"/>
      <c r="AH129" s="6"/>
      <c r="AI129" s="6"/>
      <c r="AJ129" s="6"/>
    </row>
    <row r="130" spans="1:36" x14ac:dyDescent="0.2">
      <c r="A130" s="37" t="s">
        <v>100</v>
      </c>
      <c r="B130" s="38" t="s">
        <v>125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D130" s="6">
        <f>IF((D130&lt;&gt;"")*(D134=""),IF((D130&lt;=$B$440)*((D131&gt;=$C$440)+(D131&lt;2/24)),1,0),0)</f>
        <v>0</v>
      </c>
      <c r="AE130" s="6">
        <f>IF((E130&lt;&gt;"")*(E134=""),IF((E130&lt;=$B$440)*((E131&gt;=$C$440)+(E131&lt;2/24)),1,0),0)</f>
        <v>0</v>
      </c>
      <c r="AF130" s="6">
        <f>IF((F130&lt;&gt;"")*(F134=""),IF((F130&lt;=$B$440)*((F131&gt;=$C$440)+(F131&lt;2/24)),1,0),0)</f>
        <v>0</v>
      </c>
      <c r="AG130" s="6">
        <f>IF((G130&lt;&gt;"")*(G134=""),IF((G130&lt;=$B$440)*((G131&gt;=$C$440)+(G131&lt;2/24)),1,0),0)</f>
        <v>0</v>
      </c>
      <c r="AH130" s="6">
        <f>IF((H130&lt;&gt;"")*(H134=""),IF((H130&lt;=$B$440)*((H131&gt;=$C$440)+(H131&lt;2/24)),1,0),0)</f>
        <v>0</v>
      </c>
      <c r="AI130" s="6">
        <f>IF((I130&lt;&gt;"")*(I134=""),IF((I130&lt;=$B$440)*((I131&gt;=$C$440)+(I131&lt;2/24)),1,0),0)</f>
        <v>0</v>
      </c>
      <c r="AJ130" s="6">
        <f>IF((J130&lt;&gt;"")*(J134=""),IF((J130&lt;=$B$440)*((J131&gt;=$C$440)+(J131&lt;2/24)),1,0),0)</f>
        <v>0</v>
      </c>
    </row>
    <row r="131" spans="1:36" x14ac:dyDescent="0.2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D131" s="6">
        <f>IF((D130&lt;&gt;"")*(D134=""),IF((D130&lt;=$B$441)*((D131&gt;=$C$441)+(D131&lt;2/24)),1,0),0)</f>
        <v>0</v>
      </c>
      <c r="AE131" s="6">
        <f>IF((E130&lt;&gt;"")*(E134=""),IF((E130&lt;=$B$441)*((E131&gt;=$C$441)+(E131&lt;2/24)),1,0),0)</f>
        <v>0</v>
      </c>
      <c r="AF131" s="6">
        <f>IF((F130&lt;&gt;"")*(F134=""),IF((F130&lt;=$B$441)*((F131&gt;=$C$441)+(F131&lt;2/24)),1,0),0)</f>
        <v>0</v>
      </c>
      <c r="AG131" s="6">
        <f>IF((G130&lt;&gt;"")*(G134=""),IF((G130&lt;=$B$441)*((G131&gt;=$C$441)+(G131&lt;2/24)),1,0),0)</f>
        <v>0</v>
      </c>
      <c r="AH131" s="6">
        <f>IF((H130&lt;&gt;"")*(H134=""),IF((H130&lt;=$B$441)*((H131&gt;=$C$441)+(H131&lt;2/24)),1,0),0)</f>
        <v>0</v>
      </c>
      <c r="AI131" s="6">
        <f>IF((I130&lt;&gt;"")*(I134=""),IF((I130&lt;=$B$441)*((I131&gt;=$C$441)+(I131&lt;2/24)),1,0),0)</f>
        <v>0</v>
      </c>
      <c r="AJ131" s="6">
        <f>IF((J130&lt;&gt;"")*(J134=""),IF((J130&lt;=$B$441)*((J131&gt;=$C$441)+(J131&lt;2/24)),1,0),0)</f>
        <v>0</v>
      </c>
    </row>
    <row r="132" spans="1:36" x14ac:dyDescent="0.2">
      <c r="A132" s="39"/>
      <c r="B132" s="40"/>
      <c r="C132" s="15" t="s">
        <v>2</v>
      </c>
      <c r="D132" s="4"/>
      <c r="E132" s="4"/>
      <c r="F132" s="4"/>
      <c r="G132" s="58"/>
      <c r="H132" s="4"/>
      <c r="I132" s="4"/>
      <c r="J132" s="4"/>
      <c r="K132" s="17"/>
      <c r="L132" s="6"/>
      <c r="M132" s="21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D132" s="6">
        <f>IF((D130&lt;&gt;"")*(D134=""),IF((D130&lt;=$B$442)*((D131&gt;=$C$442)+(D131&lt;2/24)),1,0),0)</f>
        <v>0</v>
      </c>
      <c r="AE132" s="6">
        <f>IF((E130&lt;&gt;"")*(E134=""),IF((E130&lt;=$B$442)*((E131&gt;=$C$442)+(E131&lt;2/24)),1,0),0)</f>
        <v>0</v>
      </c>
      <c r="AF132" s="6">
        <f>IF((F130&lt;&gt;"")*(F134=""),IF((F130&lt;=$B$442)*((F131&gt;=$C$442)+(F131&lt;2/24)),1,0),0)</f>
        <v>0</v>
      </c>
      <c r="AG132" s="6">
        <f>IF((G130&lt;&gt;"")*(G134=""),IF((G130&lt;=$B$442)*((G131&gt;=$C$442)+(G131&lt;2/24)),1,0),0)</f>
        <v>0</v>
      </c>
      <c r="AH132" s="6">
        <f>IF((H130&lt;&gt;"")*(H134=""),IF((H130&lt;=$B$442)*((H131&gt;=$C$442)+(H131&lt;2/24)),1,0),0)</f>
        <v>0</v>
      </c>
      <c r="AI132" s="6">
        <f>IF((I130&lt;&gt;"")*(I134=""),IF((I130&lt;=$B$442)*((I131&gt;=$C$442)+(I131&lt;2/24)),1,0),0)</f>
        <v>0</v>
      </c>
      <c r="AJ132" s="6">
        <f>IF((J130&lt;&gt;"")*(J134=""),IF((J130&lt;=$B$442)*((J131&gt;=$C$442)+(J131&lt;2/24)),1,0),0)</f>
        <v>0</v>
      </c>
    </row>
    <row r="133" spans="1:36" x14ac:dyDescent="0.2">
      <c r="A133" s="39"/>
      <c r="B133" s="40"/>
      <c r="C133" s="15" t="s">
        <v>3</v>
      </c>
      <c r="D133" s="43" t="str">
        <f t="shared" ref="D133:J133" si="88">IF(D130="","",IF(D131&gt;D130,(D131-D130-D132)*24,(1-D130-D132+D131)*24))</f>
        <v/>
      </c>
      <c r="E133" s="43" t="str">
        <f t="shared" si="88"/>
        <v/>
      </c>
      <c r="F133" s="43" t="str">
        <f t="shared" si="88"/>
        <v/>
      </c>
      <c r="G133" s="55" t="str">
        <f t="shared" si="88"/>
        <v/>
      </c>
      <c r="H133" s="55"/>
      <c r="I133" s="43" t="str">
        <f t="shared" si="88"/>
        <v/>
      </c>
      <c r="J133" s="44" t="str">
        <f t="shared" si="88"/>
        <v/>
      </c>
      <c r="K133" s="18">
        <f>SUMIF(D134:J134,"",D133:J133)</f>
        <v>0</v>
      </c>
      <c r="L133" s="12">
        <f>SUM(D133:J133)</f>
        <v>0</v>
      </c>
      <c r="M133" s="24"/>
      <c r="N133" s="10" t="str">
        <f t="shared" ref="N133:T133" si="89">IF(D134="",D133,0)</f>
        <v/>
      </c>
      <c r="O133" s="10" t="str">
        <f t="shared" si="89"/>
        <v/>
      </c>
      <c r="P133" s="10" t="str">
        <f t="shared" si="89"/>
        <v/>
      </c>
      <c r="Q133" s="10" t="str">
        <f t="shared" si="89"/>
        <v/>
      </c>
      <c r="R133" s="10">
        <f t="shared" si="89"/>
        <v>0</v>
      </c>
      <c r="S133" s="10" t="str">
        <f t="shared" si="89"/>
        <v/>
      </c>
      <c r="T133" s="10" t="str">
        <f t="shared" si="89"/>
        <v/>
      </c>
      <c r="U133" s="10"/>
      <c r="V133" s="10" t="str">
        <f t="shared" ref="V133:AB133" si="90">D133</f>
        <v/>
      </c>
      <c r="W133" s="10" t="str">
        <f t="shared" si="90"/>
        <v/>
      </c>
      <c r="X133" s="10" t="str">
        <f t="shared" si="90"/>
        <v/>
      </c>
      <c r="Y133" s="10" t="str">
        <f t="shared" si="90"/>
        <v/>
      </c>
      <c r="Z133" s="10">
        <f t="shared" si="90"/>
        <v>0</v>
      </c>
      <c r="AA133" s="10" t="str">
        <f t="shared" si="90"/>
        <v/>
      </c>
      <c r="AB133" s="10" t="str">
        <f t="shared" si="90"/>
        <v/>
      </c>
      <c r="AD133" s="6">
        <f>IF((D130&lt;&gt;"")*(D134=""),IF((D130&lt;=$B$443)*((D131&gt;=$C$443)+(D131&lt;2/24)),1,0),0)</f>
        <v>0</v>
      </c>
      <c r="AE133" s="6">
        <f>IF((E130&lt;&gt;"")*(E134=""),IF((E130&lt;=$B$443)*((E131&gt;=$C$443)+(E131&lt;2/24)),1,0),0)</f>
        <v>0</v>
      </c>
      <c r="AF133" s="6">
        <f>IF((F130&lt;&gt;"")*(F134=""),IF((F130&lt;=$B$443)*((F131&gt;=$C$443)+(F131&lt;2/24)),1,0),0)</f>
        <v>0</v>
      </c>
      <c r="AG133" s="6">
        <f>IF((G130&lt;&gt;"")*(G134=""),IF((G130&lt;=$B$443)*((G131&gt;=$C$443)+(G131&lt;2/24)),1,0),0)</f>
        <v>0</v>
      </c>
      <c r="AH133" s="6">
        <f>IF((H130&lt;&gt;"")*(H134=""),IF((H130&lt;=$B$443)*((H131&gt;=$C$443)+(H131&lt;2/24)),1,0),0)</f>
        <v>0</v>
      </c>
      <c r="AI133" s="6">
        <f>IF((I130&lt;&gt;"")*(I134=""),IF((I130&lt;=$B$443)*((I131&gt;=$C$443)+(I131&lt;2/24)),1,0),0)</f>
        <v>0</v>
      </c>
      <c r="AJ133" s="6">
        <f>IF((J130&lt;&gt;"")*(J134=""),IF((J130&lt;=$B$443)*((J131&gt;=$C$443)+(J131&lt;2/24)),1,0),0)</f>
        <v>0</v>
      </c>
    </row>
    <row r="134" spans="1:36" x14ac:dyDescent="0.2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  <c r="N134" s="6"/>
      <c r="O134" s="6"/>
      <c r="P134" s="6"/>
      <c r="Q134" s="6"/>
      <c r="R134" s="6"/>
      <c r="S134" s="6"/>
      <c r="T134" s="6"/>
      <c r="U134" s="6"/>
      <c r="V134" s="20"/>
      <c r="W134" s="20"/>
      <c r="X134" s="20"/>
      <c r="Y134" s="20"/>
      <c r="Z134" s="20"/>
      <c r="AA134" s="20"/>
      <c r="AB134" s="20"/>
      <c r="AD134" s="6">
        <f>IF((D130&lt;&gt;"")*(D134=""),IF((D130&lt;=$B$444)*((D131&gt;=$C$444)+(D131&lt;2/24)),1,0),0)</f>
        <v>0</v>
      </c>
      <c r="AE134" s="6">
        <f>IF((E130&lt;&gt;"")*(E134=""),IF((E130&lt;=$B$444)*((E131&gt;=$C$444)+(E131&lt;2/24)),1,0),0)</f>
        <v>0</v>
      </c>
      <c r="AF134" s="6">
        <f>IF((F130&lt;&gt;"")*(F134=""),IF((F130&lt;=$B$444)*((F131&gt;=$C$444)+(F131&lt;2/24)),1,0),0)</f>
        <v>0</v>
      </c>
      <c r="AG134" s="6">
        <f>IF((G130&lt;&gt;"")*(G134=""),IF((G130&lt;=$B$444)*((G131&gt;=$C$444)+(G131&lt;2/24)),1,0),0)</f>
        <v>0</v>
      </c>
      <c r="AH134" s="6">
        <f>IF((H130&lt;&gt;"")*(H134=""),IF((H130&lt;=$B$444)*((H131&gt;=$C$444)+(H131&lt;2/24)),1,0),0)</f>
        <v>0</v>
      </c>
      <c r="AI134" s="6">
        <f>IF((I130&lt;&gt;"")*(I134=""),IF((I130&lt;=$B$444)*((I131&gt;=$C$444)+(I131&lt;2/24)),1,0),0)</f>
        <v>0</v>
      </c>
      <c r="AJ134" s="6">
        <f>IF((J130&lt;&gt;"")*(J134=""),IF((J130&lt;=$B$444)*((J131&gt;=$C$444)+(J131&lt;2/24)),1,0),0)</f>
        <v>0</v>
      </c>
    </row>
    <row r="135" spans="1:36" ht="13.5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  <c r="N135" s="6"/>
      <c r="O135" s="6"/>
      <c r="P135" s="6"/>
      <c r="Q135" s="6"/>
      <c r="R135" s="6"/>
      <c r="S135" s="6"/>
      <c r="T135" s="6"/>
      <c r="U135" s="6"/>
      <c r="V135" s="20"/>
      <c r="W135" s="20"/>
      <c r="X135" s="20"/>
      <c r="Y135" s="20"/>
      <c r="Z135" s="20"/>
      <c r="AA135" s="20"/>
      <c r="AB135" s="20"/>
      <c r="AD135" s="6"/>
      <c r="AE135" s="6"/>
      <c r="AF135" s="6"/>
      <c r="AG135" s="6"/>
      <c r="AH135" s="6"/>
      <c r="AI135" s="6"/>
      <c r="AJ135" s="6"/>
    </row>
    <row r="136" spans="1:36" x14ac:dyDescent="0.2">
      <c r="A136" s="37" t="s">
        <v>157</v>
      </c>
      <c r="B136" s="38" t="s">
        <v>158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  <c r="L136" s="6"/>
      <c r="M136" s="21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D136" s="6">
        <f>IF((D136&lt;&gt;"")*(D140=""),IF((D136&lt;=$B$440)*((D137&gt;=$C$440)+(D137&lt;2/24)),1,0),0)</f>
        <v>0</v>
      </c>
      <c r="AE136" s="6">
        <f>IF((E136&lt;&gt;"")*(E140=""),IF((E136&lt;=$B$440)*((E137&gt;=$C$440)+(E137&lt;2/24)),1,0),0)</f>
        <v>0</v>
      </c>
      <c r="AF136" s="6">
        <f>IF((F136&lt;&gt;"")*(F140=""),IF((F136&lt;=$B$440)*((F137&gt;=$C$440)+(F137&lt;2/24)),1,0),0)</f>
        <v>0</v>
      </c>
      <c r="AG136" s="6">
        <f>IF((G136&lt;&gt;"")*(G140=""),IF((G136&lt;=$B$440)*((G137&gt;=$C$440)+(G137&lt;2/24)),1,0),0)</f>
        <v>0</v>
      </c>
      <c r="AH136" s="6">
        <f>IF((H136&lt;&gt;"")*(H140=""),IF((H136&lt;=$B$440)*((H137&gt;=$C$440)+(H137&lt;2/24)),1,0),0)</f>
        <v>0</v>
      </c>
      <c r="AI136" s="6">
        <f>IF((I136&lt;&gt;"")*(I140=""),IF((I136&lt;=$B$440)*((I137&gt;=$C$440)+(I137&lt;2/24)),1,0),0)</f>
        <v>0</v>
      </c>
      <c r="AJ136" s="6">
        <f>IF((J136&lt;&gt;"")*(J140=""),IF((J136&lt;=$B$440)*((J137&gt;=$C$440)+(J137&lt;2/24)),1,0),0)</f>
        <v>0</v>
      </c>
    </row>
    <row r="137" spans="1:36" x14ac:dyDescent="0.2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  <c r="L137" s="6"/>
      <c r="M137" s="21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D137" s="6">
        <f>IF((D136&lt;&gt;"")*(D140=""),IF((D136&lt;=$B$441)*((D137&gt;=$C$441)+(D137&lt;2/24)),1,0),0)</f>
        <v>0</v>
      </c>
      <c r="AE137" s="6">
        <f>IF((E136&lt;&gt;"")*(E140=""),IF((E136&lt;=$B$441)*((E137&gt;=$C$441)+(E137&lt;2/24)),1,0),0)</f>
        <v>0</v>
      </c>
      <c r="AF137" s="6">
        <f>IF((F136&lt;&gt;"")*(F140=""),IF((F136&lt;=$B$441)*((F137&gt;=$C$441)+(F137&lt;2/24)),1,0),0)</f>
        <v>0</v>
      </c>
      <c r="AG137" s="6">
        <f>IF((G136&lt;&gt;"")*(G140=""),IF((G136&lt;=$B$441)*((G137&gt;=$C$441)+(G137&lt;2/24)),1,0),0)</f>
        <v>0</v>
      </c>
      <c r="AH137" s="6">
        <f>IF((H136&lt;&gt;"")*(H140=""),IF((H136&lt;=$B$441)*((H137&gt;=$C$441)+(H137&lt;2/24)),1,0),0)</f>
        <v>0</v>
      </c>
      <c r="AI137" s="6">
        <f>IF((I136&lt;&gt;"")*(I140=""),IF((I136&lt;=$B$441)*((I137&gt;=$C$441)+(I137&lt;2/24)),1,0),0)</f>
        <v>0</v>
      </c>
      <c r="AJ137" s="6">
        <f>IF((J136&lt;&gt;"")*(J140=""),IF((J136&lt;=$B$441)*((J137&gt;=$C$441)+(J137&lt;2/24)),1,0),0)</f>
        <v>0</v>
      </c>
    </row>
    <row r="138" spans="1:36" x14ac:dyDescent="0.2">
      <c r="A138" s="39"/>
      <c r="B138" s="40"/>
      <c r="C138" s="15" t="s">
        <v>2</v>
      </c>
      <c r="D138" s="4"/>
      <c r="E138" s="4"/>
      <c r="F138" s="4"/>
      <c r="G138" s="58"/>
      <c r="H138" s="4"/>
      <c r="I138" s="4"/>
      <c r="J138" s="4"/>
      <c r="K138" s="17"/>
      <c r="L138" s="6"/>
      <c r="M138" s="21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D138" s="6">
        <f>IF((D136&lt;&gt;"")*(D140=""),IF((D136&lt;=$B$442)*((D137&gt;=$C$442)+(D137&lt;2/24)),1,0),0)</f>
        <v>0</v>
      </c>
      <c r="AE138" s="6">
        <f>IF((E136&lt;&gt;"")*(E140=""),IF((E136&lt;=$B$442)*((E137&gt;=$C$442)+(E137&lt;2/24)),1,0),0)</f>
        <v>0</v>
      </c>
      <c r="AF138" s="6">
        <f>IF((F136&lt;&gt;"")*(F140=""),IF((F136&lt;=$B$442)*((F137&gt;=$C$442)+(F137&lt;2/24)),1,0),0)</f>
        <v>0</v>
      </c>
      <c r="AG138" s="6">
        <f>IF((G136&lt;&gt;"")*(G140=""),IF((G136&lt;=$B$442)*((G137&gt;=$C$442)+(G137&lt;2/24)),1,0),0)</f>
        <v>0</v>
      </c>
      <c r="AH138" s="6">
        <f>IF((H136&lt;&gt;"")*(H140=""),IF((H136&lt;=$B$442)*((H137&gt;=$C$442)+(H137&lt;2/24)),1,0),0)</f>
        <v>0</v>
      </c>
      <c r="AI138" s="6">
        <f>IF((I136&lt;&gt;"")*(I140=""),IF((I136&lt;=$B$442)*((I137&gt;=$C$442)+(I137&lt;2/24)),1,0),0)</f>
        <v>0</v>
      </c>
      <c r="AJ138" s="6">
        <f>IF((J136&lt;&gt;"")*(J140=""),IF((J136&lt;=$B$442)*((J137&gt;=$C$442)+(J137&lt;2/24)),1,0),0)</f>
        <v>0</v>
      </c>
    </row>
    <row r="139" spans="1:36" x14ac:dyDescent="0.2">
      <c r="A139" s="39"/>
      <c r="B139" s="40"/>
      <c r="C139" s="15" t="s">
        <v>3</v>
      </c>
      <c r="D139" s="43" t="str">
        <f t="shared" ref="D139:J139" si="91">IF(D136="","",IF(D137&gt;D136,(D137-D136-D138)*24,(1-D136-D138+D137)*24))</f>
        <v/>
      </c>
      <c r="E139" s="43" t="str">
        <f t="shared" si="91"/>
        <v/>
      </c>
      <c r="F139" s="43" t="str">
        <f t="shared" si="91"/>
        <v/>
      </c>
      <c r="G139" s="55" t="str">
        <f t="shared" si="91"/>
        <v/>
      </c>
      <c r="H139" s="55" t="str">
        <f t="shared" si="91"/>
        <v/>
      </c>
      <c r="I139" s="43" t="str">
        <f t="shared" si="91"/>
        <v/>
      </c>
      <c r="J139" s="44" t="str">
        <f t="shared" si="91"/>
        <v/>
      </c>
      <c r="K139" s="18">
        <f>SUMIF(D140:J140,"",D139:J139)</f>
        <v>0</v>
      </c>
      <c r="L139" s="12">
        <f>SUM(D139:J139)</f>
        <v>0</v>
      </c>
      <c r="M139" s="24"/>
      <c r="N139" s="10" t="str">
        <f t="shared" ref="N139:T139" si="92">IF(D140="",D139,0)</f>
        <v/>
      </c>
      <c r="O139" s="10" t="str">
        <f t="shared" si="92"/>
        <v/>
      </c>
      <c r="P139" s="10" t="str">
        <f t="shared" si="92"/>
        <v/>
      </c>
      <c r="Q139" s="10" t="str">
        <f t="shared" si="92"/>
        <v/>
      </c>
      <c r="R139" s="10" t="str">
        <f t="shared" si="92"/>
        <v/>
      </c>
      <c r="S139" s="10" t="str">
        <f t="shared" si="92"/>
        <v/>
      </c>
      <c r="T139" s="10" t="str">
        <f t="shared" si="92"/>
        <v/>
      </c>
      <c r="U139" s="10"/>
      <c r="V139" s="10" t="str">
        <f t="shared" ref="V139:AB139" si="93">D139</f>
        <v/>
      </c>
      <c r="W139" s="10" t="str">
        <f t="shared" si="93"/>
        <v/>
      </c>
      <c r="X139" s="10" t="str">
        <f t="shared" si="93"/>
        <v/>
      </c>
      <c r="Y139" s="10" t="str">
        <f t="shared" si="93"/>
        <v/>
      </c>
      <c r="Z139" s="10" t="str">
        <f t="shared" si="93"/>
        <v/>
      </c>
      <c r="AA139" s="10" t="str">
        <f t="shared" si="93"/>
        <v/>
      </c>
      <c r="AB139" s="10" t="str">
        <f t="shared" si="93"/>
        <v/>
      </c>
      <c r="AD139" s="6">
        <f>IF((D136&lt;&gt;"")*(D140=""),IF((D136&lt;=$B$443)*((D137&gt;=$C$443)+(D137&lt;2/24)),1,0),0)</f>
        <v>0</v>
      </c>
      <c r="AE139" s="6">
        <f>IF((E136&lt;&gt;"")*(E140=""),IF((E136&lt;=$B$443)*((E137&gt;=$C$443)+(E137&lt;2/24)),1,0),0)</f>
        <v>0</v>
      </c>
      <c r="AF139" s="6">
        <f>IF((F136&lt;&gt;"")*(F140=""),IF((F136&lt;=$B$443)*((F137&gt;=$C$443)+(F137&lt;2/24)),1,0),0)</f>
        <v>0</v>
      </c>
      <c r="AG139" s="6">
        <f>IF((G136&lt;&gt;"")*(G140=""),IF((G136&lt;=$B$443)*((G137&gt;=$C$443)+(G137&lt;2/24)),1,0),0)</f>
        <v>0</v>
      </c>
      <c r="AH139" s="6">
        <f>IF((H136&lt;&gt;"")*(H140=""),IF((H136&lt;=$B$443)*((H137&gt;=$C$443)+(H137&lt;2/24)),1,0),0)</f>
        <v>0</v>
      </c>
      <c r="AI139" s="6">
        <f>IF((I136&lt;&gt;"")*(I140=""),IF((I136&lt;=$B$443)*((I137&gt;=$C$443)+(I137&lt;2/24)),1,0),0)</f>
        <v>0</v>
      </c>
      <c r="AJ139" s="6">
        <f>IF((J136&lt;&gt;"")*(J140=""),IF((J136&lt;=$B$443)*((J137&gt;=$C$443)+(J137&lt;2/24)),1,0),0)</f>
        <v>0</v>
      </c>
    </row>
    <row r="140" spans="1:36" x14ac:dyDescent="0.2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  <c r="N140" s="6"/>
      <c r="O140" s="6"/>
      <c r="P140" s="6"/>
      <c r="Q140" s="6"/>
      <c r="R140" s="6"/>
      <c r="S140" s="6"/>
      <c r="T140" s="6"/>
      <c r="U140" s="6"/>
      <c r="V140" s="20"/>
      <c r="W140" s="20"/>
      <c r="X140" s="20"/>
      <c r="Y140" s="20"/>
      <c r="Z140" s="20"/>
      <c r="AA140" s="20"/>
      <c r="AB140" s="20"/>
      <c r="AD140" s="6">
        <f>IF((D136&lt;&gt;"")*(D140=""),IF((D136&lt;=$B$444)*((D137&gt;=$C$444)+(D137&lt;2/24)),1,0),0)</f>
        <v>0</v>
      </c>
      <c r="AE140" s="6">
        <f>IF((E136&lt;&gt;"")*(E140=""),IF((E136&lt;=$B$444)*((E137&gt;=$C$444)+(E137&lt;2/24)),1,0),0)</f>
        <v>0</v>
      </c>
      <c r="AF140" s="6">
        <f>IF((F136&lt;&gt;"")*(F140=""),IF((F136&lt;=$B$444)*((F137&gt;=$C$444)+(F137&lt;2/24)),1,0),0)</f>
        <v>0</v>
      </c>
      <c r="AG140" s="6">
        <f>IF((G136&lt;&gt;"")*(G140=""),IF((G136&lt;=$B$444)*((G137&gt;=$C$444)+(G137&lt;2/24)),1,0),0)</f>
        <v>0</v>
      </c>
      <c r="AH140" s="6">
        <f>IF((H136&lt;&gt;"")*(H140=""),IF((H136&lt;=$B$444)*((H137&gt;=$C$444)+(H137&lt;2/24)),1,0),0)</f>
        <v>0</v>
      </c>
      <c r="AI140" s="6">
        <f>IF((I136&lt;&gt;"")*(I140=""),IF((I136&lt;=$B$444)*((I137&gt;=$C$444)+(I137&lt;2/24)),1,0),0)</f>
        <v>0</v>
      </c>
      <c r="AJ140" s="6">
        <f>IF((J136&lt;&gt;"")*(J140=""),IF((J136&lt;=$B$444)*((J137&gt;=$C$444)+(J137&lt;2/24)),1,0),0)</f>
        <v>0</v>
      </c>
    </row>
    <row r="141" spans="1:36" ht="13.5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  <c r="N141" s="6"/>
      <c r="O141" s="6"/>
      <c r="P141" s="6"/>
      <c r="Q141" s="6"/>
      <c r="R141" s="6"/>
      <c r="S141" s="6"/>
      <c r="T141" s="6"/>
      <c r="U141" s="6"/>
      <c r="V141" s="20"/>
      <c r="W141" s="20"/>
      <c r="X141" s="20"/>
      <c r="Y141" s="20"/>
      <c r="Z141" s="20"/>
      <c r="AA141" s="20"/>
      <c r="AB141" s="20"/>
      <c r="AD141" s="6"/>
      <c r="AE141" s="6"/>
      <c r="AF141" s="6"/>
      <c r="AG141" s="6"/>
      <c r="AH141" s="6"/>
      <c r="AI141" s="6"/>
      <c r="AJ141" s="6"/>
    </row>
    <row r="142" spans="1:36" x14ac:dyDescent="0.2">
      <c r="A142" s="37" t="s">
        <v>70</v>
      </c>
      <c r="B142" s="38" t="s">
        <v>72</v>
      </c>
      <c r="C142" s="14" t="s">
        <v>0</v>
      </c>
      <c r="D142" s="26"/>
      <c r="E142" s="26">
        <v>0.77083333333333337</v>
      </c>
      <c r="F142" s="26"/>
      <c r="G142" s="26"/>
      <c r="H142" s="26"/>
      <c r="I142" s="26"/>
      <c r="J142" s="26"/>
      <c r="K142" s="16"/>
      <c r="L142" s="6"/>
      <c r="M142" s="21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D142" s="6">
        <f>IF((D142&lt;&gt;"")*(D146=""),IF((D142&lt;=$B$218)*((D143&gt;=$C$218)+(D143&lt;2/24)),1,0),0)</f>
        <v>0</v>
      </c>
      <c r="AE142" s="6">
        <f>IF((E142&lt;&gt;"")*(E146=""),IF((E142&lt;=$B$218)*((E143&gt;=$C$218)+(E143&lt;2/24)),1,0),0)</f>
        <v>0</v>
      </c>
      <c r="AF142" s="6">
        <f>IF((F142&lt;&gt;"")*(F146=""),IF((F142&lt;=$B$218)*((F143&gt;=$C$218)+(F143&lt;2/24)),1,0),0)</f>
        <v>0</v>
      </c>
      <c r="AG142" s="6">
        <f>IF((G142&lt;&gt;"")*(G146=""),IF((G142&lt;=$B$218)*((G143&gt;=$C$218)+(G143&lt;2/24)),1,0),0)</f>
        <v>0</v>
      </c>
      <c r="AH142" s="6">
        <f>IF((H142&lt;&gt;"")*(H146=""),IF((H142&lt;=$B$218)*((H143&gt;=$C$218)+(H143&lt;2/24)),1,0),0)</f>
        <v>0</v>
      </c>
      <c r="AI142" s="6">
        <f>IF((I142&lt;&gt;"")*(I146=""),IF((I142&lt;=$B$218)*((I143&gt;=$C$218)+(I143&lt;2/24)),1,0),0)</f>
        <v>0</v>
      </c>
      <c r="AJ142" s="6">
        <f>IF((J142&lt;&gt;"")*(J146=""),IF((J142&lt;=$B$218)*((J143&gt;=$C$218)+(J143&lt;2/24)),1,0),0)</f>
        <v>0</v>
      </c>
    </row>
    <row r="143" spans="1:36" x14ac:dyDescent="0.2">
      <c r="A143" s="39"/>
      <c r="B143" s="40"/>
      <c r="C143" s="15" t="s">
        <v>1</v>
      </c>
      <c r="D143" s="27"/>
      <c r="E143" s="27">
        <v>0.95833333333333337</v>
      </c>
      <c r="F143" s="27"/>
      <c r="G143" s="27"/>
      <c r="H143" s="27"/>
      <c r="I143" s="27"/>
      <c r="J143" s="27"/>
      <c r="K143" s="17"/>
      <c r="L143" s="6"/>
      <c r="M143" s="21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D143" s="6">
        <f>IF((D142&lt;&gt;"")*(D146=""),IF((D142&lt;=$B$219)*((D143&gt;=$C$219)+(D143&lt;2/24)),1,0),0)</f>
        <v>0</v>
      </c>
      <c r="AE143" s="6">
        <f>IF((E142&lt;&gt;"")*(E146=""),IF((E142&lt;=$B$219)*((E143&gt;=$C$219)+(E143&lt;2/24)),1,0),0)</f>
        <v>0</v>
      </c>
      <c r="AF143" s="6">
        <f>IF((F142&lt;&gt;"")*(F146=""),IF((F142&lt;=$B$219)*((F143&gt;=$C$219)+(F143&lt;2/24)),1,0),0)</f>
        <v>0</v>
      </c>
      <c r="AG143" s="6">
        <f>IF((G142&lt;&gt;"")*(G146=""),IF((G142&lt;=$B$219)*((G143&gt;=$C$219)+(G143&lt;2/24)),1,0),0)</f>
        <v>0</v>
      </c>
      <c r="AH143" s="6">
        <f>IF((H142&lt;&gt;"")*(H146=""),IF((H142&lt;=$B$219)*((H143&gt;=$C$219)+(H143&lt;2/24)),1,0),0)</f>
        <v>0</v>
      </c>
      <c r="AI143" s="6">
        <f>IF((I142&lt;&gt;"")*(I146=""),IF((I142&lt;=$B$219)*((I143&gt;=$C$219)+(I143&lt;2/24)),1,0),0)</f>
        <v>0</v>
      </c>
      <c r="AJ143" s="6">
        <f>IF((J142&lt;&gt;"")*(J146=""),IF((J142&lt;=$B$219)*((J143&gt;=$C$219)+(J143&lt;2/24)),1,0),0)</f>
        <v>0</v>
      </c>
    </row>
    <row r="144" spans="1:36" x14ac:dyDescent="0.2">
      <c r="A144" s="39"/>
      <c r="B144" s="40"/>
      <c r="C144" s="15" t="s">
        <v>2</v>
      </c>
      <c r="D144" s="4"/>
      <c r="E144" s="4"/>
      <c r="F144" s="4"/>
      <c r="G144" s="58"/>
      <c r="H144" s="4"/>
      <c r="I144" s="4"/>
      <c r="J144" s="4"/>
      <c r="K144" s="17"/>
      <c r="L144" s="6"/>
      <c r="M144" s="21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D144" s="6">
        <f>IF((D142&lt;&gt;"")*(D146=""),IF((D142&lt;=$B$220)*((D143&gt;=$C$220)+(D143&lt;2/24)),1,0),0)</f>
        <v>0</v>
      </c>
      <c r="AE144" s="6">
        <f>IF((E142&lt;&gt;"")*(E146=""),IF((E142&lt;=$B$220)*((E143&gt;=$C$220)+(E143&lt;2/24)),1,0),0)</f>
        <v>0</v>
      </c>
      <c r="AF144" s="6">
        <f>IF((F142&lt;&gt;"")*(F146=""),IF((F142&lt;=$B$220)*((F143&gt;=$C$220)+(F143&lt;2/24)),1,0),0)</f>
        <v>0</v>
      </c>
      <c r="AG144" s="6">
        <f>IF((G142&lt;&gt;"")*(G146=""),IF((G142&lt;=$B$220)*((G143&gt;=$C$220)+(G143&lt;2/24)),1,0),0)</f>
        <v>0</v>
      </c>
      <c r="AH144" s="6">
        <f>IF((H142&lt;&gt;"")*(H146=""),IF((H142&lt;=$B$220)*((H143&gt;=$C$220)+(H143&lt;2/24)),1,0),0)</f>
        <v>0</v>
      </c>
      <c r="AI144" s="6">
        <f>IF((I142&lt;&gt;"")*(I146=""),IF((I142&lt;=$B$220)*((I143&gt;=$C$220)+(I143&lt;2/24)),1,0),0)</f>
        <v>0</v>
      </c>
      <c r="AJ144" s="6">
        <f>IF((J142&lt;&gt;"")*(J146=""),IF((J142&lt;=$B$220)*((J143&gt;=$C$220)+(J143&lt;2/24)),1,0),0)</f>
        <v>0</v>
      </c>
    </row>
    <row r="145" spans="1:36" x14ac:dyDescent="0.2">
      <c r="A145" s="39"/>
      <c r="B145" s="40"/>
      <c r="C145" s="15" t="s">
        <v>3</v>
      </c>
      <c r="D145" s="43" t="str">
        <f t="shared" ref="D145:J145" si="94">IF(D142="","",IF(D143&gt;D142,(D143-D142-D144)*24,(1-D142-D144+D143)*24))</f>
        <v/>
      </c>
      <c r="E145" s="43">
        <f t="shared" si="94"/>
        <v>4.5</v>
      </c>
      <c r="F145" s="43">
        <v>4.5</v>
      </c>
      <c r="G145" s="55" t="str">
        <f t="shared" si="94"/>
        <v/>
      </c>
      <c r="H145" s="55" t="str">
        <f t="shared" si="94"/>
        <v/>
      </c>
      <c r="I145" s="43" t="str">
        <f t="shared" si="94"/>
        <v/>
      </c>
      <c r="J145" s="44" t="str">
        <f t="shared" si="94"/>
        <v/>
      </c>
      <c r="K145" s="18">
        <f>SUMIF(D146:J146,"",D145:J145)</f>
        <v>9</v>
      </c>
      <c r="L145" s="12">
        <f>SUM(D145:J145)</f>
        <v>9</v>
      </c>
      <c r="M145" s="24"/>
      <c r="N145" s="10" t="str">
        <f t="shared" ref="N145:T145" si="95">IF(D146="",D145,0)</f>
        <v/>
      </c>
      <c r="O145" s="10">
        <f t="shared" si="95"/>
        <v>4.5</v>
      </c>
      <c r="P145" s="10">
        <f t="shared" si="95"/>
        <v>4.5</v>
      </c>
      <c r="Q145" s="10" t="str">
        <f t="shared" si="95"/>
        <v/>
      </c>
      <c r="R145" s="10" t="str">
        <f t="shared" si="95"/>
        <v/>
      </c>
      <c r="S145" s="10" t="str">
        <f t="shared" si="95"/>
        <v/>
      </c>
      <c r="T145" s="10" t="str">
        <f t="shared" si="95"/>
        <v/>
      </c>
      <c r="U145" s="10"/>
      <c r="V145" s="10" t="str">
        <f t="shared" ref="V145:AB145" si="96">D145</f>
        <v/>
      </c>
      <c r="W145" s="10">
        <f t="shared" si="96"/>
        <v>4.5</v>
      </c>
      <c r="X145" s="10">
        <f t="shared" si="96"/>
        <v>4.5</v>
      </c>
      <c r="Y145" s="10" t="str">
        <f t="shared" si="96"/>
        <v/>
      </c>
      <c r="Z145" s="10" t="str">
        <f t="shared" si="96"/>
        <v/>
      </c>
      <c r="AA145" s="10" t="str">
        <f t="shared" si="96"/>
        <v/>
      </c>
      <c r="AB145" s="10" t="str">
        <f t="shared" si="96"/>
        <v/>
      </c>
      <c r="AD145" s="6">
        <f>IF((D142&lt;&gt;"")*(D146=""),IF((D142&lt;=$B$221)*((D143&gt;=$C$221)+(D143&lt;2/24)),1,0),0)</f>
        <v>0</v>
      </c>
      <c r="AE145" s="6">
        <f>IF((E142&lt;&gt;"")*(E146=""),IF((E142&lt;=$B$221)*((E143&gt;=$C$221)+(E143&lt;2/24)),1,0),0)</f>
        <v>1</v>
      </c>
      <c r="AF145" s="6">
        <f>IF((F142&lt;&gt;"")*(F146=""),IF((F142&lt;=$B$221)*((F143&gt;=$C$221)+(F143&lt;2/24)),1,0),0)</f>
        <v>0</v>
      </c>
      <c r="AG145" s="6">
        <f>IF((G142&lt;&gt;"")*(G146=""),IF((G142&lt;=$B$221)*((G143&gt;=$C$221)+(G143&lt;2/24)),1,0),0)</f>
        <v>0</v>
      </c>
      <c r="AH145" s="6">
        <f>IF((H142&lt;&gt;"")*(H146=""),IF((H142&lt;=$B$221)*((H143&gt;=$C$221)+(H143&lt;2/24)),1,0),0)</f>
        <v>0</v>
      </c>
      <c r="AI145" s="6">
        <f>IF((I142&lt;&gt;"")*(I146=""),IF((I142&lt;=$B$221)*((I143&gt;=$C$221)+(I143&lt;2/24)),1,0),0)</f>
        <v>0</v>
      </c>
      <c r="AJ145" s="6">
        <f>IF((J142&lt;&gt;"")*(J146=""),IF((J142&lt;=$B$221)*((J143&gt;=$C$221)+(J143&lt;2/24)),1,0),0)</f>
        <v>0</v>
      </c>
    </row>
    <row r="146" spans="1:36" x14ac:dyDescent="0.2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  <c r="N146" s="6"/>
      <c r="O146" s="6"/>
      <c r="P146" s="6"/>
      <c r="Q146" s="6"/>
      <c r="R146" s="6"/>
      <c r="S146" s="6"/>
      <c r="T146" s="6"/>
      <c r="U146" s="6"/>
      <c r="V146" s="20"/>
      <c r="W146" s="20"/>
      <c r="X146" s="20"/>
      <c r="Y146" s="20"/>
      <c r="Z146" s="20"/>
      <c r="AA146" s="20"/>
      <c r="AB146" s="20"/>
      <c r="AD146" s="6">
        <f>IF((D142&lt;&gt;"")*(D146=""),IF((D142&lt;=$B$222)*((D143&gt;=$C$222)+(D143&lt;2/24)),1,0),0)</f>
        <v>0</v>
      </c>
      <c r="AE146" s="6">
        <f>IF((E142&lt;&gt;"")*(E146=""),IF((E142&lt;=$B$222)*((E143&gt;=$C$222)+(E143&lt;2/24)),1,0),0)</f>
        <v>1</v>
      </c>
      <c r="AF146" s="6">
        <f>IF((F142&lt;&gt;"")*(F146=""),IF((F142&lt;=$B$222)*((F143&gt;=$C$222)+(F143&lt;2/24)),1,0),0)</f>
        <v>0</v>
      </c>
      <c r="AG146" s="6">
        <f>IF((G142&lt;&gt;"")*(G146=""),IF((G142&lt;=$B$222)*((G143&gt;=$C$222)+(G143&lt;2/24)),1,0),0)</f>
        <v>0</v>
      </c>
      <c r="AH146" s="6">
        <f>IF((H142&lt;&gt;"")*(H146=""),IF((H142&lt;=$B$222)*((H143&gt;=$C$222)+(H143&lt;2/24)),1,0),0)</f>
        <v>0</v>
      </c>
      <c r="AI146" s="6">
        <f>IF((I142&lt;&gt;"")*(I146=""),IF((I142&lt;=$B$222)*((I143&gt;=$C$222)+(I143&lt;2/24)),1,0),0)</f>
        <v>0</v>
      </c>
      <c r="AJ146" s="6">
        <f>IF((J142&lt;&gt;"")*(J146=""),IF((J142&lt;=$B$222)*((J143&gt;=$C$222)+(J143&lt;2/24)),1,0),0)</f>
        <v>0</v>
      </c>
    </row>
    <row r="147" spans="1:36" ht="13.5" thickBot="1" x14ac:dyDescent="0.25">
      <c r="A147" s="41"/>
      <c r="B147" s="42"/>
      <c r="C147" s="35" t="s">
        <v>28</v>
      </c>
      <c r="D147" s="36"/>
      <c r="E147" s="36"/>
      <c r="F147" s="36" t="s">
        <v>162</v>
      </c>
      <c r="G147" s="36"/>
      <c r="H147" s="36"/>
      <c r="I147" s="36"/>
      <c r="J147" s="36"/>
      <c r="K147" s="34"/>
      <c r="L147" s="6"/>
      <c r="M147" s="25"/>
      <c r="N147" s="6"/>
      <c r="O147" s="6"/>
      <c r="P147" s="6"/>
      <c r="Q147" s="6"/>
      <c r="R147" s="6"/>
      <c r="S147" s="6"/>
      <c r="T147" s="6"/>
      <c r="U147" s="6"/>
      <c r="V147" s="20"/>
      <c r="W147" s="20"/>
      <c r="X147" s="20"/>
      <c r="Y147" s="20"/>
      <c r="Z147" s="20"/>
      <c r="AA147" s="20"/>
      <c r="AB147" s="20"/>
      <c r="AD147" s="6"/>
      <c r="AE147" s="6"/>
      <c r="AF147" s="6"/>
      <c r="AG147" s="6"/>
      <c r="AH147" s="6"/>
      <c r="AI147" s="6"/>
      <c r="AJ147" s="6"/>
    </row>
    <row r="148" spans="1:36" x14ac:dyDescent="0.2">
      <c r="A148" s="37" t="s">
        <v>126</v>
      </c>
      <c r="B148" s="38" t="s">
        <v>127</v>
      </c>
      <c r="C148" s="14" t="s">
        <v>0</v>
      </c>
      <c r="D148" s="26"/>
      <c r="E148" s="26"/>
      <c r="F148" s="26">
        <v>0.77083333333333337</v>
      </c>
      <c r="G148" s="26">
        <v>0.54166666666666663</v>
      </c>
      <c r="H148" s="26"/>
      <c r="I148" s="26"/>
      <c r="J148" s="26">
        <v>0.77083333333333337</v>
      </c>
      <c r="K148" s="16"/>
      <c r="L148" s="6"/>
      <c r="M148" s="21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D148" s="6">
        <f>IF((D148&lt;&gt;"")*(D152=""),IF((D148&lt;=#REF!)*((D149&gt;=#REF!)+(D149&lt;2/24)),1,0),0)</f>
        <v>0</v>
      </c>
      <c r="AE148" s="6">
        <f>IF((E148&lt;&gt;"")*(E152=""),IF((E148&lt;=#REF!)*((E149&gt;=#REF!)+(E149&lt;2/24)),1,0),0)</f>
        <v>0</v>
      </c>
      <c r="AF148" s="6" t="e">
        <f>IF((F148&lt;&gt;"")*(F152=""),IF((F148&lt;=#REF!)*((F149&gt;=#REF!)+(F149&lt;2/24)),1,0),0)</f>
        <v>#REF!</v>
      </c>
      <c r="AG148" s="6" t="e">
        <f>IF((G148&lt;&gt;"")*(G152=""),IF((G148&lt;=#REF!)*((G149&gt;=#REF!)+(G149&lt;2/24)),1,0),0)</f>
        <v>#REF!</v>
      </c>
      <c r="AH148" s="6">
        <f>IF((H148&lt;&gt;"")*(H152=""),IF((H148&lt;=#REF!)*((H149&gt;=#REF!)+(H149&lt;2/24)),1,0),0)</f>
        <v>0</v>
      </c>
      <c r="AI148" s="6">
        <f>IF((I148&lt;&gt;"")*(I152=""),IF((I148&lt;=#REF!)*((I149&gt;=#REF!)+(I149&lt;2/24)),1,0),0)</f>
        <v>0</v>
      </c>
      <c r="AJ148" s="6" t="e">
        <f>IF((J148&lt;&gt;"")*(J152=""),IF((J148&lt;=#REF!)*((J149&gt;=#REF!)+(J149&lt;2/24)),1,0),0)</f>
        <v>#REF!</v>
      </c>
    </row>
    <row r="149" spans="1:36" x14ac:dyDescent="0.2">
      <c r="A149" s="39"/>
      <c r="B149" s="40"/>
      <c r="C149" s="15" t="s">
        <v>1</v>
      </c>
      <c r="D149" s="27"/>
      <c r="E149" s="27"/>
      <c r="F149" s="27">
        <v>0.95833333333333337</v>
      </c>
      <c r="G149" s="27">
        <v>0.75</v>
      </c>
      <c r="H149" s="27"/>
      <c r="I149" s="27"/>
      <c r="J149" s="27">
        <v>0.95833333333333337</v>
      </c>
      <c r="K149" s="17"/>
      <c r="L149" s="6"/>
      <c r="M149" s="21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D149" s="6">
        <f>IF((D148&lt;&gt;"")*(D152=""),IF((D148&lt;=#REF!)*((D149&gt;=#REF!)+(D149&lt;2/24)),1,0),0)</f>
        <v>0</v>
      </c>
      <c r="AE149" s="6">
        <f>IF((E148&lt;&gt;"")*(E152=""),IF((E148&lt;=#REF!)*((E149&gt;=#REF!)+(E149&lt;2/24)),1,0),0)</f>
        <v>0</v>
      </c>
      <c r="AF149" s="6" t="e">
        <f>IF((F148&lt;&gt;"")*(F152=""),IF((F148&lt;=#REF!)*((F149&gt;=#REF!)+(F149&lt;2/24)),1,0),0)</f>
        <v>#REF!</v>
      </c>
      <c r="AG149" s="6" t="e">
        <f>IF((G148&lt;&gt;"")*(G152=""),IF((G148&lt;=#REF!)*((G149&gt;=#REF!)+(G149&lt;2/24)),1,0),0)</f>
        <v>#REF!</v>
      </c>
      <c r="AH149" s="6">
        <f>IF((H148&lt;&gt;"")*(H152=""),IF((H148&lt;=#REF!)*((H149&gt;=#REF!)+(H149&lt;2/24)),1,0),0)</f>
        <v>0</v>
      </c>
      <c r="AI149" s="6">
        <f>IF((I148&lt;&gt;"")*(I152=""),IF((I148&lt;=#REF!)*((I149&gt;=#REF!)+(I149&lt;2/24)),1,0),0)</f>
        <v>0</v>
      </c>
      <c r="AJ149" s="6" t="e">
        <f>IF((J148&lt;&gt;"")*(J152=""),IF((J148&lt;=#REF!)*((J149&gt;=#REF!)+(J149&lt;2/24)),1,0),0)</f>
        <v>#REF!</v>
      </c>
    </row>
    <row r="150" spans="1:36" x14ac:dyDescent="0.2">
      <c r="A150" s="39"/>
      <c r="B150" s="40"/>
      <c r="C150" s="15" t="s">
        <v>2</v>
      </c>
      <c r="D150" s="27"/>
      <c r="E150" s="27"/>
      <c r="F150" s="27"/>
      <c r="G150" s="27"/>
      <c r="H150" s="27"/>
      <c r="I150" s="27"/>
      <c r="J150" s="4"/>
      <c r="K150" s="17"/>
      <c r="L150" s="6"/>
      <c r="M150" s="21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D150" s="6">
        <f>IF((D148&lt;&gt;"")*(D152=""),IF((D148&lt;=#REF!)*((D149&gt;=#REF!)+(D149&lt;2/24)),1,0),0)</f>
        <v>0</v>
      </c>
      <c r="AE150" s="6">
        <f>IF((E148&lt;&gt;"")*(E152=""),IF((E148&lt;=#REF!)*((E149&gt;=#REF!)+(E149&lt;2/24)),1,0),0)</f>
        <v>0</v>
      </c>
      <c r="AF150" s="6" t="e">
        <f>IF((F148&lt;&gt;"")*(F152=""),IF((F148&lt;=#REF!)*((F149&gt;=#REF!)+(F149&lt;2/24)),1,0),0)</f>
        <v>#REF!</v>
      </c>
      <c r="AG150" s="6" t="e">
        <f>IF((G148&lt;&gt;"")*(G152=""),IF((G148&lt;=#REF!)*((G149&gt;=#REF!)+(G149&lt;2/24)),1,0),0)</f>
        <v>#REF!</v>
      </c>
      <c r="AH150" s="6">
        <f>IF((H148&lt;&gt;"")*(H152=""),IF((H148&lt;=#REF!)*((H149&gt;=#REF!)+(H149&lt;2/24)),1,0),0)</f>
        <v>0</v>
      </c>
      <c r="AI150" s="6">
        <f>IF((I148&lt;&gt;"")*(I152=""),IF((I148&lt;=#REF!)*((I149&gt;=#REF!)+(I149&lt;2/24)),1,0),0)</f>
        <v>0</v>
      </c>
      <c r="AJ150" s="6" t="e">
        <f>IF((J148&lt;&gt;"")*(J152=""),IF((J148&lt;=#REF!)*((J149&gt;=#REF!)+(J149&lt;2/24)),1,0),0)</f>
        <v>#REF!</v>
      </c>
    </row>
    <row r="151" spans="1:36" x14ac:dyDescent="0.2">
      <c r="A151" s="39"/>
      <c r="B151" s="40"/>
      <c r="C151" s="15" t="s">
        <v>3</v>
      </c>
      <c r="D151" s="57" t="str">
        <f t="shared" ref="D151:J151" si="97">IF(D148="","",IF(D149&gt;D148,(D149-D148-D150)*24,(1-D148-D150+D149)*24))</f>
        <v/>
      </c>
      <c r="E151" s="43" t="str">
        <f t="shared" si="97"/>
        <v/>
      </c>
      <c r="F151" s="43">
        <f t="shared" si="97"/>
        <v>4.5</v>
      </c>
      <c r="G151" s="43">
        <f t="shared" si="97"/>
        <v>5.0000000000000009</v>
      </c>
      <c r="H151" s="43" t="str">
        <f t="shared" si="97"/>
        <v/>
      </c>
      <c r="I151" s="57" t="str">
        <f t="shared" si="97"/>
        <v/>
      </c>
      <c r="J151" s="44">
        <f t="shared" si="97"/>
        <v>4.5</v>
      </c>
      <c r="K151" s="18">
        <f>SUMIF(D152:J152,"",D151:J151)</f>
        <v>14</v>
      </c>
      <c r="L151" s="12">
        <f>SUM(D151:J151)</f>
        <v>14</v>
      </c>
      <c r="M151" s="24"/>
      <c r="N151" s="10" t="str">
        <f t="shared" ref="N151:T151" si="98">IF(D152="",D151,0)</f>
        <v/>
      </c>
      <c r="O151" s="10" t="str">
        <f t="shared" si="98"/>
        <v/>
      </c>
      <c r="P151" s="10">
        <f t="shared" si="98"/>
        <v>4.5</v>
      </c>
      <c r="Q151" s="10">
        <f t="shared" si="98"/>
        <v>5.0000000000000009</v>
      </c>
      <c r="R151" s="10" t="str">
        <f t="shared" si="98"/>
        <v/>
      </c>
      <c r="S151" s="10" t="str">
        <f t="shared" si="98"/>
        <v/>
      </c>
      <c r="T151" s="10">
        <f t="shared" si="98"/>
        <v>4.5</v>
      </c>
      <c r="U151" s="10"/>
      <c r="V151" s="10" t="str">
        <f t="shared" ref="V151:AB151" si="99">D151</f>
        <v/>
      </c>
      <c r="W151" s="10" t="str">
        <f t="shared" si="99"/>
        <v/>
      </c>
      <c r="X151" s="10">
        <f t="shared" si="99"/>
        <v>4.5</v>
      </c>
      <c r="Y151" s="10">
        <f t="shared" si="99"/>
        <v>5.0000000000000009</v>
      </c>
      <c r="Z151" s="10" t="str">
        <f t="shared" si="99"/>
        <v/>
      </c>
      <c r="AA151" s="10" t="str">
        <f t="shared" si="99"/>
        <v/>
      </c>
      <c r="AB151" s="10">
        <f t="shared" si="99"/>
        <v>4.5</v>
      </c>
      <c r="AD151" s="6">
        <f>IF((D148&lt;&gt;"")*(D152=""),IF((D148&lt;=#REF!)*((D149&gt;=#REF!)+(D149&lt;2/24)),1,0),0)</f>
        <v>0</v>
      </c>
      <c r="AE151" s="6">
        <f>IF((E148&lt;&gt;"")*(E152=""),IF((E148&lt;=#REF!)*((E149&gt;=#REF!)+(E149&lt;2/24)),1,0),0)</f>
        <v>0</v>
      </c>
      <c r="AF151" s="6" t="e">
        <f>IF((F148&lt;&gt;"")*(F152=""),IF((F148&lt;=#REF!)*((F149&gt;=#REF!)+(F149&lt;2/24)),1,0),0)</f>
        <v>#REF!</v>
      </c>
      <c r="AG151" s="6" t="e">
        <f>IF((G148&lt;&gt;"")*(G152=""),IF((G148&lt;=#REF!)*((G149&gt;=#REF!)+(G149&lt;2/24)),1,0),0)</f>
        <v>#REF!</v>
      </c>
      <c r="AH151" s="6">
        <f>IF((H148&lt;&gt;"")*(H152=""),IF((H148&lt;=#REF!)*((H149&gt;=#REF!)+(H149&lt;2/24)),1,0),0)</f>
        <v>0</v>
      </c>
      <c r="AI151" s="6">
        <f>IF((I148&lt;&gt;"")*(I152=""),IF((I148&lt;=#REF!)*((I149&gt;=#REF!)+(I149&lt;2/24)),1,0),0)</f>
        <v>0</v>
      </c>
      <c r="AJ151" s="6" t="e">
        <f>IF((J148&lt;&gt;"")*(J152=""),IF((J148&lt;=#REF!)*((J149&gt;=#REF!)+(J149&lt;2/24)),1,0),0)</f>
        <v>#REF!</v>
      </c>
    </row>
    <row r="152" spans="1:36" x14ac:dyDescent="0.2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  <c r="N152" s="6"/>
      <c r="O152" s="6"/>
      <c r="P152" s="6"/>
      <c r="Q152" s="6"/>
      <c r="R152" s="6"/>
      <c r="S152" s="6"/>
      <c r="T152" s="6"/>
      <c r="U152" s="6"/>
      <c r="V152" s="20"/>
      <c r="W152" s="20"/>
      <c r="X152" s="20"/>
      <c r="Y152" s="20"/>
      <c r="Z152" s="20"/>
      <c r="AA152" s="20"/>
      <c r="AB152" s="20"/>
      <c r="AD152" s="6">
        <f>IF((D148&lt;&gt;"")*(D152=""),IF((D148&lt;=#REF!)*((D149&gt;=#REF!)+(D149&lt;2/24)),1,0),0)</f>
        <v>0</v>
      </c>
      <c r="AE152" s="6">
        <f>IF((E148&lt;&gt;"")*(E152=""),IF((E148&lt;=#REF!)*((E149&gt;=#REF!)+(E149&lt;2/24)),1,0),0)</f>
        <v>0</v>
      </c>
      <c r="AF152" s="6" t="e">
        <f>IF((F148&lt;&gt;"")*(F152=""),IF((F148&lt;=#REF!)*((F149&gt;=#REF!)+(F149&lt;2/24)),1,0),0)</f>
        <v>#REF!</v>
      </c>
      <c r="AG152" s="6" t="e">
        <f>IF((G148&lt;&gt;"")*(G152=""),IF((G148&lt;=#REF!)*((G149&gt;=#REF!)+(G149&lt;2/24)),1,0),0)</f>
        <v>#REF!</v>
      </c>
      <c r="AH152" s="6">
        <f>IF((H148&lt;&gt;"")*(H152=""),IF((H148&lt;=#REF!)*((H149&gt;=#REF!)+(H149&lt;2/24)),1,0),0)</f>
        <v>0</v>
      </c>
      <c r="AI152" s="6">
        <f>IF((I148&lt;&gt;"")*(I152=""),IF((I148&lt;=#REF!)*((I149&gt;=#REF!)+(I149&lt;2/24)),1,0),0)</f>
        <v>0</v>
      </c>
      <c r="AJ152" s="6" t="e">
        <f>IF((J148&lt;&gt;"")*(J152=""),IF((J148&lt;=#REF!)*((J149&gt;=#REF!)+(J149&lt;2/24)),1,0),0)</f>
        <v>#REF!</v>
      </c>
    </row>
    <row r="153" spans="1:36" ht="13.5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  <c r="N153" s="6"/>
      <c r="O153" s="6"/>
      <c r="P153" s="6"/>
      <c r="Q153" s="6"/>
      <c r="R153" s="6"/>
      <c r="S153" s="6"/>
      <c r="T153" s="6"/>
      <c r="U153" s="6"/>
      <c r="V153" s="20"/>
      <c r="W153" s="20"/>
      <c r="X153" s="20"/>
      <c r="Y153" s="20"/>
      <c r="Z153" s="20"/>
      <c r="AA153" s="20"/>
      <c r="AB153" s="20"/>
      <c r="AD153" s="6"/>
      <c r="AE153" s="6"/>
      <c r="AF153" s="6"/>
      <c r="AG153" s="6"/>
      <c r="AH153" s="6"/>
      <c r="AI153" s="6"/>
      <c r="AJ153" s="6"/>
    </row>
    <row r="154" spans="1:36" x14ac:dyDescent="0.2">
      <c r="A154" s="37" t="s">
        <v>86</v>
      </c>
      <c r="B154" s="38" t="s">
        <v>87</v>
      </c>
      <c r="C154" s="14" t="s">
        <v>0</v>
      </c>
      <c r="D154" s="26">
        <v>0.54166666666666663</v>
      </c>
      <c r="E154" s="26"/>
      <c r="F154" s="26"/>
      <c r="G154" s="26">
        <v>0.77083333333333337</v>
      </c>
      <c r="H154" s="26"/>
      <c r="I154" s="26">
        <v>0.77083333333333337</v>
      </c>
      <c r="J154" s="26"/>
      <c r="K154" s="16"/>
      <c r="L154" s="6"/>
      <c r="M154" s="21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D154" s="6">
        <f>IF((D154&lt;&gt;"")*(D158=""),IF((D154&lt;=$B$218)*((D155&gt;=$C$218)+(D155&lt;2/24)),1,0),0)</f>
        <v>0</v>
      </c>
      <c r="AE154" s="6">
        <f>IF((E154&lt;&gt;"")*(E158=""),IF((E154&lt;=$B$218)*((E155&gt;=$C$218)+(E155&lt;2/24)),1,0),0)</f>
        <v>0</v>
      </c>
      <c r="AF154" s="6">
        <f>IF((F154&lt;&gt;"")*(F158=""),IF((F154&lt;=$B$218)*((F155&gt;=$C$218)+(F155&lt;2/24)),1,0),0)</f>
        <v>0</v>
      </c>
      <c r="AG154" s="6">
        <f>IF((G154&lt;&gt;"")*(G158=""),IF((G154&lt;=$B$218)*((G155&gt;=$C$218)+(G155&lt;2/24)),1,0),0)</f>
        <v>0</v>
      </c>
      <c r="AH154" s="6">
        <f>IF((H154&lt;&gt;"")*(H158=""),IF((H154&lt;=$B$218)*((H155&gt;=$C$218)+(H155&lt;2/24)),1,0),0)</f>
        <v>0</v>
      </c>
      <c r="AI154" s="6">
        <f>IF((I154&lt;&gt;"")*(I158=""),IF((I154&lt;=$B$218)*((I155&gt;=$C$218)+(I155&lt;2/24)),1,0),0)</f>
        <v>0</v>
      </c>
      <c r="AJ154" s="6">
        <f>IF((J154&lt;&gt;"")*(J158=""),IF((J154&lt;=$B$218)*((J155&gt;=$C$218)+(J155&lt;2/24)),1,0),0)</f>
        <v>0</v>
      </c>
    </row>
    <row r="155" spans="1:36" x14ac:dyDescent="0.2">
      <c r="A155" s="39"/>
      <c r="B155" s="40"/>
      <c r="C155" s="15" t="s">
        <v>1</v>
      </c>
      <c r="D155" s="27">
        <v>0.75</v>
      </c>
      <c r="E155" s="27"/>
      <c r="F155" s="27"/>
      <c r="G155" s="27">
        <v>0.95833333333333337</v>
      </c>
      <c r="H155" s="27"/>
      <c r="I155" s="27">
        <v>0.95833333333333337</v>
      </c>
      <c r="J155" s="27"/>
      <c r="K155" s="17"/>
      <c r="L155" s="6"/>
      <c r="M155" s="21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D155" s="6">
        <f>IF((D154&lt;&gt;"")*(D158=""),IF((D154&lt;=$B$219)*((D155&gt;=$C$219)+(D155&lt;2/24)),1,0),0)</f>
        <v>1</v>
      </c>
      <c r="AE155" s="6">
        <f>IF((E154&lt;&gt;"")*(E158=""),IF((E154&lt;=$B$219)*((E155&gt;=$C$219)+(E155&lt;2/24)),1,0),0)</f>
        <v>0</v>
      </c>
      <c r="AF155" s="6">
        <f>IF((F154&lt;&gt;"")*(F158=""),IF((F154&lt;=$B$219)*((F155&gt;=$C$219)+(F155&lt;2/24)),1,0),0)</f>
        <v>0</v>
      </c>
      <c r="AG155" s="6">
        <f>IF((G154&lt;&gt;"")*(G158=""),IF((G154&lt;=$B$219)*((G155&gt;=$C$219)+(G155&lt;2/24)),1,0),0)</f>
        <v>0</v>
      </c>
      <c r="AH155" s="6">
        <f>IF((H154&lt;&gt;"")*(H158=""),IF((H154&lt;=$B$219)*((H155&gt;=$C$219)+(H155&lt;2/24)),1,0),0)</f>
        <v>0</v>
      </c>
      <c r="AI155" s="6">
        <f>IF((I154&lt;&gt;"")*(I158=""),IF((I154&lt;=$B$219)*((I155&gt;=$C$219)+(I155&lt;2/24)),1,0),0)</f>
        <v>0</v>
      </c>
      <c r="AJ155" s="6">
        <f>IF((J154&lt;&gt;"")*(J158=""),IF((J154&lt;=$B$219)*((J155&gt;=$C$219)+(J155&lt;2/24)),1,0),0)</f>
        <v>0</v>
      </c>
    </row>
    <row r="156" spans="1:36" x14ac:dyDescent="0.2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  <c r="L156" s="6"/>
      <c r="M156" s="21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D156" s="6">
        <f>IF((D154&lt;&gt;"")*(D158=""),IF((D154&lt;=$B$220)*((D155&gt;=$C$220)+(D155&lt;2/24)),1,0),0)</f>
        <v>1</v>
      </c>
      <c r="AE156" s="6">
        <f>IF((E154&lt;&gt;"")*(E158=""),IF((E154&lt;=$B$220)*((E155&gt;=$C$220)+(E155&lt;2/24)),1,0),0)</f>
        <v>0</v>
      </c>
      <c r="AF156" s="6">
        <f>IF((F154&lt;&gt;"")*(F158=""),IF((F154&lt;=$B$220)*((F155&gt;=$C$220)+(F155&lt;2/24)),1,0),0)</f>
        <v>0</v>
      </c>
      <c r="AG156" s="6">
        <f>IF((G154&lt;&gt;"")*(G158=""),IF((G154&lt;=$B$220)*((G155&gt;=$C$220)+(G155&lt;2/24)),1,0),0)</f>
        <v>0</v>
      </c>
      <c r="AH156" s="6">
        <f>IF((H154&lt;&gt;"")*(H158=""),IF((H154&lt;=$B$220)*((H155&gt;=$C$220)+(H155&lt;2/24)),1,0),0)</f>
        <v>0</v>
      </c>
      <c r="AI156" s="6">
        <f>IF((I154&lt;&gt;"")*(I158=""),IF((I154&lt;=$B$220)*((I155&gt;=$C$220)+(I155&lt;2/24)),1,0),0)</f>
        <v>0</v>
      </c>
      <c r="AJ156" s="6">
        <f>IF((J154&lt;&gt;"")*(J158=""),IF((J154&lt;=$B$220)*((J155&gt;=$C$220)+(J155&lt;2/24)),1,0),0)</f>
        <v>0</v>
      </c>
    </row>
    <row r="157" spans="1:36" x14ac:dyDescent="0.2">
      <c r="A157" s="39"/>
      <c r="B157" s="40"/>
      <c r="C157" s="15" t="s">
        <v>3</v>
      </c>
      <c r="D157" s="43">
        <f t="shared" ref="D157:J157" si="100">IF(D154="","",IF(D155&gt;D154,(D155-D154-D156)*24,(1-D154-D156+D155)*24))</f>
        <v>5.0000000000000009</v>
      </c>
      <c r="E157" s="43" t="str">
        <f t="shared" si="100"/>
        <v/>
      </c>
      <c r="F157" s="43" t="str">
        <f t="shared" si="100"/>
        <v/>
      </c>
      <c r="G157" s="43">
        <f t="shared" si="100"/>
        <v>4.5</v>
      </c>
      <c r="H157" s="43" t="str">
        <f t="shared" si="100"/>
        <v/>
      </c>
      <c r="I157" s="43">
        <f t="shared" si="100"/>
        <v>4.5</v>
      </c>
      <c r="J157" s="44" t="str">
        <f t="shared" si="100"/>
        <v/>
      </c>
      <c r="K157" s="18">
        <f>SUMIF(D158:J158,"",D157:J157)</f>
        <v>14</v>
      </c>
      <c r="L157" s="12">
        <f>SUM(D157:J157)</f>
        <v>14</v>
      </c>
      <c r="M157" s="24"/>
      <c r="N157" s="10">
        <f t="shared" ref="N157:T157" si="101">IF(D158="",D157,0)</f>
        <v>5.0000000000000009</v>
      </c>
      <c r="O157" s="10" t="str">
        <f t="shared" si="101"/>
        <v/>
      </c>
      <c r="P157" s="10" t="str">
        <f t="shared" si="101"/>
        <v/>
      </c>
      <c r="Q157" s="10">
        <f t="shared" si="101"/>
        <v>4.5</v>
      </c>
      <c r="R157" s="10" t="str">
        <f t="shared" si="101"/>
        <v/>
      </c>
      <c r="S157" s="10">
        <f t="shared" si="101"/>
        <v>4.5</v>
      </c>
      <c r="T157" s="10" t="str">
        <f t="shared" si="101"/>
        <v/>
      </c>
      <c r="U157" s="10"/>
      <c r="V157" s="10">
        <f t="shared" ref="V157:AB157" si="102">D157</f>
        <v>5.0000000000000009</v>
      </c>
      <c r="W157" s="10" t="str">
        <f t="shared" si="102"/>
        <v/>
      </c>
      <c r="X157" s="10" t="str">
        <f t="shared" si="102"/>
        <v/>
      </c>
      <c r="Y157" s="10">
        <f t="shared" si="102"/>
        <v>4.5</v>
      </c>
      <c r="Z157" s="10" t="str">
        <f t="shared" si="102"/>
        <v/>
      </c>
      <c r="AA157" s="10">
        <f t="shared" si="102"/>
        <v>4.5</v>
      </c>
      <c r="AB157" s="10" t="str">
        <f t="shared" si="102"/>
        <v/>
      </c>
      <c r="AD157" s="6">
        <f>IF((D154&lt;&gt;"")*(D158=""),IF((D154&lt;=$B$221)*((D155&gt;=$C$221)+(D155&lt;2/24)),1,0),0)</f>
        <v>0</v>
      </c>
      <c r="AE157" s="6">
        <f>IF((E154&lt;&gt;"")*(E158=""),IF((E154&lt;=$B$221)*((E155&gt;=$C$221)+(E155&lt;2/24)),1,0),0)</f>
        <v>0</v>
      </c>
      <c r="AF157" s="6">
        <f>IF((F154&lt;&gt;"")*(F158=""),IF((F154&lt;=$B$221)*((F155&gt;=$C$221)+(F155&lt;2/24)),1,0),0)</f>
        <v>0</v>
      </c>
      <c r="AG157" s="6">
        <f>IF((G154&lt;&gt;"")*(G158=""),IF((G154&lt;=$B$221)*((G155&gt;=$C$221)+(G155&lt;2/24)),1,0),0)</f>
        <v>1</v>
      </c>
      <c r="AH157" s="6">
        <f>IF((H154&lt;&gt;"")*(H158=""),IF((H154&lt;=$B$221)*((H155&gt;=$C$221)+(H155&lt;2/24)),1,0),0)</f>
        <v>0</v>
      </c>
      <c r="AI157" s="6">
        <f>IF((I154&lt;&gt;"")*(I158=""),IF((I154&lt;=$B$221)*((I155&gt;=$C$221)+(I155&lt;2/24)),1,0),0)</f>
        <v>1</v>
      </c>
      <c r="AJ157" s="6">
        <f>IF((J154&lt;&gt;"")*(J158=""),IF((J154&lt;=$B$221)*((J155&gt;=$C$221)+(J155&lt;2/24)),1,0),0)</f>
        <v>0</v>
      </c>
    </row>
    <row r="158" spans="1:36" x14ac:dyDescent="0.2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  <c r="N158" s="6"/>
      <c r="O158" s="6"/>
      <c r="P158" s="6"/>
      <c r="Q158" s="6"/>
      <c r="R158" s="6"/>
      <c r="S158" s="6"/>
      <c r="T158" s="6"/>
      <c r="U158" s="6"/>
      <c r="V158" s="20"/>
      <c r="W158" s="20"/>
      <c r="X158" s="20"/>
      <c r="Y158" s="20"/>
      <c r="Z158" s="20"/>
      <c r="AA158" s="20"/>
      <c r="AB158" s="20"/>
      <c r="AD158" s="6">
        <f>IF((D154&lt;&gt;"")*(D158=""),IF((D154&lt;=$B$222)*((D155&gt;=$C$222)+(D155&lt;2/24)),1,0),0)</f>
        <v>0</v>
      </c>
      <c r="AE158" s="6">
        <f>IF((E154&lt;&gt;"")*(E158=""),IF((E154&lt;=$B$222)*((E155&gt;=$C$222)+(E155&lt;2/24)),1,0),0)</f>
        <v>0</v>
      </c>
      <c r="AF158" s="6">
        <f>IF((F154&lt;&gt;"")*(F158=""),IF((F154&lt;=$B$222)*((F155&gt;=$C$222)+(F155&lt;2/24)),1,0),0)</f>
        <v>0</v>
      </c>
      <c r="AG158" s="6">
        <f>IF((G154&lt;&gt;"")*(G158=""),IF((G154&lt;=$B$222)*((G155&gt;=$C$222)+(G155&lt;2/24)),1,0),0)</f>
        <v>1</v>
      </c>
      <c r="AH158" s="6">
        <f>IF((H154&lt;&gt;"")*(H158=""),IF((H154&lt;=$B$222)*((H155&gt;=$C$222)+(H155&lt;2/24)),1,0),0)</f>
        <v>0</v>
      </c>
      <c r="AI158" s="6">
        <f>IF((I154&lt;&gt;"")*(I158=""),IF((I154&lt;=$B$222)*((I155&gt;=$C$222)+(I155&lt;2/24)),1,0),0)</f>
        <v>1</v>
      </c>
      <c r="AJ158" s="6">
        <f>IF((J154&lt;&gt;"")*(J158=""),IF((J154&lt;=$B$222)*((J155&gt;=$C$222)+(J155&lt;2/24)),1,0),0)</f>
        <v>0</v>
      </c>
    </row>
    <row r="159" spans="1:36" ht="13.5" thickBot="1" x14ac:dyDescent="0.25">
      <c r="A159" s="41"/>
      <c r="B159" s="42"/>
      <c r="C159" s="35" t="s">
        <v>28</v>
      </c>
      <c r="D159" s="54"/>
      <c r="E159" s="54"/>
      <c r="F159" s="36"/>
      <c r="G159" s="36" t="s">
        <v>160</v>
      </c>
      <c r="H159" s="36"/>
      <c r="I159" s="36"/>
      <c r="J159" s="36"/>
      <c r="K159" s="34"/>
      <c r="L159" s="6"/>
      <c r="M159" s="25"/>
      <c r="N159" s="6"/>
      <c r="O159" s="6"/>
      <c r="P159" s="6"/>
      <c r="Q159" s="6"/>
      <c r="R159" s="6"/>
      <c r="S159" s="6"/>
      <c r="T159" s="6"/>
      <c r="U159" s="6"/>
      <c r="V159" s="20"/>
      <c r="W159" s="20"/>
      <c r="X159" s="20"/>
      <c r="Y159" s="20"/>
      <c r="Z159" s="20"/>
      <c r="AA159" s="20"/>
      <c r="AB159" s="20"/>
      <c r="AD159" s="6"/>
      <c r="AE159" s="6"/>
      <c r="AF159" s="6"/>
      <c r="AG159" s="6"/>
      <c r="AH159" s="6"/>
      <c r="AI159" s="6"/>
      <c r="AJ159" s="6"/>
    </row>
    <row r="160" spans="1:36" x14ac:dyDescent="0.2">
      <c r="A160" s="37" t="s">
        <v>110</v>
      </c>
      <c r="B160" s="38" t="s">
        <v>111</v>
      </c>
      <c r="C160" s="14" t="s">
        <v>0</v>
      </c>
      <c r="D160" s="26"/>
      <c r="E160" s="26"/>
      <c r="F160" s="26">
        <v>0.77083333333333337</v>
      </c>
      <c r="G160" s="26">
        <v>0.77083333333333337</v>
      </c>
      <c r="H160" s="26"/>
      <c r="I160" s="26"/>
      <c r="J160" s="26">
        <v>0.77083333333333337</v>
      </c>
      <c r="K160" s="16"/>
      <c r="L160" s="6"/>
      <c r="M160" s="21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D160" s="6">
        <f>IF((D160&lt;&gt;"")*(D164=""),IF((D160&lt;=$B$224)*((D161&gt;=$C$224)+(D161&lt;2/24)),1,0),0)</f>
        <v>0</v>
      </c>
      <c r="AE160" s="6">
        <f>IF((E160&lt;&gt;"")*(E164=""),IF((E160&lt;=$B$224)*((E161&gt;=$C$224)+(E161&lt;2/24)),1,0),0)</f>
        <v>0</v>
      </c>
      <c r="AF160" s="6">
        <f>IF((F160&lt;&gt;"")*(F164=""),IF((F160&lt;=$B$224)*((F161&gt;=$C$224)+(F161&lt;2/24)),1,0),0)</f>
        <v>0</v>
      </c>
      <c r="AG160" s="6">
        <f>IF((G160&lt;&gt;"")*(G164=""),IF((G160&lt;=$B$224)*((G161&gt;=$C$224)+(G161&lt;2/24)),1,0),0)</f>
        <v>0</v>
      </c>
      <c r="AH160" s="6">
        <f>IF((H160&lt;&gt;"")*(H164=""),IF((H160&lt;=$B$224)*((H161&gt;=$C$224)+(H161&lt;2/24)),1,0),0)</f>
        <v>0</v>
      </c>
      <c r="AI160" s="6">
        <f>IF((I160&lt;&gt;"")*(I164=""),IF((I160&lt;=$B$224)*((I161&gt;=$C$224)+(I161&lt;2/24)),1,0),0)</f>
        <v>0</v>
      </c>
      <c r="AJ160" s="6">
        <f>IF((J160&lt;&gt;"")*(J164=""),IF((J160&lt;=$B$224)*((J161&gt;=$C$224)+(J161&lt;2/24)),1,0),0)</f>
        <v>0</v>
      </c>
    </row>
    <row r="161" spans="1:36" x14ac:dyDescent="0.2">
      <c r="A161" s="39"/>
      <c r="B161" s="40"/>
      <c r="C161" s="15" t="s">
        <v>1</v>
      </c>
      <c r="D161" s="27"/>
      <c r="E161" s="27"/>
      <c r="F161" s="27">
        <v>0.95833333333333337</v>
      </c>
      <c r="G161" s="27">
        <v>0.95833333333333337</v>
      </c>
      <c r="H161" s="27"/>
      <c r="I161" s="27"/>
      <c r="J161" s="27">
        <v>0.95833333333333337</v>
      </c>
      <c r="K161" s="17"/>
      <c r="L161" s="6"/>
      <c r="M161" s="21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D161" s="6">
        <f>IF((D160&lt;&gt;"")*(D164=""),IF((D160&lt;=$B$225)*((D161&gt;=$C$225)+(D161&lt;2/24)),1,0),0)</f>
        <v>0</v>
      </c>
      <c r="AE161" s="6">
        <f>IF((E160&lt;&gt;"")*(E164=""),IF((E160&lt;=$B$225)*((E161&gt;=$C$225)+(E161&lt;2/24)),1,0),0)</f>
        <v>0</v>
      </c>
      <c r="AF161" s="6">
        <f>IF((F160&lt;&gt;"")*(F164=""),IF((F160&lt;=$B$225)*((F161&gt;=$C$225)+(F161&lt;2/24)),1,0),0)</f>
        <v>0</v>
      </c>
      <c r="AG161" s="6">
        <f>IF((G160&lt;&gt;"")*(G164=""),IF((G160&lt;=$B$225)*((G161&gt;=$C$225)+(G161&lt;2/24)),1,0),0)</f>
        <v>0</v>
      </c>
      <c r="AH161" s="6">
        <f>IF((H160&lt;&gt;"")*(H164=""),IF((H160&lt;=$B$225)*((H161&gt;=$C$225)+(H161&lt;2/24)),1,0),0)</f>
        <v>0</v>
      </c>
      <c r="AI161" s="6">
        <f>IF((I160&lt;&gt;"")*(I164=""),IF((I160&lt;=$B$225)*((I161&gt;=$C$225)+(I161&lt;2/24)),1,0),0)</f>
        <v>0</v>
      </c>
      <c r="AJ161" s="6">
        <f>IF((J160&lt;&gt;"")*(J164=""),IF((J160&lt;=$B$225)*((J161&gt;=$C$225)+(J161&lt;2/24)),1,0),0)</f>
        <v>0</v>
      </c>
    </row>
    <row r="162" spans="1:36" x14ac:dyDescent="0.2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  <c r="L162" s="6"/>
      <c r="M162" s="21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D162" s="6">
        <f>IF((D160&lt;&gt;"")*(D164=""),IF((D160&lt;=$B$226)*((D161&gt;=$C$226)+(D161&lt;2/24)),1,0),0)</f>
        <v>0</v>
      </c>
      <c r="AE162" s="6">
        <f>IF((E160&lt;&gt;"")*(E164=""),IF((E160&lt;=$B$226)*((E161&gt;=$C$226)+(E161&lt;2/24)),1,0),0)</f>
        <v>0</v>
      </c>
      <c r="AF162" s="6">
        <f>IF((F160&lt;&gt;"")*(F164=""),IF((F160&lt;=$B$226)*((F161&gt;=$C$226)+(F161&lt;2/24)),1,0),0)</f>
        <v>0</v>
      </c>
      <c r="AG162" s="6">
        <f>IF((G160&lt;&gt;"")*(G164=""),IF((G160&lt;=$B$226)*((G161&gt;=$C$226)+(G161&lt;2/24)),1,0),0)</f>
        <v>0</v>
      </c>
      <c r="AH162" s="6">
        <f>IF((H160&lt;&gt;"")*(H164=""),IF((H160&lt;=$B$226)*((H161&gt;=$C$226)+(H161&lt;2/24)),1,0),0)</f>
        <v>0</v>
      </c>
      <c r="AI162" s="6">
        <f>IF((I160&lt;&gt;"")*(I164=""),IF((I160&lt;=$B$226)*((I161&gt;=$C$226)+(I161&lt;2/24)),1,0),0)</f>
        <v>0</v>
      </c>
      <c r="AJ162" s="6">
        <f>IF((J160&lt;&gt;"")*(J164=""),IF((J160&lt;=$B$226)*((J161&gt;=$C$226)+(J161&lt;2/24)),1,0),0)</f>
        <v>0</v>
      </c>
    </row>
    <row r="163" spans="1:36" x14ac:dyDescent="0.2">
      <c r="A163" s="39"/>
      <c r="B163" s="40"/>
      <c r="C163" s="15" t="s">
        <v>3</v>
      </c>
      <c r="D163" s="43" t="str">
        <f t="shared" ref="D163:J163" si="103">IF(D160="","",IF(D161&gt;D160,(D161-D160-D162)*24,(1-D160-D162+D161)*24))</f>
        <v/>
      </c>
      <c r="E163" s="43" t="str">
        <f t="shared" si="103"/>
        <v/>
      </c>
      <c r="F163" s="43">
        <f t="shared" si="103"/>
        <v>4.5</v>
      </c>
      <c r="G163" s="43">
        <f t="shared" si="103"/>
        <v>4.5</v>
      </c>
      <c r="H163" s="43" t="str">
        <f t="shared" si="103"/>
        <v/>
      </c>
      <c r="I163" s="43" t="str">
        <f t="shared" si="103"/>
        <v/>
      </c>
      <c r="J163" s="44">
        <f t="shared" si="103"/>
        <v>4.5</v>
      </c>
      <c r="K163" s="18">
        <f>SUMIF(D164:J164,"",D163:J163)</f>
        <v>13.5</v>
      </c>
      <c r="L163" s="12">
        <f>SUM(D163:J163)</f>
        <v>13.5</v>
      </c>
      <c r="M163" s="24"/>
      <c r="N163" s="10" t="str">
        <f t="shared" ref="N163:T163" si="104">IF(D164="",D163,0)</f>
        <v/>
      </c>
      <c r="O163" s="10" t="str">
        <f t="shared" si="104"/>
        <v/>
      </c>
      <c r="P163" s="10">
        <f t="shared" si="104"/>
        <v>4.5</v>
      </c>
      <c r="Q163" s="10">
        <f t="shared" si="104"/>
        <v>4.5</v>
      </c>
      <c r="R163" s="10" t="str">
        <f t="shared" si="104"/>
        <v/>
      </c>
      <c r="S163" s="10" t="str">
        <f t="shared" si="104"/>
        <v/>
      </c>
      <c r="T163" s="10">
        <f t="shared" si="104"/>
        <v>4.5</v>
      </c>
      <c r="U163" s="10"/>
      <c r="V163" s="10" t="str">
        <f t="shared" ref="V163:AB163" si="105">D163</f>
        <v/>
      </c>
      <c r="W163" s="10" t="str">
        <f t="shared" si="105"/>
        <v/>
      </c>
      <c r="X163" s="10">
        <f t="shared" si="105"/>
        <v>4.5</v>
      </c>
      <c r="Y163" s="10">
        <f t="shared" si="105"/>
        <v>4.5</v>
      </c>
      <c r="Z163" s="10" t="str">
        <f t="shared" si="105"/>
        <v/>
      </c>
      <c r="AA163" s="10" t="str">
        <f t="shared" si="105"/>
        <v/>
      </c>
      <c r="AB163" s="10">
        <f t="shared" si="105"/>
        <v>4.5</v>
      </c>
      <c r="AD163" s="6">
        <f>IF((D160&lt;&gt;"")*(D164=""),IF((D160&lt;=$B$227)*((D161&gt;=$C$227)+(D161&lt;2/24)),1,0),0)</f>
        <v>0</v>
      </c>
      <c r="AE163" s="6">
        <f>IF((E160&lt;&gt;"")*(E164=""),IF((E160&lt;=$B$227)*((E161&gt;=$C$227)+(E161&lt;2/24)),1,0),0)</f>
        <v>0</v>
      </c>
      <c r="AF163" s="6">
        <f>IF((F160&lt;&gt;"")*(F164=""),IF((F160&lt;=$B$227)*((F161&gt;=$C$227)+(F161&lt;2/24)),1,0),0)</f>
        <v>0</v>
      </c>
      <c r="AG163" s="6">
        <f>IF((G160&lt;&gt;"")*(G164=""),IF((G160&lt;=$B$227)*((G161&gt;=$C$227)+(G161&lt;2/24)),1,0),0)</f>
        <v>0</v>
      </c>
      <c r="AH163" s="6">
        <f>IF((H160&lt;&gt;"")*(H164=""),IF((H160&lt;=$B$227)*((H161&gt;=$C$227)+(H161&lt;2/24)),1,0),0)</f>
        <v>0</v>
      </c>
      <c r="AI163" s="6">
        <f>IF((I160&lt;&gt;"")*(I164=""),IF((I160&lt;=$B$227)*((I161&gt;=$C$227)+(I161&lt;2/24)),1,0),0)</f>
        <v>0</v>
      </c>
      <c r="AJ163" s="6">
        <f>IF((J160&lt;&gt;"")*(J164=""),IF((J160&lt;=$B$227)*((J161&gt;=$C$227)+(J161&lt;2/24)),1,0),0)</f>
        <v>0</v>
      </c>
    </row>
    <row r="164" spans="1:36" x14ac:dyDescent="0.2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  <c r="N164" s="6"/>
      <c r="O164" s="6"/>
      <c r="P164" s="6"/>
      <c r="Q164" s="6"/>
      <c r="R164" s="6"/>
      <c r="S164" s="6"/>
      <c r="T164" s="6"/>
      <c r="U164" s="6"/>
      <c r="V164" s="20"/>
      <c r="W164" s="20"/>
      <c r="X164" s="20"/>
      <c r="Y164" s="20"/>
      <c r="Z164" s="20"/>
      <c r="AA164" s="20"/>
      <c r="AB164" s="20"/>
      <c r="AD164" s="6">
        <f>IF((D160&lt;&gt;"")*(D164=""),IF((D160&lt;=$B$228)*((D161&gt;=$C$228)+(D161&lt;2/24)),1,0),0)</f>
        <v>0</v>
      </c>
      <c r="AE164" s="6">
        <f>IF((E160&lt;&gt;"")*(E164=""),IF((E160&lt;=$B$228)*((E161&gt;=$C$228)+(E161&lt;2/24)),1,0),0)</f>
        <v>0</v>
      </c>
      <c r="AF164" s="6">
        <f>IF((F160&lt;&gt;"")*(F164=""),IF((F160&lt;=$B$228)*((F161&gt;=$C$228)+(F161&lt;2/24)),1,0),0)</f>
        <v>0</v>
      </c>
      <c r="AG164" s="6">
        <f>IF((G160&lt;&gt;"")*(G164=""),IF((G160&lt;=$B$228)*((G161&gt;=$C$228)+(G161&lt;2/24)),1,0),0)</f>
        <v>0</v>
      </c>
      <c r="AH164" s="6">
        <f>IF((H160&lt;&gt;"")*(H164=""),IF((H160&lt;=$B$228)*((H161&gt;=$C$228)+(H161&lt;2/24)),1,0),0)</f>
        <v>0</v>
      </c>
      <c r="AI164" s="6">
        <f>IF((I160&lt;&gt;"")*(I164=""),IF((I160&lt;=$B$228)*((I161&gt;=$C$228)+(I161&lt;2/24)),1,0),0)</f>
        <v>0</v>
      </c>
      <c r="AJ164" s="6">
        <f>IF((J160&lt;&gt;"")*(J164=""),IF((J160&lt;=$B$228)*((J161&gt;=$C$228)+(J161&lt;2/24)),1,0),0)</f>
        <v>0</v>
      </c>
    </row>
    <row r="165" spans="1:36" ht="13.5" thickBot="1" x14ac:dyDescent="0.25">
      <c r="A165" s="41"/>
      <c r="B165" s="42"/>
      <c r="C165" s="35" t="s">
        <v>28</v>
      </c>
      <c r="D165" s="54"/>
      <c r="E165" s="54"/>
      <c r="F165" s="36"/>
      <c r="G165" s="36"/>
      <c r="H165" s="36"/>
      <c r="I165" s="36"/>
      <c r="J165" s="36"/>
      <c r="K165" s="34"/>
      <c r="L165" s="6"/>
      <c r="M165" s="25"/>
      <c r="N165" s="6"/>
      <c r="O165" s="6"/>
      <c r="P165" s="6"/>
      <c r="Q165" s="6"/>
      <c r="R165" s="6"/>
      <c r="S165" s="6"/>
      <c r="T165" s="6"/>
      <c r="U165" s="6"/>
      <c r="V165" s="20"/>
      <c r="W165" s="20"/>
      <c r="X165" s="20"/>
      <c r="Y165" s="20"/>
      <c r="Z165" s="20"/>
      <c r="AA165" s="20"/>
      <c r="AB165" s="20"/>
      <c r="AD165" s="6"/>
      <c r="AE165" s="6"/>
      <c r="AF165" s="6"/>
      <c r="AG165" s="6"/>
      <c r="AH165" s="6"/>
      <c r="AI165" s="6"/>
      <c r="AJ165" s="6"/>
    </row>
    <row r="166" spans="1:36" x14ac:dyDescent="0.2">
      <c r="A166" s="37" t="s">
        <v>133</v>
      </c>
      <c r="B166" s="38" t="s">
        <v>134</v>
      </c>
      <c r="C166" s="14" t="s">
        <v>0</v>
      </c>
      <c r="D166" s="26"/>
      <c r="E166" s="26">
        <v>0.54166666666666663</v>
      </c>
      <c r="F166" s="26"/>
      <c r="G166" s="26">
        <v>0.77083333333333337</v>
      </c>
      <c r="H166" s="26"/>
      <c r="I166" s="26"/>
      <c r="J166" s="26"/>
      <c r="K166" s="16"/>
      <c r="L166" s="6"/>
      <c r="M166" s="21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D166" s="6">
        <f>IF((D166&lt;&gt;"")*(D170=""),IF((D166&lt;=$B$440)*((D167&gt;=$C$440)+(D167&lt;2/24)),1,0),0)</f>
        <v>0</v>
      </c>
      <c r="AE166" s="6">
        <f>IF((E166&lt;&gt;"")*(E170=""),IF((E166&lt;=$B$440)*((E167&gt;=$C$440)+(E167&lt;2/24)),1,0),0)</f>
        <v>0</v>
      </c>
      <c r="AF166" s="6">
        <f>IF((F166&lt;&gt;"")*(F170=""),IF((F166&lt;=$B$440)*((F167&gt;=$C$440)+(F167&lt;2/24)),1,0),0)</f>
        <v>0</v>
      </c>
      <c r="AG166" s="6">
        <f>IF((G166&lt;&gt;"")*(G170=""),IF((G166&lt;=$B$440)*((G167&gt;=$C$440)+(G167&lt;2/24)),1,0),0)</f>
        <v>0</v>
      </c>
      <c r="AH166" s="6">
        <f>IF((H166&lt;&gt;"")*(H170=""),IF((H166&lt;=$B$440)*((H167&gt;=$C$440)+(H167&lt;2/24)),1,0),0)</f>
        <v>0</v>
      </c>
      <c r="AI166" s="6">
        <f>IF((I166&lt;&gt;"")*(I170=""),IF((I166&lt;=$B$440)*((I167&gt;=$C$440)+(I167&lt;2/24)),1,0),0)</f>
        <v>0</v>
      </c>
      <c r="AJ166" s="6">
        <f>IF((J166&lt;&gt;"")*(J170=""),IF((J166&lt;=$B$440)*((J167&gt;=$C$440)+(J167&lt;2/24)),1,0),0)</f>
        <v>0</v>
      </c>
    </row>
    <row r="167" spans="1:36" x14ac:dyDescent="0.2">
      <c r="A167" s="39"/>
      <c r="B167" s="40"/>
      <c r="C167" s="15" t="s">
        <v>1</v>
      </c>
      <c r="D167" s="27"/>
      <c r="E167" s="27">
        <v>0.75</v>
      </c>
      <c r="F167" s="27"/>
      <c r="G167" s="27">
        <v>0.95833333333333337</v>
      </c>
      <c r="H167" s="27"/>
      <c r="I167" s="27"/>
      <c r="J167" s="27"/>
      <c r="K167" s="17"/>
      <c r="L167" s="6"/>
      <c r="M167" s="21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D167" s="6">
        <f>IF((D166&lt;&gt;"")*(D170=""),IF((D166&lt;=$B$441)*((D167&gt;=$C$441)+(D167&lt;2/24)),1,0),0)</f>
        <v>0</v>
      </c>
      <c r="AE167" s="6">
        <f>IF((E166&lt;&gt;"")*(E170=""),IF((E166&lt;=$B$441)*((E167&gt;=$C$441)+(E167&lt;2/24)),1,0),0)</f>
        <v>0</v>
      </c>
      <c r="AF167" s="6">
        <f>IF((F166&lt;&gt;"")*(F170=""),IF((F166&lt;=$B$441)*((F167&gt;=$C$441)+(F167&lt;2/24)),1,0),0)</f>
        <v>0</v>
      </c>
      <c r="AG167" s="6">
        <f>IF((G166&lt;&gt;"")*(G170=""),IF((G166&lt;=$B$441)*((G167&gt;=$C$441)+(G167&lt;2/24)),1,0),0)</f>
        <v>0</v>
      </c>
      <c r="AH167" s="6">
        <f>IF((H166&lt;&gt;"")*(H170=""),IF((H166&lt;=$B$441)*((H167&gt;=$C$441)+(H167&lt;2/24)),1,0),0)</f>
        <v>0</v>
      </c>
      <c r="AI167" s="6">
        <f>IF((I166&lt;&gt;"")*(I170=""),IF((I166&lt;=$B$441)*((I167&gt;=$C$441)+(I167&lt;2/24)),1,0),0)</f>
        <v>0</v>
      </c>
      <c r="AJ167" s="6">
        <f>IF((J166&lt;&gt;"")*(J170=""),IF((J166&lt;=$B$441)*((J167&gt;=$C$441)+(J167&lt;2/24)),1,0),0)</f>
        <v>0</v>
      </c>
    </row>
    <row r="168" spans="1:36" x14ac:dyDescent="0.2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D168" s="6">
        <f>IF((D166&lt;&gt;"")*(D170=""),IF((D166&lt;=$B$442)*((D167&gt;=$C$442)+(D167&lt;2/24)),1,0),0)</f>
        <v>0</v>
      </c>
      <c r="AE168" s="6">
        <f>IF((E166&lt;&gt;"")*(E170=""),IF((E166&lt;=$B$442)*((E167&gt;=$C$442)+(E167&lt;2/24)),1,0),0)</f>
        <v>0</v>
      </c>
      <c r="AF168" s="6">
        <f>IF((F166&lt;&gt;"")*(F170=""),IF((F166&lt;=$B$442)*((F167&gt;=$C$442)+(F167&lt;2/24)),1,0),0)</f>
        <v>0</v>
      </c>
      <c r="AG168" s="6">
        <f>IF((G166&lt;&gt;"")*(G170=""),IF((G166&lt;=$B$442)*((G167&gt;=$C$442)+(G167&lt;2/24)),1,0),0)</f>
        <v>0</v>
      </c>
      <c r="AH168" s="6">
        <f>IF((H166&lt;&gt;"")*(H170=""),IF((H166&lt;=$B$442)*((H167&gt;=$C$442)+(H167&lt;2/24)),1,0),0)</f>
        <v>0</v>
      </c>
      <c r="AI168" s="6">
        <f>IF((I166&lt;&gt;"")*(I170=""),IF((I166&lt;=$B$442)*((I167&gt;=$C$442)+(I167&lt;2/24)),1,0),0)</f>
        <v>0</v>
      </c>
      <c r="AJ168" s="6">
        <f>IF((J166&lt;&gt;"")*(J170=""),IF((J166&lt;=$B$442)*((J167&gt;=$C$442)+(J167&lt;2/24)),1,0),0)</f>
        <v>0</v>
      </c>
    </row>
    <row r="169" spans="1:36" x14ac:dyDescent="0.2">
      <c r="A169" s="39"/>
      <c r="B169" s="40"/>
      <c r="C169" s="15" t="s">
        <v>3</v>
      </c>
      <c r="D169" s="43" t="str">
        <f t="shared" ref="D169:J169" si="106">IF(D166="","",IF(D167&gt;D166,(D167-D166-D168)*24,(1-D166-D168+D167)*24))</f>
        <v/>
      </c>
      <c r="E169" s="43">
        <f t="shared" si="106"/>
        <v>5.0000000000000009</v>
      </c>
      <c r="F169" s="43">
        <v>5</v>
      </c>
      <c r="G169" s="43">
        <f t="shared" si="106"/>
        <v>4.5</v>
      </c>
      <c r="H169" s="43" t="str">
        <f t="shared" si="106"/>
        <v/>
      </c>
      <c r="I169" s="43" t="str">
        <f t="shared" si="106"/>
        <v/>
      </c>
      <c r="J169" s="44" t="str">
        <f t="shared" si="106"/>
        <v/>
      </c>
      <c r="K169" s="18">
        <f>SUMIF(D170:J170,"",D169:J169)</f>
        <v>14.5</v>
      </c>
      <c r="L169" s="12">
        <f>SUM(D169:J169)</f>
        <v>14.5</v>
      </c>
      <c r="M169" s="24"/>
      <c r="N169" s="10" t="str">
        <f t="shared" ref="N169:T169" si="107">IF(D170="",D169,0)</f>
        <v/>
      </c>
      <c r="O169" s="10">
        <f t="shared" si="107"/>
        <v>5.0000000000000009</v>
      </c>
      <c r="P169" s="10">
        <f t="shared" si="107"/>
        <v>5</v>
      </c>
      <c r="Q169" s="10">
        <f t="shared" si="107"/>
        <v>4.5</v>
      </c>
      <c r="R169" s="10" t="str">
        <f t="shared" si="107"/>
        <v/>
      </c>
      <c r="S169" s="10" t="str">
        <f t="shared" si="107"/>
        <v/>
      </c>
      <c r="T169" s="10" t="str">
        <f t="shared" si="107"/>
        <v/>
      </c>
      <c r="U169" s="10"/>
      <c r="V169" s="10" t="str">
        <f t="shared" ref="V169:AB169" si="108">D169</f>
        <v/>
      </c>
      <c r="W169" s="10">
        <f t="shared" si="108"/>
        <v>5.0000000000000009</v>
      </c>
      <c r="X169" s="10">
        <f t="shared" si="108"/>
        <v>5</v>
      </c>
      <c r="Y169" s="10">
        <f t="shared" si="108"/>
        <v>4.5</v>
      </c>
      <c r="Z169" s="10" t="str">
        <f t="shared" si="108"/>
        <v/>
      </c>
      <c r="AA169" s="10" t="str">
        <f t="shared" si="108"/>
        <v/>
      </c>
      <c r="AB169" s="10" t="str">
        <f t="shared" si="108"/>
        <v/>
      </c>
      <c r="AD169" s="6">
        <f>IF((D166&lt;&gt;"")*(D170=""),IF((D166&lt;=$B$443)*((D167&gt;=$C$443)+(D167&lt;2/24)),1,0),0)</f>
        <v>0</v>
      </c>
      <c r="AE169" s="6">
        <f>IF((E166&lt;&gt;"")*(E170=""),IF((E166&lt;=$B$443)*((E167&gt;=$C$443)+(E167&lt;2/24)),1,0),0)</f>
        <v>0</v>
      </c>
      <c r="AF169" s="6">
        <f>IF((F166&lt;&gt;"")*(F170=""),IF((F166&lt;=$B$443)*((F167&gt;=$C$443)+(F167&lt;2/24)),1,0),0)</f>
        <v>0</v>
      </c>
      <c r="AG169" s="6">
        <f>IF((G166&lt;&gt;"")*(G170=""),IF((G166&lt;=$B$443)*((G167&gt;=$C$443)+(G167&lt;2/24)),1,0),0)</f>
        <v>0</v>
      </c>
      <c r="AH169" s="6">
        <f>IF((H166&lt;&gt;"")*(H170=""),IF((H166&lt;=$B$443)*((H167&gt;=$C$443)+(H167&lt;2/24)),1,0),0)</f>
        <v>0</v>
      </c>
      <c r="AI169" s="6">
        <f>IF((I166&lt;&gt;"")*(I170=""),IF((I166&lt;=$B$443)*((I167&gt;=$C$443)+(I167&lt;2/24)),1,0),0)</f>
        <v>0</v>
      </c>
      <c r="AJ169" s="6">
        <f>IF((J166&lt;&gt;"")*(J170=""),IF((J166&lt;=$B$443)*((J167&gt;=$C$443)+(J167&lt;2/24)),1,0),0)</f>
        <v>0</v>
      </c>
    </row>
    <row r="170" spans="1:36" x14ac:dyDescent="0.2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  <c r="N170" s="6"/>
      <c r="O170" s="6"/>
      <c r="P170" s="6"/>
      <c r="Q170" s="6"/>
      <c r="R170" s="6"/>
      <c r="S170" s="6"/>
      <c r="T170" s="6"/>
      <c r="U170" s="6"/>
      <c r="V170" s="20"/>
      <c r="W170" s="20"/>
      <c r="X170" s="20"/>
      <c r="Y170" s="20"/>
      <c r="Z170" s="20"/>
      <c r="AA170" s="20"/>
      <c r="AB170" s="20"/>
      <c r="AD170" s="6">
        <f>IF((D166&lt;&gt;"")*(D170=""),IF((D166&lt;=$B$444)*((D167&gt;=$C$444)+(D167&lt;2/24)),1,0),0)</f>
        <v>0</v>
      </c>
      <c r="AE170" s="6">
        <f>IF((E166&lt;&gt;"")*(E170=""),IF((E166&lt;=$B$444)*((E167&gt;=$C$444)+(E167&lt;2/24)),1,0),0)</f>
        <v>0</v>
      </c>
      <c r="AF170" s="6">
        <f>IF((F166&lt;&gt;"")*(F170=""),IF((F166&lt;=$B$444)*((F167&gt;=$C$444)+(F167&lt;2/24)),1,0),0)</f>
        <v>0</v>
      </c>
      <c r="AG170" s="6">
        <f>IF((G166&lt;&gt;"")*(G170=""),IF((G166&lt;=$B$444)*((G167&gt;=$C$444)+(G167&lt;2/24)),1,0),0)</f>
        <v>0</v>
      </c>
      <c r="AH170" s="6">
        <f>IF((H166&lt;&gt;"")*(H170=""),IF((H166&lt;=$B$444)*((H167&gt;=$C$444)+(H167&lt;2/24)),1,0),0)</f>
        <v>0</v>
      </c>
      <c r="AI170" s="6">
        <f>IF((I166&lt;&gt;"")*(I170=""),IF((I166&lt;=$B$444)*((I167&gt;=$C$444)+(I167&lt;2/24)),1,0),0)</f>
        <v>0</v>
      </c>
      <c r="AJ170" s="6">
        <f>IF((J166&lt;&gt;"")*(J170=""),IF((J166&lt;=$B$444)*((J167&gt;=$C$444)+(J167&lt;2/24)),1,0),0)</f>
        <v>0</v>
      </c>
    </row>
    <row r="171" spans="1:36" ht="13.5" thickBot="1" x14ac:dyDescent="0.25">
      <c r="A171" s="41"/>
      <c r="B171" s="42"/>
      <c r="C171" s="35" t="s">
        <v>28</v>
      </c>
      <c r="D171" s="54"/>
      <c r="E171" s="54"/>
      <c r="F171" s="36" t="s">
        <v>162</v>
      </c>
      <c r="G171" s="36"/>
      <c r="H171" s="36"/>
      <c r="I171" s="36"/>
      <c r="J171" s="36"/>
      <c r="K171" s="34"/>
      <c r="L171" s="6"/>
      <c r="M171" s="25"/>
      <c r="N171" s="6"/>
      <c r="O171" s="6"/>
      <c r="P171" s="6"/>
      <c r="Q171" s="6"/>
      <c r="R171" s="6"/>
      <c r="S171" s="6"/>
      <c r="T171" s="6"/>
      <c r="U171" s="6"/>
      <c r="V171" s="20"/>
      <c r="W171" s="20"/>
      <c r="X171" s="20"/>
      <c r="Y171" s="20"/>
      <c r="Z171" s="20"/>
      <c r="AA171" s="20"/>
      <c r="AB171" s="20"/>
      <c r="AD171" s="6"/>
      <c r="AE171" s="6"/>
      <c r="AF171" s="6"/>
      <c r="AG171" s="6"/>
      <c r="AH171" s="6"/>
      <c r="AI171" s="6"/>
      <c r="AJ171" s="6"/>
    </row>
    <row r="172" spans="1:36" x14ac:dyDescent="0.2">
      <c r="A172" s="37" t="s">
        <v>145</v>
      </c>
      <c r="B172" s="38" t="s">
        <v>146</v>
      </c>
      <c r="C172" s="14" t="s">
        <v>0</v>
      </c>
      <c r="D172" s="26"/>
      <c r="E172" s="26"/>
      <c r="F172" s="26">
        <v>0.54166666666666663</v>
      </c>
      <c r="G172" s="26"/>
      <c r="H172" s="26"/>
      <c r="I172" s="26"/>
      <c r="J172" s="26"/>
      <c r="K172" s="16"/>
      <c r="L172" s="6"/>
      <c r="M172" s="21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D172" s="6">
        <f>IF((D172&lt;&gt;"")*(D176=""),IF((D172&lt;=$B$434)*((D173&gt;=$C$434)+(D173&lt;2/24)),1,0),0)</f>
        <v>0</v>
      </c>
      <c r="AE172" s="6">
        <f>IF((E172&lt;&gt;"")*(E176=""),IF((E172&lt;=$B$434)*((E173&gt;=$C$434)+(E173&lt;2/24)),1,0),0)</f>
        <v>0</v>
      </c>
      <c r="AF172" s="6">
        <f>IF((F172&lt;&gt;"")*(F176=""),IF((F172&lt;=$B$434)*((F173&gt;=$C$434)+(F173&lt;2/24)),1,0),0)</f>
        <v>0</v>
      </c>
      <c r="AG172" s="6">
        <f>IF((G172&lt;&gt;"")*(G176=""),IF((G172&lt;=$B$434)*((G173&gt;=$C$434)+(G173&lt;2/24)),1,0),0)</f>
        <v>0</v>
      </c>
      <c r="AH172" s="6">
        <f>IF((H172&lt;&gt;"")*(H176=""),IF((H172&lt;=$B$434)*((H173&gt;=$C$434)+(H173&lt;2/24)),1,0),0)</f>
        <v>0</v>
      </c>
      <c r="AI172" s="6">
        <f>IF((I172&lt;&gt;"")*(I176=""),IF((I172&lt;=$B$434)*((I173&gt;=$C$434)+(I173&lt;2/24)),1,0),0)</f>
        <v>0</v>
      </c>
      <c r="AJ172" s="6">
        <f>IF((J172&lt;&gt;"")*(J176=""),IF((J172&lt;=$B$434)*((J173&gt;=$C$434)+(J173&lt;2/24)),1,0),0)</f>
        <v>0</v>
      </c>
    </row>
    <row r="173" spans="1:36" x14ac:dyDescent="0.2">
      <c r="A173" s="39"/>
      <c r="B173" s="40"/>
      <c r="C173" s="15" t="s">
        <v>1</v>
      </c>
      <c r="D173" s="27"/>
      <c r="E173" s="27"/>
      <c r="F173" s="27">
        <v>0.75</v>
      </c>
      <c r="G173" s="27"/>
      <c r="H173" s="27"/>
      <c r="I173" s="27"/>
      <c r="J173" s="27"/>
      <c r="K173" s="17"/>
      <c r="L173" s="6"/>
      <c r="M173" s="21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D173" s="6">
        <f>IF((D172&lt;&gt;"")*(D176=""),IF((D172&lt;=$B$435)*((D173&gt;=$C$435)+(D173&lt;2/24)),1,0),0)</f>
        <v>0</v>
      </c>
      <c r="AE173" s="6">
        <f>IF((E172&lt;&gt;"")*(E176=""),IF((E172&lt;=$B$435)*((E173&gt;=$C$435)+(E173&lt;2/24)),1,0),0)</f>
        <v>0</v>
      </c>
      <c r="AF173" s="6">
        <f>IF((F172&lt;&gt;"")*(F176=""),IF((F172&lt;=$B$435)*((F173&gt;=$C$435)+(F173&lt;2/24)),1,0),0)</f>
        <v>0</v>
      </c>
      <c r="AG173" s="6">
        <f>IF((G172&lt;&gt;"")*(G176=""),IF((G172&lt;=$B$435)*((G173&gt;=$C$435)+(G173&lt;2/24)),1,0),0)</f>
        <v>0</v>
      </c>
      <c r="AH173" s="6">
        <f>IF((H172&lt;&gt;"")*(H176=""),IF((H172&lt;=$B$435)*((H173&gt;=$C$435)+(H173&lt;2/24)),1,0),0)</f>
        <v>0</v>
      </c>
      <c r="AI173" s="6">
        <f>IF((I172&lt;&gt;"")*(I176=""),IF((I172&lt;=$B$435)*((I173&gt;=$C$435)+(I173&lt;2/24)),1,0),0)</f>
        <v>0</v>
      </c>
      <c r="AJ173" s="6">
        <f>IF((J172&lt;&gt;"")*(J176=""),IF((J172&lt;=$B$435)*((J173&gt;=$C$435)+(J173&lt;2/24)),1,0),0)</f>
        <v>0</v>
      </c>
    </row>
    <row r="174" spans="1:36" x14ac:dyDescent="0.2">
      <c r="A174" s="64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D174" s="6">
        <f>IF((D172&lt;&gt;"")*(D176=""),IF((D172&lt;=$B$436)*((D173&gt;=$C$436)+(D173&lt;2/24)),1,0),0)</f>
        <v>0</v>
      </c>
      <c r="AE174" s="6">
        <f>IF((E172&lt;&gt;"")*(E176=""),IF((E172&lt;=$B$436)*((E173&gt;=$C$436)+(E173&lt;2/24)),1,0),0)</f>
        <v>0</v>
      </c>
      <c r="AF174" s="6">
        <f>IF((F172&lt;&gt;"")*(F176=""),IF((F172&lt;=$B$436)*((F173&gt;=$C$436)+(F173&lt;2/24)),1,0),0)</f>
        <v>0</v>
      </c>
      <c r="AG174" s="6">
        <f>IF((G172&lt;&gt;"")*(G176=""),IF((G172&lt;=$B$436)*((G173&gt;=$C$436)+(G173&lt;2/24)),1,0),0)</f>
        <v>0</v>
      </c>
      <c r="AH174" s="6">
        <f>IF((H172&lt;&gt;"")*(H176=""),IF((H172&lt;=$B$436)*((H173&gt;=$C$436)+(H173&lt;2/24)),1,0),0)</f>
        <v>0</v>
      </c>
      <c r="AI174" s="6">
        <f>IF((I172&lt;&gt;"")*(I176=""),IF((I172&lt;=$B$436)*((I173&gt;=$C$436)+(I173&lt;2/24)),1,0),0)</f>
        <v>0</v>
      </c>
      <c r="AJ174" s="6">
        <f>IF((J172&lt;&gt;"")*(J176=""),IF((J172&lt;=$B$436)*((J173&gt;=$C$436)+(J173&lt;2/24)),1,0),0)</f>
        <v>0</v>
      </c>
    </row>
    <row r="175" spans="1:36" x14ac:dyDescent="0.2">
      <c r="A175" s="64"/>
      <c r="B175" s="40"/>
      <c r="C175" s="15" t="s">
        <v>3</v>
      </c>
      <c r="D175" s="43" t="str">
        <f t="shared" ref="D175:J175" si="109">IF(D172="","",IF(D173&gt;D172,(D173-D172-D174)*24,(1-D172-D174+D173)*24))</f>
        <v/>
      </c>
      <c r="E175" s="43" t="str">
        <f t="shared" si="109"/>
        <v/>
      </c>
      <c r="F175" s="43">
        <f t="shared" si="109"/>
        <v>5.0000000000000009</v>
      </c>
      <c r="G175" s="43" t="str">
        <f t="shared" si="109"/>
        <v/>
      </c>
      <c r="H175" s="43" t="str">
        <f t="shared" si="109"/>
        <v/>
      </c>
      <c r="I175" s="43" t="str">
        <f t="shared" si="109"/>
        <v/>
      </c>
      <c r="J175" s="44" t="str">
        <f t="shared" si="109"/>
        <v/>
      </c>
      <c r="K175" s="18">
        <f>SUMIF(D176:J176,"",D175:J175)</f>
        <v>5.0000000000000009</v>
      </c>
      <c r="L175" s="12">
        <f>SUM(D175:J175)</f>
        <v>5.0000000000000009</v>
      </c>
      <c r="M175" s="24"/>
      <c r="N175" s="10" t="str">
        <f t="shared" ref="N175:T175" si="110">IF(D176="",D175,0)</f>
        <v/>
      </c>
      <c r="O175" s="10" t="str">
        <f t="shared" si="110"/>
        <v/>
      </c>
      <c r="P175" s="10">
        <f t="shared" si="110"/>
        <v>5.0000000000000009</v>
      </c>
      <c r="Q175" s="10" t="str">
        <f t="shared" si="110"/>
        <v/>
      </c>
      <c r="R175" s="10" t="str">
        <f t="shared" si="110"/>
        <v/>
      </c>
      <c r="S175" s="10" t="str">
        <f t="shared" si="110"/>
        <v/>
      </c>
      <c r="T175" s="10" t="str">
        <f t="shared" si="110"/>
        <v/>
      </c>
      <c r="U175" s="10"/>
      <c r="V175" s="10" t="str">
        <f t="shared" ref="V175:AB175" si="111">D175</f>
        <v/>
      </c>
      <c r="W175" s="10" t="str">
        <f t="shared" si="111"/>
        <v/>
      </c>
      <c r="X175" s="10">
        <f t="shared" si="111"/>
        <v>5.0000000000000009</v>
      </c>
      <c r="Y175" s="10" t="str">
        <f t="shared" si="111"/>
        <v/>
      </c>
      <c r="Z175" s="10" t="str">
        <f t="shared" si="111"/>
        <v/>
      </c>
      <c r="AA175" s="10" t="str">
        <f t="shared" si="111"/>
        <v/>
      </c>
      <c r="AB175" s="10" t="str">
        <f t="shared" si="111"/>
        <v/>
      </c>
      <c r="AD175" s="6">
        <f>IF((D172&lt;&gt;"")*(D176=""),IF((D172&lt;=$B$437)*((D173&gt;=$C$437)+(D173&lt;2/24)),1,0),0)</f>
        <v>0</v>
      </c>
      <c r="AE175" s="6">
        <f>IF((E172&lt;&gt;"")*(E176=""),IF((E172&lt;=$B$437)*((E173&gt;=$C$437)+(E173&lt;2/24)),1,0),0)</f>
        <v>0</v>
      </c>
      <c r="AF175" s="6">
        <f>IF((F172&lt;&gt;"")*(F176=""),IF((F172&lt;=$B$437)*((F173&gt;=$C$437)+(F173&lt;2/24)),1,0),0)</f>
        <v>0</v>
      </c>
      <c r="AG175" s="6">
        <f>IF((G172&lt;&gt;"")*(G176=""),IF((G172&lt;=$B$437)*((G173&gt;=$C$437)+(G173&lt;2/24)),1,0),0)</f>
        <v>0</v>
      </c>
      <c r="AH175" s="6">
        <f>IF((H172&lt;&gt;"")*(H176=""),IF((H172&lt;=$B$437)*((H173&gt;=$C$437)+(H173&lt;2/24)),1,0),0)</f>
        <v>0</v>
      </c>
      <c r="AI175" s="6">
        <f>IF((I172&lt;&gt;"")*(I176=""),IF((I172&lt;=$B$437)*((I173&gt;=$C$437)+(I173&lt;2/24)),1,0),0)</f>
        <v>0</v>
      </c>
      <c r="AJ175" s="6">
        <f>IF((J172&lt;&gt;"")*(J176=""),IF((J172&lt;=$B$437)*((J173&gt;=$C$437)+(J173&lt;2/24)),1,0),0)</f>
        <v>0</v>
      </c>
    </row>
    <row r="176" spans="1:36" x14ac:dyDescent="0.2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  <c r="N176" s="6"/>
      <c r="O176" s="6"/>
      <c r="P176" s="6"/>
      <c r="Q176" s="6"/>
      <c r="R176" s="6"/>
      <c r="S176" s="6"/>
      <c r="T176" s="6"/>
      <c r="U176" s="6"/>
      <c r="V176" s="20"/>
      <c r="W176" s="20"/>
      <c r="X176" s="20"/>
      <c r="Y176" s="20"/>
      <c r="Z176" s="20"/>
      <c r="AA176" s="20"/>
      <c r="AB176" s="20"/>
      <c r="AD176" s="6">
        <f>IF((D172&lt;&gt;"")*(D176=""),IF((D172&lt;=$B$438)*((D173&gt;=$C$438)+(D173&lt;2/24)),1,0),0)</f>
        <v>0</v>
      </c>
      <c r="AE176" s="6">
        <f>IF((E172&lt;&gt;"")*(E176=""),IF((E172&lt;=$B$438)*((E173&gt;=$C$438)+(E173&lt;2/24)),1,0),0)</f>
        <v>0</v>
      </c>
      <c r="AF176" s="6">
        <f>IF((F172&lt;&gt;"")*(F176=""),IF((F172&lt;=$B$438)*((F173&gt;=$C$438)+(F173&lt;2/24)),1,0),0)</f>
        <v>0</v>
      </c>
      <c r="AG176" s="6">
        <f>IF((G172&lt;&gt;"")*(G176=""),IF((G172&lt;=$B$438)*((G173&gt;=$C$438)+(G173&lt;2/24)),1,0),0)</f>
        <v>0</v>
      </c>
      <c r="AH176" s="6">
        <f>IF((H172&lt;&gt;"")*(H176=""),IF((H172&lt;=$B$438)*((H173&gt;=$C$438)+(H173&lt;2/24)),1,0),0)</f>
        <v>0</v>
      </c>
      <c r="AI176" s="6">
        <f>IF((I172&lt;&gt;"")*(I176=""),IF((I172&lt;=$B$438)*((I173&gt;=$C$438)+(I173&lt;2/24)),1,0),0)</f>
        <v>0</v>
      </c>
      <c r="AJ176" s="6">
        <f>IF((J172&lt;&gt;"")*(J176=""),IF((J172&lt;=$B$438)*((J173&gt;=$C$438)+(J173&lt;2/24)),1,0),0)</f>
        <v>0</v>
      </c>
    </row>
    <row r="177" spans="1:36" ht="13.5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54"/>
      <c r="I177" s="36"/>
      <c r="J177" s="36"/>
      <c r="K177" s="34"/>
      <c r="L177" s="6"/>
      <c r="M177" s="25"/>
      <c r="N177" s="6"/>
      <c r="O177" s="6"/>
      <c r="P177" s="6"/>
      <c r="Q177" s="6"/>
      <c r="R177" s="6"/>
      <c r="S177" s="6"/>
      <c r="T177" s="6"/>
      <c r="U177" s="6"/>
      <c r="V177" s="20"/>
      <c r="W177" s="20"/>
      <c r="X177" s="20"/>
      <c r="Y177" s="20"/>
      <c r="Z177" s="20"/>
      <c r="AA177" s="20"/>
      <c r="AB177" s="20"/>
      <c r="AD177" s="6"/>
      <c r="AE177" s="6"/>
      <c r="AF177" s="6"/>
      <c r="AG177" s="6"/>
      <c r="AH177" s="6"/>
      <c r="AI177" s="6"/>
      <c r="AJ177" s="6"/>
    </row>
    <row r="178" spans="1:36" x14ac:dyDescent="0.2">
      <c r="A178" s="37" t="s">
        <v>154</v>
      </c>
      <c r="B178" s="38" t="s">
        <v>155</v>
      </c>
      <c r="C178" s="14" t="s">
        <v>0</v>
      </c>
      <c r="D178" s="26"/>
      <c r="E178" s="26"/>
      <c r="F178" s="26"/>
      <c r="G178" s="26"/>
      <c r="H178" s="26">
        <v>0.54166666666666663</v>
      </c>
      <c r="I178" s="26">
        <v>0.54166666666666663</v>
      </c>
      <c r="J178" s="26">
        <v>0.54166666666666663</v>
      </c>
      <c r="K178" s="16"/>
      <c r="L178" s="6"/>
      <c r="M178" s="21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D178" s="6">
        <f>IF((D178&lt;&gt;"")*(D182=""),IF((D178&lt;=$B$440)*((D179&gt;=$C$440)+(D179&lt;2/24)),1,0),0)</f>
        <v>0</v>
      </c>
      <c r="AE178" s="6">
        <f>IF((E178&lt;&gt;"")*(E182=""),IF((E178&lt;=$B$440)*((E179&gt;=$C$440)+(E179&lt;2/24)),1,0),0)</f>
        <v>0</v>
      </c>
      <c r="AF178" s="6">
        <f>IF((F178&lt;&gt;"")*(F182=""),IF((F178&lt;=$B$440)*((F179&gt;=$C$440)+(F179&lt;2/24)),1,0),0)</f>
        <v>0</v>
      </c>
      <c r="AG178" s="6">
        <f>IF((G178&lt;&gt;"")*(G182=""),IF((G178&lt;=$B$440)*((G179&gt;=$C$440)+(G179&lt;2/24)),1,0),0)</f>
        <v>0</v>
      </c>
      <c r="AH178" s="6">
        <f>IF((H178&lt;&gt;"")*(H182=""),IF((H178&lt;=$B$440)*((H179&gt;=$C$440)+(H179&lt;2/24)),1,0),0)</f>
        <v>0</v>
      </c>
      <c r="AI178" s="6">
        <f>IF((I178&lt;&gt;"")*(I182=""),IF((I178&lt;=$B$440)*((I179&gt;=$C$440)+(I179&lt;2/24)),1,0),0)</f>
        <v>0</v>
      </c>
      <c r="AJ178" s="6">
        <f>IF((J178&lt;&gt;"")*(J182=""),IF((J178&lt;=$B$440)*((J179&gt;=$C$440)+(J179&lt;2/24)),1,0),0)</f>
        <v>0</v>
      </c>
    </row>
    <row r="179" spans="1:36" x14ac:dyDescent="0.2">
      <c r="A179" s="39"/>
      <c r="B179" s="40"/>
      <c r="C179" s="15" t="s">
        <v>1</v>
      </c>
      <c r="D179" s="27"/>
      <c r="E179" s="27"/>
      <c r="F179" s="27"/>
      <c r="G179" s="27"/>
      <c r="H179" s="27">
        <v>0.75</v>
      </c>
      <c r="I179" s="27">
        <v>0.75</v>
      </c>
      <c r="J179" s="27">
        <v>0.75</v>
      </c>
      <c r="K179" s="17"/>
      <c r="L179" s="6"/>
      <c r="M179" s="21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D179" s="6">
        <f>IF((D178&lt;&gt;"")*(D182=""),IF((D178&lt;=$B$441)*((D179&gt;=$C$441)+(D179&lt;2/24)),1,0),0)</f>
        <v>0</v>
      </c>
      <c r="AE179" s="6">
        <f>IF((E178&lt;&gt;"")*(E182=""),IF((E178&lt;=$B$441)*((E179&gt;=$C$441)+(E179&lt;2/24)),1,0),0)</f>
        <v>0</v>
      </c>
      <c r="AF179" s="6">
        <f>IF((F178&lt;&gt;"")*(F182=""),IF((F178&lt;=$B$441)*((F179&gt;=$C$441)+(F179&lt;2/24)),1,0),0)</f>
        <v>0</v>
      </c>
      <c r="AG179" s="6">
        <f>IF((G178&lt;&gt;"")*(G182=""),IF((G178&lt;=$B$441)*((G179&gt;=$C$441)+(G179&lt;2/24)),1,0),0)</f>
        <v>0</v>
      </c>
      <c r="AH179" s="6">
        <f>IF((H178&lt;&gt;"")*(H182=""),IF((H178&lt;=$B$441)*((H179&gt;=$C$441)+(H179&lt;2/24)),1,0),0)</f>
        <v>0</v>
      </c>
      <c r="AI179" s="6">
        <f>IF((I178&lt;&gt;"")*(I182=""),IF((I178&lt;=$B$441)*((I179&gt;=$C$441)+(I179&lt;2/24)),1,0),0)</f>
        <v>0</v>
      </c>
      <c r="AJ179" s="6">
        <f>IF((J178&lt;&gt;"")*(J182=""),IF((J178&lt;=$B$441)*((J179&gt;=$C$441)+(J179&lt;2/24)),1,0),0)</f>
        <v>0</v>
      </c>
    </row>
    <row r="180" spans="1:36" x14ac:dyDescent="0.2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D180" s="6">
        <f>IF((D178&lt;&gt;"")*(D182=""),IF((D178&lt;=$B$442)*((D179&gt;=$C$442)+(D179&lt;2/24)),1,0),0)</f>
        <v>0</v>
      </c>
      <c r="AE180" s="6">
        <f>IF((E178&lt;&gt;"")*(E182=""),IF((E178&lt;=$B$442)*((E179&gt;=$C$442)+(E179&lt;2/24)),1,0),0)</f>
        <v>0</v>
      </c>
      <c r="AF180" s="6">
        <f>IF((F178&lt;&gt;"")*(F182=""),IF((F178&lt;=$B$442)*((F179&gt;=$C$442)+(F179&lt;2/24)),1,0),0)</f>
        <v>0</v>
      </c>
      <c r="AG180" s="6">
        <f>IF((G178&lt;&gt;"")*(G182=""),IF((G178&lt;=$B$442)*((G179&gt;=$C$442)+(G179&lt;2/24)),1,0),0)</f>
        <v>0</v>
      </c>
      <c r="AH180" s="6">
        <f>IF((H178&lt;&gt;"")*(H182=""),IF((H178&lt;=$B$442)*((H179&gt;=$C$442)+(H179&lt;2/24)),1,0),0)</f>
        <v>0</v>
      </c>
      <c r="AI180" s="6">
        <f>IF((I178&lt;&gt;"")*(I182=""),IF((I178&lt;=$B$442)*((I179&gt;=$C$442)+(I179&lt;2/24)),1,0),0)</f>
        <v>0</v>
      </c>
      <c r="AJ180" s="6">
        <f>IF((J178&lt;&gt;"")*(J182=""),IF((J178&lt;=$B$442)*((J179&gt;=$C$442)+(J179&lt;2/24)),1,0),0)</f>
        <v>0</v>
      </c>
    </row>
    <row r="181" spans="1:36" x14ac:dyDescent="0.2">
      <c r="A181" s="39"/>
      <c r="B181" s="40"/>
      <c r="C181" s="15" t="s">
        <v>3</v>
      </c>
      <c r="D181" s="43" t="str">
        <f t="shared" ref="D181:J181" si="112">IF(D178="","",IF(D179&gt;D178,(D179-D178-D180)*24,(1-D178-D180+D179)*24))</f>
        <v/>
      </c>
      <c r="E181" s="43" t="str">
        <f t="shared" si="112"/>
        <v/>
      </c>
      <c r="F181" s="43" t="str">
        <f t="shared" si="112"/>
        <v/>
      </c>
      <c r="G181" s="43" t="str">
        <f t="shared" si="112"/>
        <v/>
      </c>
      <c r="H181" s="43">
        <f t="shared" si="112"/>
        <v>5.0000000000000009</v>
      </c>
      <c r="I181" s="55">
        <f t="shared" si="112"/>
        <v>5.0000000000000009</v>
      </c>
      <c r="J181" s="44">
        <f t="shared" si="112"/>
        <v>5.0000000000000009</v>
      </c>
      <c r="K181" s="18">
        <f>SUMIF(D182:J182,"",D181:J181)</f>
        <v>15.000000000000004</v>
      </c>
      <c r="L181" s="12">
        <f>SUM(D181:J181)</f>
        <v>15.000000000000004</v>
      </c>
      <c r="M181" s="24"/>
      <c r="N181" s="10" t="str">
        <f t="shared" ref="N181:T181" si="113">IF(D182="",D181,0)</f>
        <v/>
      </c>
      <c r="O181" s="10" t="str">
        <f t="shared" si="113"/>
        <v/>
      </c>
      <c r="P181" s="10" t="str">
        <f t="shared" si="113"/>
        <v/>
      </c>
      <c r="Q181" s="10" t="str">
        <f t="shared" si="113"/>
        <v/>
      </c>
      <c r="R181" s="10">
        <f t="shared" si="113"/>
        <v>5.0000000000000009</v>
      </c>
      <c r="S181" s="10">
        <f t="shared" si="113"/>
        <v>5.0000000000000009</v>
      </c>
      <c r="T181" s="10">
        <f t="shared" si="113"/>
        <v>5.0000000000000009</v>
      </c>
      <c r="U181" s="10"/>
      <c r="V181" s="10" t="str">
        <f t="shared" ref="V181:AB181" si="114">D181</f>
        <v/>
      </c>
      <c r="W181" s="10" t="str">
        <f t="shared" si="114"/>
        <v/>
      </c>
      <c r="X181" s="10" t="str">
        <f t="shared" si="114"/>
        <v/>
      </c>
      <c r="Y181" s="10" t="str">
        <f t="shared" si="114"/>
        <v/>
      </c>
      <c r="Z181" s="10">
        <f t="shared" si="114"/>
        <v>5.0000000000000009</v>
      </c>
      <c r="AA181" s="10">
        <f t="shared" si="114"/>
        <v>5.0000000000000009</v>
      </c>
      <c r="AB181" s="10">
        <f t="shared" si="114"/>
        <v>5.0000000000000009</v>
      </c>
      <c r="AD181" s="6">
        <f>IF((D178&lt;&gt;"")*(D182=""),IF((D178&lt;=$B$443)*((D179&gt;=$C$443)+(D179&lt;2/24)),1,0),0)</f>
        <v>0</v>
      </c>
      <c r="AE181" s="6">
        <f>IF((E178&lt;&gt;"")*(E182=""),IF((E178&lt;=$B$443)*((E179&gt;=$C$443)+(E179&lt;2/24)),1,0),0)</f>
        <v>0</v>
      </c>
      <c r="AF181" s="6">
        <f>IF((F178&lt;&gt;"")*(F182=""),IF((F178&lt;=$B$443)*((F179&gt;=$C$443)+(F179&lt;2/24)),1,0),0)</f>
        <v>0</v>
      </c>
      <c r="AG181" s="6">
        <f>IF((G178&lt;&gt;"")*(G182=""),IF((G178&lt;=$B$443)*((G179&gt;=$C$443)+(G179&lt;2/24)),1,0),0)</f>
        <v>0</v>
      </c>
      <c r="AH181" s="6">
        <f>IF((H178&lt;&gt;"")*(H182=""),IF((H178&lt;=$B$443)*((H179&gt;=$C$443)+(H179&lt;2/24)),1,0),0)</f>
        <v>0</v>
      </c>
      <c r="AI181" s="6">
        <f>IF((I178&lt;&gt;"")*(I182=""),IF((I178&lt;=$B$443)*((I179&gt;=$C$443)+(I179&lt;2/24)),1,0),0)</f>
        <v>0</v>
      </c>
      <c r="AJ181" s="6">
        <f>IF((J178&lt;&gt;"")*(J182=""),IF((J178&lt;=$B$443)*((J179&gt;=$C$443)+(J179&lt;2/24)),1,0),0)</f>
        <v>0</v>
      </c>
    </row>
    <row r="182" spans="1:36" x14ac:dyDescent="0.2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  <c r="N182" s="6"/>
      <c r="O182" s="6"/>
      <c r="P182" s="6"/>
      <c r="Q182" s="6"/>
      <c r="R182" s="6"/>
      <c r="S182" s="6"/>
      <c r="T182" s="6"/>
      <c r="U182" s="6"/>
      <c r="V182" s="20"/>
      <c r="W182" s="20"/>
      <c r="X182" s="20"/>
      <c r="Y182" s="20"/>
      <c r="Z182" s="20"/>
      <c r="AA182" s="20"/>
      <c r="AB182" s="20"/>
      <c r="AD182" s="6">
        <f>IF((D178&lt;&gt;"")*(D182=""),IF((D178&lt;=$B$444)*((D179&gt;=$C$444)+(D179&lt;2/24)),1,0),0)</f>
        <v>0</v>
      </c>
      <c r="AE182" s="6">
        <f>IF((E178&lt;&gt;"")*(E182=""),IF((E178&lt;=$B$444)*((E179&gt;=$C$444)+(E179&lt;2/24)),1,0),0)</f>
        <v>0</v>
      </c>
      <c r="AF182" s="6">
        <f>IF((F178&lt;&gt;"")*(F182=""),IF((F178&lt;=$B$444)*((F179&gt;=$C$444)+(F179&lt;2/24)),1,0),0)</f>
        <v>0</v>
      </c>
      <c r="AG182" s="6">
        <f>IF((G178&lt;&gt;"")*(G182=""),IF((G178&lt;=$B$444)*((G179&gt;=$C$444)+(G179&lt;2/24)),1,0),0)</f>
        <v>0</v>
      </c>
      <c r="AH182" s="6">
        <f>IF((H178&lt;&gt;"")*(H182=""),IF((H178&lt;=$B$444)*((H179&gt;=$C$444)+(H179&lt;2/24)),1,0),0)</f>
        <v>0</v>
      </c>
      <c r="AI182" s="6">
        <f>IF((I178&lt;&gt;"")*(I182=""),IF((I178&lt;=$B$444)*((I179&gt;=$C$444)+(I179&lt;2/24)),1,0),0)</f>
        <v>0</v>
      </c>
      <c r="AJ182" s="6">
        <f>IF((J178&lt;&gt;"")*(J182=""),IF((J178&lt;=$B$444)*((J179&gt;=$C$444)+(J179&lt;2/24)),1,0),0)</f>
        <v>0</v>
      </c>
    </row>
    <row r="183" spans="1:36" ht="13.5" thickBot="1" x14ac:dyDescent="0.25">
      <c r="A183" s="41"/>
      <c r="B183" s="42"/>
      <c r="C183" s="35" t="s">
        <v>28</v>
      </c>
      <c r="D183" s="67"/>
      <c r="E183" s="36"/>
      <c r="F183" s="36"/>
      <c r="G183" s="36"/>
      <c r="H183" s="36"/>
      <c r="I183" s="36"/>
      <c r="J183" s="36"/>
      <c r="K183" s="34"/>
      <c r="L183" s="6"/>
      <c r="M183" s="25"/>
      <c r="N183" s="6"/>
      <c r="O183" s="6"/>
      <c r="P183" s="6"/>
      <c r="Q183" s="6"/>
      <c r="R183" s="6"/>
      <c r="S183" s="6"/>
      <c r="T183" s="6"/>
      <c r="U183" s="6"/>
      <c r="V183" s="20"/>
      <c r="W183" s="20"/>
      <c r="X183" s="20"/>
      <c r="Y183" s="20"/>
      <c r="Z183" s="20"/>
      <c r="AA183" s="20"/>
      <c r="AB183" s="20"/>
      <c r="AD183" s="6"/>
      <c r="AE183" s="6"/>
      <c r="AF183" s="6"/>
      <c r="AG183" s="6"/>
      <c r="AH183" s="6"/>
      <c r="AI183" s="6"/>
      <c r="AJ183" s="6"/>
    </row>
    <row r="184" spans="1:36" x14ac:dyDescent="0.2">
      <c r="A184" s="37" t="s">
        <v>148</v>
      </c>
      <c r="B184" s="38" t="s">
        <v>149</v>
      </c>
      <c r="C184" s="14" t="s">
        <v>0</v>
      </c>
      <c r="D184" s="26">
        <v>0.54166666666666663</v>
      </c>
      <c r="E184" s="26">
        <v>0.54166666666666663</v>
      </c>
      <c r="F184" s="26"/>
      <c r="G184" s="26"/>
      <c r="H184" s="26">
        <v>0.77083333333333337</v>
      </c>
      <c r="I184" s="26"/>
      <c r="J184" s="26"/>
      <c r="K184" s="16"/>
      <c r="L184" s="6"/>
      <c r="M184" s="21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D184" s="6" t="e">
        <f>IF((D184&lt;&gt;"")*(D188=""),IF((D184&lt;=#REF!)*((D185&gt;=#REF!)+(D185&lt;2/24)),1,0),0)</f>
        <v>#REF!</v>
      </c>
      <c r="AE184" s="6" t="e">
        <f>IF((E184&lt;&gt;"")*(E188=""),IF((E184&lt;=#REF!)*((E185&gt;=#REF!)+(E185&lt;2/24)),1,0),0)</f>
        <v>#REF!</v>
      </c>
      <c r="AF184" s="6">
        <f>IF((F184&lt;&gt;"")*(F188=""),IF((F184&lt;=#REF!)*((F185&gt;=#REF!)+(F185&lt;2/24)),1,0),0)</f>
        <v>0</v>
      </c>
      <c r="AG184" s="6">
        <f>IF((G184&lt;&gt;"")*(G188=""),IF((G184&lt;=#REF!)*((G185&gt;=#REF!)+(G185&lt;2/24)),1,0),0)</f>
        <v>0</v>
      </c>
      <c r="AH184" s="6" t="e">
        <f>IF((H184&lt;&gt;"")*(H188=""),IF((H184&lt;=#REF!)*((H185&gt;=#REF!)+(H185&lt;2/24)),1,0),0)</f>
        <v>#REF!</v>
      </c>
      <c r="AI184" s="6">
        <f>IF((I184&lt;&gt;"")*(I188=""),IF((I184&lt;=#REF!)*((I185&gt;=#REF!)+(I185&lt;2/24)),1,0),0)</f>
        <v>0</v>
      </c>
      <c r="AJ184" s="6">
        <f>IF((J184&lt;&gt;"")*(J188=""),IF((J184&lt;=#REF!)*((J185&gt;=#REF!)+(J185&lt;2/24)),1,0),0)</f>
        <v>0</v>
      </c>
    </row>
    <row r="185" spans="1:36" x14ac:dyDescent="0.2">
      <c r="A185" s="39"/>
      <c r="B185" s="40"/>
      <c r="C185" s="15" t="s">
        <v>1</v>
      </c>
      <c r="D185" s="27">
        <v>0.75</v>
      </c>
      <c r="E185" s="27">
        <v>0.75</v>
      </c>
      <c r="F185" s="27"/>
      <c r="G185" s="27"/>
      <c r="H185" s="27">
        <v>0.95833333333333337</v>
      </c>
      <c r="I185" s="27"/>
      <c r="J185" s="27"/>
      <c r="K185" s="17"/>
      <c r="L185" s="6"/>
      <c r="M185" s="21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D185" s="6" t="e">
        <f>IF((D184&lt;&gt;"")*(D188=""),IF((D184&lt;=#REF!)*((D185&gt;=#REF!)+(D185&lt;2/24)),1,0),0)</f>
        <v>#REF!</v>
      </c>
      <c r="AE185" s="6" t="e">
        <f>IF((E184&lt;&gt;"")*(E188=""),IF((E184&lt;=#REF!)*((E185&gt;=#REF!)+(E185&lt;2/24)),1,0),0)</f>
        <v>#REF!</v>
      </c>
      <c r="AF185" s="6">
        <f>IF((F184&lt;&gt;"")*(F188=""),IF((F184&lt;=#REF!)*((F185&gt;=#REF!)+(F185&lt;2/24)),1,0),0)</f>
        <v>0</v>
      </c>
      <c r="AG185" s="6">
        <f>IF((G184&lt;&gt;"")*(G188=""),IF((G184&lt;=#REF!)*((G185&gt;=#REF!)+(G185&lt;2/24)),1,0),0)</f>
        <v>0</v>
      </c>
      <c r="AH185" s="6" t="e">
        <f>IF((H184&lt;&gt;"")*(H188=""),IF((H184&lt;=#REF!)*((H185&gt;=#REF!)+(H185&lt;2/24)),1,0),0)</f>
        <v>#REF!</v>
      </c>
      <c r="AI185" s="6">
        <f>IF((I184&lt;&gt;"")*(I188=""),IF((I184&lt;=#REF!)*((I185&gt;=#REF!)+(I185&lt;2/24)),1,0),0)</f>
        <v>0</v>
      </c>
      <c r="AJ185" s="6">
        <f>IF((J184&lt;&gt;"")*(J188=""),IF((J184&lt;=#REF!)*((J185&gt;=#REF!)+(J185&lt;2/24)),1,0),0)</f>
        <v>0</v>
      </c>
    </row>
    <row r="186" spans="1:36" x14ac:dyDescent="0.2">
      <c r="A186" s="39"/>
      <c r="B186" s="40"/>
      <c r="C186" s="15" t="s">
        <v>2</v>
      </c>
      <c r="D186" s="27"/>
      <c r="E186" s="27"/>
      <c r="F186" s="27"/>
      <c r="G186" s="27"/>
      <c r="H186" s="27"/>
      <c r="I186" s="27"/>
      <c r="J186" s="4"/>
      <c r="K186" s="17"/>
      <c r="L186" s="6"/>
      <c r="M186" s="21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D186" s="6" t="e">
        <f>IF((D184&lt;&gt;"")*(D188=""),IF((D184&lt;=#REF!)*((D185&gt;=#REF!)+(D185&lt;2/24)),1,0),0)</f>
        <v>#REF!</v>
      </c>
      <c r="AE186" s="6" t="e">
        <f>IF((E184&lt;&gt;"")*(E188=""),IF((E184&lt;=#REF!)*((E185&gt;=#REF!)+(E185&lt;2/24)),1,0),0)</f>
        <v>#REF!</v>
      </c>
      <c r="AF186" s="6">
        <f>IF((F184&lt;&gt;"")*(F188=""),IF((F184&lt;=#REF!)*((F185&gt;=#REF!)+(F185&lt;2/24)),1,0),0)</f>
        <v>0</v>
      </c>
      <c r="AG186" s="6">
        <f>IF((G184&lt;&gt;"")*(G188=""),IF((G184&lt;=#REF!)*((G185&gt;=#REF!)+(G185&lt;2/24)),1,0),0)</f>
        <v>0</v>
      </c>
      <c r="AH186" s="6" t="e">
        <f>IF((H184&lt;&gt;"")*(H188=""),IF((H184&lt;=#REF!)*((H185&gt;=#REF!)+(H185&lt;2/24)),1,0),0)</f>
        <v>#REF!</v>
      </c>
      <c r="AI186" s="6">
        <f>IF((I184&lt;&gt;"")*(I188=""),IF((I184&lt;=#REF!)*((I185&gt;=#REF!)+(I185&lt;2/24)),1,0),0)</f>
        <v>0</v>
      </c>
      <c r="AJ186" s="6">
        <f>IF((J184&lt;&gt;"")*(J188=""),IF((J184&lt;=#REF!)*((J185&gt;=#REF!)+(J185&lt;2/24)),1,0),0)</f>
        <v>0</v>
      </c>
    </row>
    <row r="187" spans="1:36" x14ac:dyDescent="0.2">
      <c r="A187" s="39"/>
      <c r="B187" s="40"/>
      <c r="C187" s="15" t="s">
        <v>3</v>
      </c>
      <c r="D187" s="57">
        <f t="shared" ref="D187:G187" si="115">IF(D184="","",IF(D185&gt;D184,(D185-D184-D186)*24,(1-D184-D186+D185)*24))</f>
        <v>5.0000000000000009</v>
      </c>
      <c r="E187" s="43">
        <f t="shared" si="115"/>
        <v>5.0000000000000009</v>
      </c>
      <c r="F187" s="43">
        <v>5</v>
      </c>
      <c r="G187" s="43" t="str">
        <f t="shared" si="115"/>
        <v/>
      </c>
      <c r="H187" s="43">
        <v>4.5</v>
      </c>
      <c r="I187" s="43"/>
      <c r="J187" s="44" t="str">
        <f t="shared" ref="J187" si="116">IF(J184="","",IF(J185&gt;J184,(J185-J184-J186)*24,(1-J184-J186+J185)*24))</f>
        <v/>
      </c>
      <c r="K187" s="18">
        <f>SUMIF(D188:J188,"",D187:J187)</f>
        <v>19.5</v>
      </c>
      <c r="L187" s="12">
        <f>SUM(D187:J187)</f>
        <v>19.5</v>
      </c>
      <c r="M187" s="24"/>
      <c r="N187" s="10">
        <f t="shared" ref="N187:T187" si="117">IF(D188="",D187,0)</f>
        <v>5.0000000000000009</v>
      </c>
      <c r="O187" s="10">
        <f t="shared" si="117"/>
        <v>5.0000000000000009</v>
      </c>
      <c r="P187" s="10">
        <f t="shared" si="117"/>
        <v>5</v>
      </c>
      <c r="Q187" s="10" t="str">
        <f t="shared" si="117"/>
        <v/>
      </c>
      <c r="R187" s="10">
        <f t="shared" si="117"/>
        <v>4.5</v>
      </c>
      <c r="S187" s="10">
        <f t="shared" si="117"/>
        <v>0</v>
      </c>
      <c r="T187" s="10" t="str">
        <f t="shared" si="117"/>
        <v/>
      </c>
      <c r="U187" s="10"/>
      <c r="V187" s="10">
        <f t="shared" ref="V187:AB187" si="118">D187</f>
        <v>5.0000000000000009</v>
      </c>
      <c r="W187" s="10">
        <f t="shared" si="118"/>
        <v>5.0000000000000009</v>
      </c>
      <c r="X187" s="10">
        <f t="shared" si="118"/>
        <v>5</v>
      </c>
      <c r="Y187" s="10" t="str">
        <f t="shared" si="118"/>
        <v/>
      </c>
      <c r="Z187" s="10">
        <f t="shared" si="118"/>
        <v>4.5</v>
      </c>
      <c r="AA187" s="10">
        <f t="shared" si="118"/>
        <v>0</v>
      </c>
      <c r="AB187" s="10" t="str">
        <f t="shared" si="118"/>
        <v/>
      </c>
      <c r="AD187" s="6" t="e">
        <f>IF((D184&lt;&gt;"")*(D188=""),IF((D184&lt;=#REF!)*((D185&gt;=#REF!)+(D185&lt;2/24)),1,0),0)</f>
        <v>#REF!</v>
      </c>
      <c r="AE187" s="6" t="e">
        <f>IF((E184&lt;&gt;"")*(E188=""),IF((E184&lt;=#REF!)*((E185&gt;=#REF!)+(E185&lt;2/24)),1,0),0)</f>
        <v>#REF!</v>
      </c>
      <c r="AF187" s="6">
        <f>IF((F184&lt;&gt;"")*(F188=""),IF((F184&lt;=#REF!)*((F185&gt;=#REF!)+(F185&lt;2/24)),1,0),0)</f>
        <v>0</v>
      </c>
      <c r="AG187" s="6">
        <f>IF((G184&lt;&gt;"")*(G188=""),IF((G184&lt;=#REF!)*((G185&gt;=#REF!)+(G185&lt;2/24)),1,0),0)</f>
        <v>0</v>
      </c>
      <c r="AH187" s="6" t="e">
        <f>IF((H184&lt;&gt;"")*(H188=""),IF((H184&lt;=#REF!)*((H185&gt;=#REF!)+(H185&lt;2/24)),1,0),0)</f>
        <v>#REF!</v>
      </c>
      <c r="AI187" s="6">
        <f>IF((I184&lt;&gt;"")*(I188=""),IF((I184&lt;=#REF!)*((I185&gt;=#REF!)+(I185&lt;2/24)),1,0),0)</f>
        <v>0</v>
      </c>
      <c r="AJ187" s="6">
        <f>IF((J184&lt;&gt;"")*(J188=""),IF((J184&lt;=#REF!)*((J185&gt;=#REF!)+(J185&lt;2/24)),1,0),0)</f>
        <v>0</v>
      </c>
    </row>
    <row r="188" spans="1:36" x14ac:dyDescent="0.2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  <c r="N188" s="6"/>
      <c r="O188" s="6"/>
      <c r="P188" s="6"/>
      <c r="Q188" s="6"/>
      <c r="R188" s="6"/>
      <c r="S188" s="6"/>
      <c r="T188" s="6"/>
      <c r="U188" s="6"/>
      <c r="V188" s="20"/>
      <c r="W188" s="20"/>
      <c r="X188" s="20"/>
      <c r="Y188" s="20"/>
      <c r="Z188" s="20"/>
      <c r="AA188" s="20"/>
      <c r="AB188" s="20"/>
      <c r="AD188" s="6" t="e">
        <f>IF((D184&lt;&gt;"")*(D188=""),IF((D184&lt;=#REF!)*((D185&gt;=#REF!)+(D185&lt;2/24)),1,0),0)</f>
        <v>#REF!</v>
      </c>
      <c r="AE188" s="6" t="e">
        <f>IF((E184&lt;&gt;"")*(E188=""),IF((E184&lt;=#REF!)*((E185&gt;=#REF!)+(E185&lt;2/24)),1,0),0)</f>
        <v>#REF!</v>
      </c>
      <c r="AF188" s="6">
        <f>IF((F184&lt;&gt;"")*(F188=""),IF((F184&lt;=#REF!)*((F185&gt;=#REF!)+(F185&lt;2/24)),1,0),0)</f>
        <v>0</v>
      </c>
      <c r="AG188" s="6">
        <f>IF((G184&lt;&gt;"")*(G188=""),IF((G184&lt;=#REF!)*((G185&gt;=#REF!)+(G185&lt;2/24)),1,0),0)</f>
        <v>0</v>
      </c>
      <c r="AH188" s="6" t="e">
        <f>IF((H184&lt;&gt;"")*(H188=""),IF((H184&lt;=#REF!)*((H185&gt;=#REF!)+(H185&lt;2/24)),1,0),0)</f>
        <v>#REF!</v>
      </c>
      <c r="AI188" s="6">
        <f>IF((I184&lt;&gt;"")*(I188=""),IF((I184&lt;=#REF!)*((I185&gt;=#REF!)+(I185&lt;2/24)),1,0),0)</f>
        <v>0</v>
      </c>
      <c r="AJ188" s="6">
        <f>IF((J184&lt;&gt;"")*(J188=""),IF((J184&lt;=#REF!)*((J185&gt;=#REF!)+(J185&lt;2/24)),1,0),0)</f>
        <v>0</v>
      </c>
    </row>
    <row r="189" spans="1:36" ht="13.5" thickBot="1" x14ac:dyDescent="0.25">
      <c r="A189" s="41"/>
      <c r="B189" s="42"/>
      <c r="C189" s="35" t="s">
        <v>28</v>
      </c>
      <c r="D189" s="36"/>
      <c r="E189" s="36"/>
      <c r="F189" s="36" t="s">
        <v>163</v>
      </c>
      <c r="G189" s="36"/>
      <c r="H189" s="36"/>
      <c r="I189" s="36"/>
      <c r="J189" s="36"/>
      <c r="K189" s="34"/>
      <c r="L189" s="6"/>
      <c r="M189" s="25"/>
      <c r="N189" s="6"/>
      <c r="O189" s="6"/>
      <c r="P189" s="6"/>
      <c r="Q189" s="6"/>
      <c r="R189" s="6"/>
      <c r="S189" s="6"/>
      <c r="T189" s="6"/>
      <c r="U189" s="6"/>
      <c r="V189" s="20"/>
      <c r="W189" s="20"/>
      <c r="X189" s="20"/>
      <c r="Y189" s="20"/>
      <c r="Z189" s="20"/>
      <c r="AA189" s="20"/>
      <c r="AB189" s="20"/>
      <c r="AD189" s="6"/>
      <c r="AE189" s="6"/>
      <c r="AF189" s="6"/>
      <c r="AG189" s="6"/>
      <c r="AH189" s="6"/>
      <c r="AI189" s="6"/>
      <c r="AJ189" s="6"/>
    </row>
    <row r="190" spans="1:36" x14ac:dyDescent="0.2">
      <c r="A190" s="37" t="s">
        <v>52</v>
      </c>
      <c r="B190" s="38" t="s">
        <v>51</v>
      </c>
      <c r="C190" s="14" t="s">
        <v>0</v>
      </c>
      <c r="D190" s="26"/>
      <c r="E190" s="26"/>
      <c r="F190" s="26"/>
      <c r="G190" s="26">
        <v>0.77083333333333337</v>
      </c>
      <c r="H190" s="26"/>
      <c r="I190" s="26"/>
      <c r="J190" s="26"/>
      <c r="K190" s="16"/>
      <c r="L190" s="6"/>
      <c r="M190" s="21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D190" s="6">
        <f>IF((D190&lt;&gt;"")*(D194=""),IF((D190&lt;=#REF!)*((D191&gt;=#REF!)+(D191&lt;2/24)),1,0),0)</f>
        <v>0</v>
      </c>
      <c r="AE190" s="6">
        <f>IF((E190&lt;&gt;"")*(E194=""),IF((E190&lt;=#REF!)*((E191&gt;=#REF!)+(E191&lt;2/24)),1,0),0)</f>
        <v>0</v>
      </c>
      <c r="AF190" s="6">
        <f>IF((F190&lt;&gt;"")*(F194=""),IF((F190&lt;=#REF!)*((F191&gt;=#REF!)+(F191&lt;2/24)),1,0),0)</f>
        <v>0</v>
      </c>
      <c r="AG190" s="6" t="e">
        <f>IF((G190&lt;&gt;"")*(G194=""),IF((G190&lt;=#REF!)*((G191&gt;=#REF!)+(G191&lt;2/24)),1,0),0)</f>
        <v>#REF!</v>
      </c>
      <c r="AH190" s="6">
        <f>IF((H190&lt;&gt;"")*(H194=""),IF((H190&lt;=#REF!)*((H191&gt;=#REF!)+(H191&lt;2/24)),1,0),0)</f>
        <v>0</v>
      </c>
      <c r="AI190" s="6">
        <f>IF((I190&lt;&gt;"")*(I194=""),IF((I190&lt;=#REF!)*((I191&gt;=#REF!)+(I191&lt;2/24)),1,0),0)</f>
        <v>0</v>
      </c>
      <c r="AJ190" s="6">
        <f>IF((J190&lt;&gt;"")*(J194=""),IF((J190&lt;=#REF!)*((J191&gt;=#REF!)+(J191&lt;2/24)),1,0),0)</f>
        <v>0</v>
      </c>
    </row>
    <row r="191" spans="1:36" x14ac:dyDescent="0.2">
      <c r="A191" s="39"/>
      <c r="B191" s="40"/>
      <c r="C191" s="15" t="s">
        <v>1</v>
      </c>
      <c r="D191" s="27"/>
      <c r="E191" s="27"/>
      <c r="F191" s="27"/>
      <c r="G191" s="27">
        <v>0.95833333333333337</v>
      </c>
      <c r="H191" s="27"/>
      <c r="I191" s="27"/>
      <c r="J191" s="27"/>
      <c r="K191" s="17"/>
      <c r="L191" s="6"/>
      <c r="M191" s="21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D191" s="6">
        <f>IF((D190&lt;&gt;"")*(D194=""),IF((D190&lt;=#REF!)*((D191&gt;=#REF!)+(D191&lt;2/24)),1,0),0)</f>
        <v>0</v>
      </c>
      <c r="AE191" s="6">
        <f>IF((E190&lt;&gt;"")*(E194=""),IF((E190&lt;=#REF!)*((E191&gt;=#REF!)+(E191&lt;2/24)),1,0),0)</f>
        <v>0</v>
      </c>
      <c r="AF191" s="6">
        <f>IF((F190&lt;&gt;"")*(F194=""),IF((F190&lt;=#REF!)*((F191&gt;=#REF!)+(F191&lt;2/24)),1,0),0)</f>
        <v>0</v>
      </c>
      <c r="AG191" s="6" t="e">
        <f>IF((G190&lt;&gt;"")*(G194=""),IF((G190&lt;=#REF!)*((G191&gt;=#REF!)+(G191&lt;2/24)),1,0),0)</f>
        <v>#REF!</v>
      </c>
      <c r="AH191" s="6">
        <f>IF((H190&lt;&gt;"")*(H194=""),IF((H190&lt;=#REF!)*((H191&gt;=#REF!)+(H191&lt;2/24)),1,0),0)</f>
        <v>0</v>
      </c>
      <c r="AI191" s="6">
        <f>IF((I190&lt;&gt;"")*(I194=""),IF((I190&lt;=#REF!)*((I191&gt;=#REF!)+(I191&lt;2/24)),1,0),0)</f>
        <v>0</v>
      </c>
      <c r="AJ191" s="6">
        <f>IF((J190&lt;&gt;"")*(J194=""),IF((J190&lt;=#REF!)*((J191&gt;=#REF!)+(J191&lt;2/24)),1,0),0)</f>
        <v>0</v>
      </c>
    </row>
    <row r="192" spans="1:36" x14ac:dyDescent="0.2">
      <c r="A192" s="39"/>
      <c r="B192" s="40"/>
      <c r="C192" s="15" t="s">
        <v>2</v>
      </c>
      <c r="D192" s="27"/>
      <c r="E192" s="27"/>
      <c r="F192" s="27"/>
      <c r="G192" s="27"/>
      <c r="H192" s="27"/>
      <c r="I192" s="27"/>
      <c r="J192" s="4"/>
      <c r="K192" s="17"/>
      <c r="L192" s="6"/>
      <c r="M192" s="21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D192" s="6">
        <f>IF((D190&lt;&gt;"")*(D194=""),IF((D190&lt;=#REF!)*((D191&gt;=#REF!)+(D191&lt;2/24)),1,0),0)</f>
        <v>0</v>
      </c>
      <c r="AE192" s="6">
        <f>IF((E190&lt;&gt;"")*(E194=""),IF((E190&lt;=#REF!)*((E191&gt;=#REF!)+(E191&lt;2/24)),1,0),0)</f>
        <v>0</v>
      </c>
      <c r="AF192" s="6">
        <f>IF((F190&lt;&gt;"")*(F194=""),IF((F190&lt;=#REF!)*((F191&gt;=#REF!)+(F191&lt;2/24)),1,0),0)</f>
        <v>0</v>
      </c>
      <c r="AG192" s="6" t="e">
        <f>IF((G190&lt;&gt;"")*(G194=""),IF((G190&lt;=#REF!)*((G191&gt;=#REF!)+(G191&lt;2/24)),1,0),0)</f>
        <v>#REF!</v>
      </c>
      <c r="AH192" s="6">
        <f>IF((H190&lt;&gt;"")*(H194=""),IF((H190&lt;=#REF!)*((H191&gt;=#REF!)+(H191&lt;2/24)),1,0),0)</f>
        <v>0</v>
      </c>
      <c r="AI192" s="6">
        <f>IF((I190&lt;&gt;"")*(I194=""),IF((I190&lt;=#REF!)*((I191&gt;=#REF!)+(I191&lt;2/24)),1,0),0)</f>
        <v>0</v>
      </c>
      <c r="AJ192" s="6">
        <f>IF((J190&lt;&gt;"")*(J194=""),IF((J190&lt;=#REF!)*((J191&gt;=#REF!)+(J191&lt;2/24)),1,0),0)</f>
        <v>0</v>
      </c>
    </row>
    <row r="193" spans="1:36" x14ac:dyDescent="0.2">
      <c r="A193" s="39"/>
      <c r="B193" s="40"/>
      <c r="C193" s="15" t="s">
        <v>3</v>
      </c>
      <c r="D193" s="57" t="str">
        <f t="shared" ref="D193:J193" si="119">IF(D190="","",IF(D191&gt;D190,(D191-D190-D192)*24,(1-D190-D192+D191)*24))</f>
        <v/>
      </c>
      <c r="E193" s="43" t="str">
        <f t="shared" si="119"/>
        <v/>
      </c>
      <c r="F193" s="43" t="str">
        <f t="shared" si="119"/>
        <v/>
      </c>
      <c r="G193" s="43">
        <f t="shared" si="119"/>
        <v>4.5</v>
      </c>
      <c r="H193" s="43" t="str">
        <f t="shared" si="119"/>
        <v/>
      </c>
      <c r="I193" s="57" t="str">
        <f t="shared" si="119"/>
        <v/>
      </c>
      <c r="J193" s="44" t="str">
        <f t="shared" si="119"/>
        <v/>
      </c>
      <c r="K193" s="18">
        <f>SUMIF(D194:J194,"",D193:J193)</f>
        <v>4.5</v>
      </c>
      <c r="L193" s="12">
        <f>SUM(D193:J193)</f>
        <v>4.5</v>
      </c>
      <c r="M193" s="24"/>
      <c r="N193" s="10" t="str">
        <f t="shared" ref="N193:T193" si="120">IF(D194="",D193,0)</f>
        <v/>
      </c>
      <c r="O193" s="10" t="str">
        <f t="shared" si="120"/>
        <v/>
      </c>
      <c r="P193" s="10" t="str">
        <f t="shared" si="120"/>
        <v/>
      </c>
      <c r="Q193" s="10">
        <f t="shared" si="120"/>
        <v>4.5</v>
      </c>
      <c r="R193" s="10" t="str">
        <f t="shared" si="120"/>
        <v/>
      </c>
      <c r="S193" s="10" t="str">
        <f t="shared" si="120"/>
        <v/>
      </c>
      <c r="T193" s="10" t="str">
        <f t="shared" si="120"/>
        <v/>
      </c>
      <c r="U193" s="10"/>
      <c r="V193" s="10" t="str">
        <f t="shared" ref="V193:AB193" si="121">D193</f>
        <v/>
      </c>
      <c r="W193" s="10" t="str">
        <f t="shared" si="121"/>
        <v/>
      </c>
      <c r="X193" s="10" t="str">
        <f t="shared" si="121"/>
        <v/>
      </c>
      <c r="Y193" s="10">
        <f t="shared" si="121"/>
        <v>4.5</v>
      </c>
      <c r="Z193" s="10" t="str">
        <f t="shared" si="121"/>
        <v/>
      </c>
      <c r="AA193" s="10" t="str">
        <f t="shared" si="121"/>
        <v/>
      </c>
      <c r="AB193" s="10" t="str">
        <f t="shared" si="121"/>
        <v/>
      </c>
      <c r="AD193" s="6">
        <f>IF((D190&lt;&gt;"")*(D194=""),IF((D190&lt;=#REF!)*((D191&gt;=#REF!)+(D191&lt;2/24)),1,0),0)</f>
        <v>0</v>
      </c>
      <c r="AE193" s="6">
        <f>IF((E190&lt;&gt;"")*(E194=""),IF((E190&lt;=#REF!)*((E191&gt;=#REF!)+(E191&lt;2/24)),1,0),0)</f>
        <v>0</v>
      </c>
      <c r="AF193" s="6">
        <f>IF((F190&lt;&gt;"")*(F194=""),IF((F190&lt;=#REF!)*((F191&gt;=#REF!)+(F191&lt;2/24)),1,0),0)</f>
        <v>0</v>
      </c>
      <c r="AG193" s="6" t="e">
        <f>IF((G190&lt;&gt;"")*(G194=""),IF((G190&lt;=#REF!)*((G191&gt;=#REF!)+(G191&lt;2/24)),1,0),0)</f>
        <v>#REF!</v>
      </c>
      <c r="AH193" s="6">
        <f>IF((H190&lt;&gt;"")*(H194=""),IF((H190&lt;=#REF!)*((H191&gt;=#REF!)+(H191&lt;2/24)),1,0),0)</f>
        <v>0</v>
      </c>
      <c r="AI193" s="6">
        <f>IF((I190&lt;&gt;"")*(I194=""),IF((I190&lt;=#REF!)*((I191&gt;=#REF!)+(I191&lt;2/24)),1,0),0)</f>
        <v>0</v>
      </c>
      <c r="AJ193" s="6">
        <f>IF((J190&lt;&gt;"")*(J194=""),IF((J190&lt;=#REF!)*((J191&gt;=#REF!)+(J191&lt;2/24)),1,0),0)</f>
        <v>0</v>
      </c>
    </row>
    <row r="194" spans="1:36" x14ac:dyDescent="0.2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  <c r="N194" s="6"/>
      <c r="O194" s="6"/>
      <c r="P194" s="6"/>
      <c r="Q194" s="6"/>
      <c r="R194" s="6"/>
      <c r="S194" s="6"/>
      <c r="T194" s="6"/>
      <c r="U194" s="6"/>
      <c r="V194" s="20"/>
      <c r="W194" s="20"/>
      <c r="X194" s="20"/>
      <c r="Y194" s="20"/>
      <c r="Z194" s="20"/>
      <c r="AA194" s="20"/>
      <c r="AB194" s="20"/>
      <c r="AD194" s="6">
        <f>IF((D190&lt;&gt;"")*(D194=""),IF((D190&lt;=#REF!)*((D191&gt;=#REF!)+(D191&lt;2/24)),1,0),0)</f>
        <v>0</v>
      </c>
      <c r="AE194" s="6">
        <f>IF((E190&lt;&gt;"")*(E194=""),IF((E190&lt;=#REF!)*((E191&gt;=#REF!)+(E191&lt;2/24)),1,0),0)</f>
        <v>0</v>
      </c>
      <c r="AF194" s="6">
        <f>IF((F190&lt;&gt;"")*(F194=""),IF((F190&lt;=#REF!)*((F191&gt;=#REF!)+(F191&lt;2/24)),1,0),0)</f>
        <v>0</v>
      </c>
      <c r="AG194" s="6" t="e">
        <f>IF((G190&lt;&gt;"")*(G194=""),IF((G190&lt;=#REF!)*((G191&gt;=#REF!)+(G191&lt;2/24)),1,0),0)</f>
        <v>#REF!</v>
      </c>
      <c r="AH194" s="6">
        <f>IF((H190&lt;&gt;"")*(H194=""),IF((H190&lt;=#REF!)*((H191&gt;=#REF!)+(H191&lt;2/24)),1,0),0)</f>
        <v>0</v>
      </c>
      <c r="AI194" s="6">
        <f>IF((I190&lt;&gt;"")*(I194=""),IF((I190&lt;=#REF!)*((I191&gt;=#REF!)+(I191&lt;2/24)),1,0),0)</f>
        <v>0</v>
      </c>
      <c r="AJ194" s="6">
        <f>IF((J190&lt;&gt;"")*(J194=""),IF((J190&lt;=#REF!)*((J191&gt;=#REF!)+(J191&lt;2/24)),1,0),0)</f>
        <v>0</v>
      </c>
    </row>
    <row r="195" spans="1:36" ht="13.5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  <c r="N195" s="6"/>
      <c r="O195" s="6"/>
      <c r="P195" s="6"/>
      <c r="Q195" s="6"/>
      <c r="R195" s="6"/>
      <c r="S195" s="6"/>
      <c r="T195" s="6"/>
      <c r="U195" s="6"/>
      <c r="V195" s="20"/>
      <c r="W195" s="20"/>
      <c r="X195" s="20"/>
      <c r="Y195" s="20"/>
      <c r="Z195" s="20"/>
      <c r="AA195" s="20"/>
      <c r="AB195" s="20"/>
      <c r="AD195" s="6"/>
      <c r="AE195" s="6"/>
      <c r="AF195" s="6"/>
      <c r="AG195" s="6"/>
      <c r="AH195" s="6"/>
      <c r="AI195" s="6"/>
      <c r="AJ195" s="6"/>
    </row>
    <row r="196" spans="1:36" x14ac:dyDescent="0.2">
      <c r="A196" s="37" t="s">
        <v>119</v>
      </c>
      <c r="B196" s="38" t="s">
        <v>45</v>
      </c>
      <c r="C196" s="14" t="s">
        <v>0</v>
      </c>
      <c r="D196" s="26"/>
      <c r="E196" s="26"/>
      <c r="F196" s="26"/>
      <c r="G196" s="26"/>
      <c r="H196" s="26">
        <v>0.54166666666666663</v>
      </c>
      <c r="I196" s="26">
        <v>0.54166666666666663</v>
      </c>
      <c r="J196" s="26">
        <v>0.54166666666666663</v>
      </c>
      <c r="K196" s="16"/>
      <c r="L196" s="6"/>
      <c r="M196" s="21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D196" s="6">
        <f>IF((D196&lt;&gt;"")*(D200=""),IF((D196&lt;=#REF!)*((D197&gt;=#REF!)+(D197&lt;2/24)),1,0),0)</f>
        <v>0</v>
      </c>
      <c r="AE196" s="6">
        <f>IF((E196&lt;&gt;"")*(E200=""),IF((E196&lt;=#REF!)*((E197&gt;=#REF!)+(E197&lt;2/24)),1,0),0)</f>
        <v>0</v>
      </c>
      <c r="AF196" s="6">
        <f>IF((F196&lt;&gt;"")*(F200=""),IF((F196&lt;=#REF!)*((F197&gt;=#REF!)+(F197&lt;2/24)),1,0),0)</f>
        <v>0</v>
      </c>
      <c r="AG196" s="6">
        <f>IF((G196&lt;&gt;"")*(G200=""),IF((G196&lt;=#REF!)*((G197&gt;=#REF!)+(G197&lt;2/24)),1,0),0)</f>
        <v>0</v>
      </c>
      <c r="AH196" s="6" t="e">
        <f>IF((H196&lt;&gt;"")*(H200=""),IF((H196&lt;=#REF!)*((H197&gt;=#REF!)+(H197&lt;2/24)),1,0),0)</f>
        <v>#REF!</v>
      </c>
      <c r="AI196" s="6" t="e">
        <f>IF((I196&lt;&gt;"")*(I200=""),IF((I196&lt;=#REF!)*((I197&gt;=#REF!)+(I197&lt;2/24)),1,0),0)</f>
        <v>#REF!</v>
      </c>
      <c r="AJ196" s="6" t="e">
        <f>IF((J196&lt;&gt;"")*(J200=""),IF((J196&lt;=#REF!)*((J197&gt;=#REF!)+(J197&lt;2/24)),1,0),0)</f>
        <v>#REF!</v>
      </c>
    </row>
    <row r="197" spans="1:36" x14ac:dyDescent="0.2">
      <c r="A197" s="39"/>
      <c r="B197" s="40"/>
      <c r="C197" s="15" t="s">
        <v>1</v>
      </c>
      <c r="D197" s="27"/>
      <c r="E197" s="27"/>
      <c r="F197" s="27"/>
      <c r="G197" s="27"/>
      <c r="H197" s="27">
        <v>0.95833333333333337</v>
      </c>
      <c r="I197" s="27">
        <v>0.95833333333333337</v>
      </c>
      <c r="J197" s="27">
        <v>0.95833333333333337</v>
      </c>
      <c r="K197" s="17"/>
      <c r="L197" s="6"/>
      <c r="M197" s="21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D197" s="6">
        <f>IF((D196&lt;&gt;"")*(D200=""),IF((D196&lt;=#REF!)*((D197&gt;=#REF!)+(D197&lt;2/24)),1,0),0)</f>
        <v>0</v>
      </c>
      <c r="AE197" s="6">
        <f>IF((E196&lt;&gt;"")*(E200=""),IF((E196&lt;=#REF!)*((E197&gt;=#REF!)+(E197&lt;2/24)),1,0),0)</f>
        <v>0</v>
      </c>
      <c r="AF197" s="6">
        <f>IF((F196&lt;&gt;"")*(F200=""),IF((F196&lt;=#REF!)*((F197&gt;=#REF!)+(F197&lt;2/24)),1,0),0)</f>
        <v>0</v>
      </c>
      <c r="AG197" s="6">
        <f>IF((G196&lt;&gt;"")*(G200=""),IF((G196&lt;=#REF!)*((G197&gt;=#REF!)+(G197&lt;2/24)),1,0),0)</f>
        <v>0</v>
      </c>
      <c r="AH197" s="6" t="e">
        <f>IF((H196&lt;&gt;"")*(H200=""),IF((H196&lt;=#REF!)*((H197&gt;=#REF!)+(H197&lt;2/24)),1,0),0)</f>
        <v>#REF!</v>
      </c>
      <c r="AI197" s="6" t="e">
        <f>IF((I196&lt;&gt;"")*(I200=""),IF((I196&lt;=#REF!)*((I197&gt;=#REF!)+(I197&lt;2/24)),1,0),0)</f>
        <v>#REF!</v>
      </c>
      <c r="AJ197" s="6" t="e">
        <f>IF((J196&lt;&gt;"")*(J200=""),IF((J196&lt;=#REF!)*((J197&gt;=#REF!)+(J197&lt;2/24)),1,0),0)</f>
        <v>#REF!</v>
      </c>
    </row>
    <row r="198" spans="1:36" x14ac:dyDescent="0.2">
      <c r="A198" s="39"/>
      <c r="B198" s="40"/>
      <c r="C198" s="15" t="s">
        <v>2</v>
      </c>
      <c r="D198" s="27"/>
      <c r="E198" s="27"/>
      <c r="F198" s="27"/>
      <c r="G198" s="27"/>
      <c r="H198" s="4">
        <v>4.1666666666666664E-2</v>
      </c>
      <c r="I198" s="4">
        <v>4.1666666666666664E-2</v>
      </c>
      <c r="J198" s="4">
        <v>4.1666666666666664E-2</v>
      </c>
      <c r="K198" s="17"/>
      <c r="L198" s="6"/>
      <c r="M198" s="21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D198" s="6">
        <f>IF((D196&lt;&gt;"")*(D200=""),IF((D196&lt;=#REF!)*((D197&gt;=#REF!)+(D197&lt;2/24)),1,0),0)</f>
        <v>0</v>
      </c>
      <c r="AE198" s="6">
        <f>IF((E196&lt;&gt;"")*(E200=""),IF((E196&lt;=#REF!)*((E197&gt;=#REF!)+(E197&lt;2/24)),1,0),0)</f>
        <v>0</v>
      </c>
      <c r="AF198" s="6">
        <f>IF((F196&lt;&gt;"")*(F200=""),IF((F196&lt;=#REF!)*((F197&gt;=#REF!)+(F197&lt;2/24)),1,0),0)</f>
        <v>0</v>
      </c>
      <c r="AG198" s="6">
        <f>IF((G196&lt;&gt;"")*(G200=""),IF((G196&lt;=#REF!)*((G197&gt;=#REF!)+(G197&lt;2/24)),1,0),0)</f>
        <v>0</v>
      </c>
      <c r="AH198" s="6" t="e">
        <f>IF((H196&lt;&gt;"")*(H200=""),IF((H196&lt;=#REF!)*((H197&gt;=#REF!)+(H197&lt;2/24)),1,0),0)</f>
        <v>#REF!</v>
      </c>
      <c r="AI198" s="6" t="e">
        <f>IF((I196&lt;&gt;"")*(I200=""),IF((I196&lt;=#REF!)*((I197&gt;=#REF!)+(I197&lt;2/24)),1,0),0)</f>
        <v>#REF!</v>
      </c>
      <c r="AJ198" s="6" t="e">
        <f>IF((J196&lt;&gt;"")*(J200=""),IF((J196&lt;=#REF!)*((J197&gt;=#REF!)+(J197&lt;2/24)),1,0),0)</f>
        <v>#REF!</v>
      </c>
    </row>
    <row r="199" spans="1:36" x14ac:dyDescent="0.2">
      <c r="A199" s="39"/>
      <c r="B199" s="40"/>
      <c r="C199" s="15" t="s">
        <v>3</v>
      </c>
      <c r="D199" s="57" t="str">
        <f t="shared" ref="D199:J199" si="122">IF(D196="","",IF(D197&gt;D196,(D197-D196-D198)*24,(1-D196-D198+D197)*24))</f>
        <v/>
      </c>
      <c r="E199" s="43" t="str">
        <f t="shared" si="122"/>
        <v/>
      </c>
      <c r="F199" s="43" t="str">
        <f t="shared" si="122"/>
        <v/>
      </c>
      <c r="G199" s="43" t="str">
        <f t="shared" si="122"/>
        <v/>
      </c>
      <c r="H199" s="43">
        <f t="shared" si="122"/>
        <v>9.0000000000000018</v>
      </c>
      <c r="I199" s="57">
        <f t="shared" si="122"/>
        <v>9.0000000000000018</v>
      </c>
      <c r="J199" s="44">
        <f t="shared" si="122"/>
        <v>9.0000000000000018</v>
      </c>
      <c r="K199" s="18">
        <f>SUMIF(D200:J200,"",D199:J199)</f>
        <v>27.000000000000007</v>
      </c>
      <c r="L199" s="12">
        <f>SUM(D199:J199)</f>
        <v>27.000000000000007</v>
      </c>
      <c r="M199" s="24"/>
      <c r="N199" s="10" t="str">
        <f t="shared" ref="N199" si="123">IF(D200="",D199,0)</f>
        <v/>
      </c>
      <c r="O199" s="10" t="str">
        <f t="shared" ref="O199" si="124">IF(E200="",E199,0)</f>
        <v/>
      </c>
      <c r="P199" s="10" t="str">
        <f t="shared" ref="P199" si="125">IF(F200="",F199,0)</f>
        <v/>
      </c>
      <c r="Q199" s="10" t="str">
        <f t="shared" ref="Q199" si="126">IF(G200="",G199,0)</f>
        <v/>
      </c>
      <c r="R199" s="10">
        <f t="shared" ref="R199" si="127">IF(H200="",H199,0)</f>
        <v>9.0000000000000018</v>
      </c>
      <c r="S199" s="10">
        <f t="shared" ref="S199" si="128">IF(I200="",I199,0)</f>
        <v>9.0000000000000018</v>
      </c>
      <c r="T199" s="10">
        <f t="shared" ref="T199" si="129">IF(J200="",J199,0)</f>
        <v>9.0000000000000018</v>
      </c>
      <c r="U199" s="10"/>
      <c r="V199" s="10" t="str">
        <f t="shared" ref="V199" si="130">D199</f>
        <v/>
      </c>
      <c r="W199" s="10" t="str">
        <f t="shared" ref="W199" si="131">E199</f>
        <v/>
      </c>
      <c r="X199" s="10" t="str">
        <f t="shared" ref="X199" si="132">F199</f>
        <v/>
      </c>
      <c r="Y199" s="10" t="str">
        <f t="shared" ref="Y199" si="133">G199</f>
        <v/>
      </c>
      <c r="Z199" s="10">
        <f t="shared" ref="Z199" si="134">H199</f>
        <v>9.0000000000000018</v>
      </c>
      <c r="AA199" s="10">
        <f t="shared" ref="AA199" si="135">I199</f>
        <v>9.0000000000000018</v>
      </c>
      <c r="AB199" s="10">
        <f t="shared" ref="AB199" si="136">J199</f>
        <v>9.0000000000000018</v>
      </c>
      <c r="AD199" s="6">
        <f>IF((D196&lt;&gt;"")*(D200=""),IF((D196&lt;=#REF!)*((D197&gt;=#REF!)+(D197&lt;2/24)),1,0),0)</f>
        <v>0</v>
      </c>
      <c r="AE199" s="6">
        <f>IF((E196&lt;&gt;"")*(E200=""),IF((E196&lt;=#REF!)*((E197&gt;=#REF!)+(E197&lt;2/24)),1,0),0)</f>
        <v>0</v>
      </c>
      <c r="AF199" s="6">
        <f>IF((F196&lt;&gt;"")*(F200=""),IF((F196&lt;=#REF!)*((F197&gt;=#REF!)+(F197&lt;2/24)),1,0),0)</f>
        <v>0</v>
      </c>
      <c r="AG199" s="6">
        <f>IF((G196&lt;&gt;"")*(G200=""),IF((G196&lt;=#REF!)*((G197&gt;=#REF!)+(G197&lt;2/24)),1,0),0)</f>
        <v>0</v>
      </c>
      <c r="AH199" s="6" t="e">
        <f>IF((H196&lt;&gt;"")*(H200=""),IF((H196&lt;=#REF!)*((H197&gt;=#REF!)+(H197&lt;2/24)),1,0),0)</f>
        <v>#REF!</v>
      </c>
      <c r="AI199" s="6" t="e">
        <f>IF((I196&lt;&gt;"")*(I200=""),IF((I196&lt;=#REF!)*((I197&gt;=#REF!)+(I197&lt;2/24)),1,0),0)</f>
        <v>#REF!</v>
      </c>
      <c r="AJ199" s="6" t="e">
        <f>IF((J196&lt;&gt;"")*(J200=""),IF((J196&lt;=#REF!)*((J197&gt;=#REF!)+(J197&lt;2/24)),1,0),0)</f>
        <v>#REF!</v>
      </c>
    </row>
    <row r="200" spans="1:36" x14ac:dyDescent="0.2">
      <c r="A200" s="39"/>
      <c r="B200" s="40"/>
      <c r="C200" s="32" t="s">
        <v>4</v>
      </c>
      <c r="D200" s="33"/>
      <c r="E200" s="33"/>
      <c r="F200" s="33"/>
      <c r="G200" s="33"/>
      <c r="H200" s="33"/>
      <c r="I200" s="33"/>
      <c r="J200" s="33"/>
      <c r="K200" s="17"/>
      <c r="L200" s="6"/>
      <c r="M200" s="25"/>
      <c r="N200" s="6"/>
      <c r="O200" s="6"/>
      <c r="P200" s="6"/>
      <c r="Q200" s="6"/>
      <c r="R200" s="6"/>
      <c r="S200" s="6"/>
      <c r="T200" s="6"/>
      <c r="U200" s="6"/>
      <c r="V200" s="20"/>
      <c r="W200" s="20"/>
      <c r="X200" s="20"/>
      <c r="Y200" s="20"/>
      <c r="Z200" s="20"/>
      <c r="AA200" s="20"/>
      <c r="AB200" s="20"/>
      <c r="AD200" s="6">
        <f>IF((D196&lt;&gt;"")*(D200=""),IF((D196&lt;=#REF!)*((D197&gt;=#REF!)+(D197&lt;2/24)),1,0),0)</f>
        <v>0</v>
      </c>
      <c r="AE200" s="6">
        <f>IF((E196&lt;&gt;"")*(E200=""),IF((E196&lt;=#REF!)*((E197&gt;=#REF!)+(E197&lt;2/24)),1,0),0)</f>
        <v>0</v>
      </c>
      <c r="AF200" s="6">
        <f>IF((F196&lt;&gt;"")*(F200=""),IF((F196&lt;=#REF!)*((F197&gt;=#REF!)+(F197&lt;2/24)),1,0),0)</f>
        <v>0</v>
      </c>
      <c r="AG200" s="6">
        <f>IF((G196&lt;&gt;"")*(G200=""),IF((G196&lt;=#REF!)*((G197&gt;=#REF!)+(G197&lt;2/24)),1,0),0)</f>
        <v>0</v>
      </c>
      <c r="AH200" s="6" t="e">
        <f>IF((H196&lt;&gt;"")*(H200=""),IF((H196&lt;=#REF!)*((H197&gt;=#REF!)+(H197&lt;2/24)),1,0),0)</f>
        <v>#REF!</v>
      </c>
      <c r="AI200" s="6" t="e">
        <f>IF((I196&lt;&gt;"")*(I200=""),IF((I196&lt;=#REF!)*((I197&gt;=#REF!)+(I197&lt;2/24)),1,0),0)</f>
        <v>#REF!</v>
      </c>
      <c r="AJ200" s="6" t="e">
        <f>IF((J196&lt;&gt;"")*(J200=""),IF((J196&lt;=#REF!)*((J197&gt;=#REF!)+(J197&lt;2/24)),1,0),0)</f>
        <v>#REF!</v>
      </c>
    </row>
    <row r="201" spans="1:36" ht="13.5" thickBot="1" x14ac:dyDescent="0.25">
      <c r="A201" s="41"/>
      <c r="B201" s="42"/>
      <c r="C201" s="35" t="s">
        <v>28</v>
      </c>
      <c r="D201" s="93"/>
      <c r="E201" s="93"/>
      <c r="F201" s="93"/>
      <c r="G201" s="93"/>
      <c r="H201" s="93"/>
      <c r="I201" s="93"/>
      <c r="J201" s="93"/>
      <c r="K201" s="94"/>
      <c r="L201" s="6"/>
      <c r="M201" s="25"/>
      <c r="N201" s="6"/>
      <c r="O201" s="6"/>
      <c r="P201" s="6"/>
      <c r="Q201" s="6"/>
      <c r="R201" s="6"/>
      <c r="S201" s="6"/>
      <c r="T201" s="6"/>
      <c r="U201" s="6"/>
      <c r="V201" s="20"/>
      <c r="W201" s="20"/>
      <c r="X201" s="20"/>
      <c r="Y201" s="20"/>
      <c r="Z201" s="20"/>
      <c r="AA201" s="20"/>
      <c r="AB201" s="20"/>
      <c r="AD201" s="6"/>
      <c r="AE201" s="6"/>
      <c r="AF201" s="6"/>
      <c r="AG201" s="6"/>
      <c r="AH201" s="6"/>
      <c r="AI201" s="6"/>
      <c r="AJ201" s="6"/>
    </row>
    <row r="202" spans="1:36" x14ac:dyDescent="0.2">
      <c r="A202" s="37" t="s">
        <v>60</v>
      </c>
      <c r="B202" s="38" t="s">
        <v>51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  <c r="L202" s="6"/>
      <c r="M202" s="25"/>
      <c r="N202" s="6"/>
      <c r="O202" s="6"/>
      <c r="P202" s="6"/>
      <c r="Q202" s="6"/>
      <c r="R202" s="6"/>
      <c r="S202" s="6"/>
      <c r="T202" s="6"/>
      <c r="U202" s="6"/>
      <c r="V202" s="20"/>
      <c r="W202" s="20"/>
      <c r="X202" s="20"/>
      <c r="Y202" s="20"/>
      <c r="Z202" s="20"/>
      <c r="AA202" s="20"/>
      <c r="AB202" s="20"/>
      <c r="AD202" s="6"/>
      <c r="AE202" s="6"/>
      <c r="AF202" s="6"/>
      <c r="AG202" s="6"/>
      <c r="AH202" s="6"/>
      <c r="AI202" s="6"/>
      <c r="AJ202" s="6"/>
    </row>
    <row r="203" spans="1:36" x14ac:dyDescent="0.2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  <c r="L203" s="6"/>
      <c r="M203" s="25"/>
      <c r="N203" s="6"/>
      <c r="O203" s="6"/>
      <c r="P203" s="6"/>
      <c r="Q203" s="6"/>
      <c r="R203" s="6"/>
      <c r="S203" s="6"/>
      <c r="T203" s="6"/>
      <c r="U203" s="6"/>
      <c r="V203" s="20"/>
      <c r="W203" s="20"/>
      <c r="X203" s="20"/>
      <c r="Y203" s="20"/>
      <c r="Z203" s="20"/>
      <c r="AA203" s="20"/>
      <c r="AB203" s="20"/>
      <c r="AD203" s="6"/>
      <c r="AE203" s="6"/>
      <c r="AF203" s="6"/>
      <c r="AG203" s="6"/>
      <c r="AH203" s="6"/>
      <c r="AI203" s="6"/>
      <c r="AJ203" s="6"/>
    </row>
    <row r="204" spans="1:36" x14ac:dyDescent="0.2">
      <c r="A204" s="39"/>
      <c r="B204" s="40"/>
      <c r="C204" s="15" t="s">
        <v>2</v>
      </c>
      <c r="D204" s="27"/>
      <c r="E204" s="27"/>
      <c r="F204" s="27"/>
      <c r="G204" s="27"/>
      <c r="H204" s="27"/>
      <c r="I204" s="27"/>
      <c r="J204" s="4"/>
      <c r="K204" s="17"/>
      <c r="L204" s="6"/>
      <c r="M204" s="25"/>
      <c r="N204" s="6"/>
      <c r="O204" s="6"/>
      <c r="P204" s="6"/>
      <c r="Q204" s="6"/>
      <c r="R204" s="6"/>
      <c r="S204" s="6"/>
      <c r="T204" s="6"/>
      <c r="U204" s="6"/>
      <c r="V204" s="20"/>
      <c r="W204" s="20"/>
      <c r="X204" s="20"/>
      <c r="Y204" s="20"/>
      <c r="Z204" s="20"/>
      <c r="AA204" s="20"/>
      <c r="AB204" s="20"/>
      <c r="AD204" s="6"/>
      <c r="AE204" s="6"/>
      <c r="AF204" s="6"/>
      <c r="AG204" s="6"/>
      <c r="AH204" s="6"/>
      <c r="AI204" s="6"/>
      <c r="AJ204" s="6"/>
    </row>
    <row r="205" spans="1:36" x14ac:dyDescent="0.2">
      <c r="A205" s="39"/>
      <c r="B205" s="40"/>
      <c r="C205" s="15" t="s">
        <v>3</v>
      </c>
      <c r="D205" s="57" t="str">
        <f t="shared" ref="D205:J205" si="137">IF(D202="","",IF(D203&gt;D202,(D203-D202-D204)*24,(1-D202-D204+D203)*24))</f>
        <v/>
      </c>
      <c r="E205" s="43" t="str">
        <f t="shared" si="137"/>
        <v/>
      </c>
      <c r="F205" s="43" t="str">
        <f t="shared" si="137"/>
        <v/>
      </c>
      <c r="G205" s="43" t="str">
        <f t="shared" si="137"/>
        <v/>
      </c>
      <c r="H205" s="43" t="str">
        <f t="shared" si="137"/>
        <v/>
      </c>
      <c r="I205" s="57" t="str">
        <f t="shared" si="137"/>
        <v/>
      </c>
      <c r="J205" s="44" t="str">
        <f t="shared" si="137"/>
        <v/>
      </c>
      <c r="K205" s="18">
        <f>SUMIF(D206:J206,"",D205:J205)</f>
        <v>0</v>
      </c>
      <c r="L205" s="12">
        <f>SUM(D205:J205)</f>
        <v>0</v>
      </c>
      <c r="M205" s="25"/>
      <c r="N205" s="6"/>
      <c r="O205" s="6"/>
      <c r="P205" s="6"/>
      <c r="Q205" s="6"/>
      <c r="R205" s="6"/>
      <c r="S205" s="6"/>
      <c r="T205" s="6"/>
      <c r="U205" s="6"/>
      <c r="V205" s="20"/>
      <c r="W205" s="20"/>
      <c r="X205" s="20"/>
      <c r="Y205" s="20"/>
      <c r="Z205" s="20"/>
      <c r="AA205" s="20"/>
      <c r="AB205" s="20"/>
      <c r="AD205" s="6"/>
      <c r="AE205" s="6"/>
      <c r="AF205" s="6"/>
      <c r="AG205" s="6"/>
      <c r="AH205" s="6"/>
      <c r="AI205" s="6"/>
      <c r="AJ205" s="6"/>
    </row>
    <row r="206" spans="1:36" x14ac:dyDescent="0.2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  <c r="N206" s="6"/>
      <c r="O206" s="6"/>
      <c r="P206" s="6"/>
      <c r="Q206" s="6"/>
      <c r="R206" s="6"/>
      <c r="S206" s="6"/>
      <c r="T206" s="6"/>
      <c r="U206" s="6"/>
      <c r="V206" s="20"/>
      <c r="W206" s="20"/>
      <c r="X206" s="20"/>
      <c r="Y206" s="20"/>
      <c r="Z206" s="20"/>
      <c r="AA206" s="20"/>
      <c r="AB206" s="20"/>
      <c r="AD206" s="6"/>
      <c r="AE206" s="6"/>
      <c r="AF206" s="6"/>
      <c r="AG206" s="6"/>
      <c r="AH206" s="6"/>
      <c r="AI206" s="6"/>
      <c r="AJ206" s="6"/>
    </row>
    <row r="207" spans="1:36" ht="13.5" thickBot="1" x14ac:dyDescent="0.25">
      <c r="A207" s="41"/>
      <c r="B207" s="42"/>
      <c r="C207" s="35" t="s">
        <v>28</v>
      </c>
      <c r="D207" s="36"/>
      <c r="E207" s="36"/>
      <c r="F207" s="36"/>
      <c r="G207" s="36"/>
      <c r="H207" s="36"/>
      <c r="I207" s="36"/>
      <c r="J207" s="36"/>
      <c r="K207" s="34"/>
      <c r="L207" s="6"/>
      <c r="M207" s="25"/>
      <c r="N207" s="6"/>
      <c r="O207" s="6"/>
      <c r="P207" s="6"/>
      <c r="Q207" s="6"/>
      <c r="R207" s="6"/>
      <c r="S207" s="6"/>
      <c r="T207" s="6"/>
      <c r="U207" s="6"/>
      <c r="V207" s="20"/>
      <c r="W207" s="20"/>
      <c r="X207" s="20"/>
      <c r="Y207" s="20"/>
      <c r="Z207" s="20"/>
      <c r="AA207" s="20"/>
      <c r="AB207" s="20"/>
      <c r="AD207" s="6"/>
      <c r="AE207" s="6"/>
      <c r="AF207" s="6"/>
      <c r="AG207" s="6"/>
      <c r="AH207" s="6"/>
      <c r="AI207" s="6"/>
      <c r="AJ207" s="6"/>
    </row>
    <row r="208" spans="1:36" x14ac:dyDescent="0.2">
      <c r="A208" s="6"/>
      <c r="B208" s="6"/>
      <c r="C208" s="6"/>
      <c r="D208" s="5"/>
      <c r="E208" s="5"/>
      <c r="F208" s="5"/>
      <c r="G208" s="5"/>
      <c r="H208" s="5"/>
      <c r="I208" s="5"/>
      <c r="J208" s="5"/>
      <c r="K208" s="5"/>
      <c r="L208" s="6"/>
    </row>
    <row r="209" spans="1:14" x14ac:dyDescent="0.2">
      <c r="A209" s="6"/>
      <c r="B209" s="6"/>
      <c r="C209" s="6"/>
      <c r="D209" s="5"/>
      <c r="E209" s="5"/>
      <c r="F209" s="5"/>
      <c r="G209" s="5"/>
      <c r="H209" s="5"/>
      <c r="I209" s="5"/>
      <c r="J209" s="5"/>
      <c r="K209" s="5"/>
      <c r="L209" s="6"/>
      <c r="M209" s="29" t="s">
        <v>26</v>
      </c>
      <c r="N209" s="29" t="s">
        <v>27</v>
      </c>
    </row>
    <row r="210" spans="1:14" x14ac:dyDescent="0.2">
      <c r="A210" s="6"/>
      <c r="B210" s="6"/>
      <c r="C210" s="7" t="s">
        <v>15</v>
      </c>
      <c r="D210" s="11">
        <f>SUM(V4:V39)</f>
        <v>9</v>
      </c>
      <c r="E210" s="11">
        <f>SUM(W4:W39)</f>
        <v>0</v>
      </c>
      <c r="F210" s="11">
        <f>SUM(X4:X39)</f>
        <v>4.5</v>
      </c>
      <c r="G210" s="11">
        <f>SUM(Y4:Y39)</f>
        <v>10</v>
      </c>
      <c r="H210" s="11">
        <f>SUM(Z4:Z39)</f>
        <v>5</v>
      </c>
      <c r="I210" s="11">
        <f>SUM(AA4:AA39)</f>
        <v>4.5</v>
      </c>
      <c r="J210" s="11">
        <f>SUM(AB4:AB39)</f>
        <v>0</v>
      </c>
      <c r="K210" s="12"/>
      <c r="L210" s="12">
        <f>SUM(L4:L209)</f>
        <v>291.5</v>
      </c>
      <c r="M210" s="28">
        <f>+D210+E210+F210+G210+H210+I210+J210</f>
        <v>33</v>
      </c>
      <c r="N210" s="28">
        <f>+L210-M210</f>
        <v>258.5</v>
      </c>
    </row>
    <row r="211" spans="1:14" x14ac:dyDescent="0.2">
      <c r="A211" s="6"/>
      <c r="B211" s="6"/>
      <c r="C211" s="7" t="s">
        <v>16</v>
      </c>
      <c r="D211" s="11">
        <f>SUM(N4:N39)</f>
        <v>9</v>
      </c>
      <c r="E211" s="11">
        <f>SUM(O4:O39)</f>
        <v>0</v>
      </c>
      <c r="F211" s="11">
        <f>SUM(P4:P39)</f>
        <v>4.5</v>
      </c>
      <c r="G211" s="11">
        <f>SUM(Q4:Q39)</f>
        <v>10</v>
      </c>
      <c r="H211" s="11">
        <f>SUM(R4:R39)</f>
        <v>5</v>
      </c>
      <c r="I211" s="11">
        <f>SUM(S4:S39)</f>
        <v>4.5</v>
      </c>
      <c r="J211" s="11">
        <f>SUM(T4:T39)</f>
        <v>0</v>
      </c>
      <c r="K211" s="11">
        <f>SUM(K4:K39)</f>
        <v>33</v>
      </c>
      <c r="L211" s="12"/>
      <c r="M211" s="28">
        <f>+D211+E211+F211+G211+H211+I211+J211</f>
        <v>33</v>
      </c>
      <c r="N211" s="28">
        <f>+K211-M211</f>
        <v>0</v>
      </c>
    </row>
    <row r="212" spans="1:14" x14ac:dyDescent="0.2">
      <c r="A212" s="6"/>
      <c r="B212" s="6"/>
      <c r="C212" s="6"/>
      <c r="D212" s="5"/>
      <c r="E212" s="5"/>
      <c r="F212" s="5"/>
      <c r="G212" s="5"/>
      <c r="H212" s="5"/>
      <c r="I212" s="5"/>
      <c r="J212" s="5"/>
      <c r="K212" s="5"/>
      <c r="L212" s="6"/>
    </row>
    <row r="213" spans="1:14" hidden="1" x14ac:dyDescent="0.2">
      <c r="A213" s="6"/>
      <c r="B213" s="6"/>
      <c r="C213" s="7" t="s">
        <v>17</v>
      </c>
      <c r="D213" s="11"/>
      <c r="E213" s="11"/>
      <c r="F213" s="11"/>
      <c r="G213" s="11"/>
      <c r="H213" s="11"/>
      <c r="I213" s="11"/>
      <c r="J213" s="11"/>
      <c r="K213" s="11">
        <f>SUM(D213:J213)</f>
        <v>0</v>
      </c>
      <c r="L213" s="13"/>
    </row>
    <row r="214" spans="1:14" hidden="1" x14ac:dyDescent="0.2">
      <c r="A214" s="6"/>
      <c r="B214" s="6"/>
      <c r="C214" s="6"/>
      <c r="D214" s="5"/>
      <c r="E214" s="5"/>
      <c r="F214" s="5"/>
      <c r="G214" s="5"/>
      <c r="H214" s="5"/>
      <c r="I214" s="5"/>
      <c r="J214" s="5"/>
      <c r="K214" s="5"/>
      <c r="L214" s="6"/>
    </row>
    <row r="215" spans="1:14" hidden="1" x14ac:dyDescent="0.2">
      <c r="A215" s="6"/>
      <c r="B215" s="6"/>
      <c r="C215" s="7" t="s">
        <v>18</v>
      </c>
      <c r="D215" s="9">
        <f t="shared" ref="D215:K215" si="138">D213-D211</f>
        <v>-9</v>
      </c>
      <c r="E215" s="9">
        <f t="shared" si="138"/>
        <v>0</v>
      </c>
      <c r="F215" s="9">
        <f t="shared" si="138"/>
        <v>-4.5</v>
      </c>
      <c r="G215" s="9">
        <f t="shared" si="138"/>
        <v>-10</v>
      </c>
      <c r="H215" s="9">
        <f t="shared" si="138"/>
        <v>-5</v>
      </c>
      <c r="I215" s="9">
        <f t="shared" si="138"/>
        <v>-4.5</v>
      </c>
      <c r="J215" s="9">
        <f t="shared" si="138"/>
        <v>0</v>
      </c>
      <c r="K215" s="9">
        <f t="shared" si="138"/>
        <v>-33</v>
      </c>
      <c r="L215" s="6"/>
    </row>
    <row r="217" spans="1:14" x14ac:dyDescent="0.2">
      <c r="B217" s="5" t="s">
        <v>19</v>
      </c>
      <c r="C217" s="5" t="s">
        <v>20</v>
      </c>
      <c r="D217" s="5"/>
      <c r="E217" s="5"/>
      <c r="F217" s="5"/>
      <c r="G217" s="5"/>
      <c r="H217" s="5"/>
      <c r="I217" s="5"/>
      <c r="J217" s="5"/>
    </row>
    <row r="218" spans="1:14" x14ac:dyDescent="0.2">
      <c r="B218" s="8">
        <v>0.4375</v>
      </c>
      <c r="C218" s="8">
        <v>0.5625</v>
      </c>
      <c r="D218" s="5" t="e">
        <f>#REF!+AD4+AD9+AD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18" s="5" t="e">
        <f>#REF!+AE4+AE9+AE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18" s="5" t="e">
        <f>#REF!+AF4+AF9+AF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18" s="5" t="e">
        <f>#REF!+AG4+AG9+AG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18" s="5" t="e">
        <f>#REF!+AH4+AH9+AH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18" s="5" t="e">
        <f>#REF!+AI4+AI9+AI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18" s="5" t="e">
        <f>#REF!+AJ4+AJ9+AJ14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219" spans="1:14" x14ac:dyDescent="0.2">
      <c r="B219" s="8">
        <v>0.5625</v>
      </c>
      <c r="C219" s="8">
        <v>0.66666666666666663</v>
      </c>
      <c r="D219" s="5" t="e">
        <f>#REF!+AD5+AD10+AD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19" s="5" t="e">
        <f>#REF!+AE5+AE10+AE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19" s="5" t="e">
        <f>#REF!+AF5+AF10+AF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19" s="5" t="e">
        <f>#REF!+AG5+AG10+AG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19" s="5" t="e">
        <f>#REF!+AH5+AH10+AH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19" s="5" t="e">
        <f>#REF!+AI5+AI10+AI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19" s="5" t="e">
        <f>#REF!+AJ5+AJ10+AJ15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220" spans="1:14" x14ac:dyDescent="0.2">
      <c r="B220" s="8">
        <v>0.66666666666666663</v>
      </c>
      <c r="C220" s="8">
        <v>0.72916666666666663</v>
      </c>
      <c r="D220" s="5" t="e">
        <f>#REF!+AD6+AD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20" s="5" t="e">
        <f>#REF!+AE6+AE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20" s="5" t="e">
        <f>#REF!+AF6+AF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20" s="5" t="e">
        <f>#REF!+AG6+AG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20" s="5" t="e">
        <f>#REF!+AH6+AH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20" s="5" t="e">
        <f>#REF!+AI6+AI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20" s="5" t="e">
        <f>#REF!+AJ6+AJ11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221" spans="1:14" x14ac:dyDescent="0.2">
      <c r="B221" s="8">
        <v>0.79166666666666663</v>
      </c>
      <c r="C221" s="8">
        <v>0.85416666666666663</v>
      </c>
      <c r="D221" s="5" t="e">
        <f>#REF!+AD7+AD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21" s="5" t="e">
        <f>#REF!+AE7+AE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21" s="5" t="e">
        <f>#REF!+AF7+AF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21" s="5" t="e">
        <f>#REF!+AG7+AG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21" s="5" t="e">
        <f>#REF!+AH7+AH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21" s="5" t="e">
        <f>#REF!+AI7+AI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21" s="5" t="e">
        <f>#REF!+AJ7+AJ12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222" spans="1:14" x14ac:dyDescent="0.2">
      <c r="B222" s="8">
        <v>0.85416666666666663</v>
      </c>
      <c r="C222" s="8">
        <v>0.92708333333333337</v>
      </c>
      <c r="D222" s="5" t="e">
        <f>#REF!+AD8+AD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22" s="5" t="e">
        <f>#REF!+AE8+AE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22" s="5" t="e">
        <f>#REF!+AF8+AF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22" s="5" t="e">
        <f>#REF!+AG8+AG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22" s="5" t="e">
        <f>#REF!+AH8+AH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22" s="5" t="e">
        <f>#REF!+AI8+AI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22" s="5" t="e">
        <f>#REF!+AJ8+AJ13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224" spans="1:14" hidden="1" x14ac:dyDescent="0.2">
      <c r="C224" s="46" t="s">
        <v>31</v>
      </c>
      <c r="D224" s="22">
        <v>100</v>
      </c>
      <c r="E224" s="22"/>
      <c r="F224" s="22"/>
      <c r="G224" s="22"/>
      <c r="H224" s="22"/>
      <c r="I224" s="22"/>
      <c r="J224" s="22"/>
      <c r="K224" s="22">
        <f>J224+I224+H224+G224+F224+E224+D224</f>
        <v>100</v>
      </c>
    </row>
    <row r="225" spans="3:11" hidden="1" x14ac:dyDescent="0.2"/>
    <row r="226" spans="3:11" hidden="1" x14ac:dyDescent="0.2">
      <c r="C226" s="46" t="s">
        <v>33</v>
      </c>
      <c r="D226" s="23">
        <f t="shared" ref="D226:K226" si="139">D224/D211</f>
        <v>11.111111111111111</v>
      </c>
      <c r="E226" s="23" t="e">
        <f t="shared" si="139"/>
        <v>#DIV/0!</v>
      </c>
      <c r="F226" s="23">
        <f t="shared" si="139"/>
        <v>0</v>
      </c>
      <c r="G226" s="23">
        <f t="shared" si="139"/>
        <v>0</v>
      </c>
      <c r="H226" s="23">
        <f t="shared" si="139"/>
        <v>0</v>
      </c>
      <c r="I226" s="23">
        <f t="shared" si="139"/>
        <v>0</v>
      </c>
      <c r="J226" s="23" t="e">
        <f t="shared" si="139"/>
        <v>#DIV/0!</v>
      </c>
      <c r="K226" s="23">
        <f t="shared" si="139"/>
        <v>3.0303030303030303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446"/>
  <sheetViews>
    <sheetView topLeftCell="A379" zoomScale="80" zoomScaleNormal="80" workbookViewId="0">
      <selection activeCell="F275" sqref="F275"/>
    </sheetView>
  </sheetViews>
  <sheetFormatPr defaultRowHeight="12.75" x14ac:dyDescent="0.2"/>
  <cols>
    <col min="1" max="1" width="16.5703125" customWidth="1"/>
    <col min="2" max="2" width="17.42578125" customWidth="1"/>
    <col min="3" max="3" width="7.28515625" customWidth="1"/>
    <col min="4" max="4" width="10.28515625" style="1" bestFit="1" customWidth="1"/>
    <col min="5" max="5" width="10.85546875" style="1" customWidth="1"/>
    <col min="6" max="6" width="9.85546875" style="1" customWidth="1"/>
    <col min="7" max="8" width="9.140625" style="1" customWidth="1"/>
    <col min="9" max="9" width="9.5703125" style="1" customWidth="1"/>
    <col min="10" max="10" width="14.140625" style="1" customWidth="1"/>
    <col min="11" max="11" width="9.140625" style="1"/>
    <col min="13" max="13" width="46.42578125" customWidth="1"/>
    <col min="14" max="14" width="6" customWidth="1"/>
    <col min="15" max="15" width="6.140625" bestFit="1" customWidth="1"/>
    <col min="16" max="16" width="5.7109375" customWidth="1"/>
    <col min="17" max="17" width="6.140625" bestFit="1" customWidth="1"/>
    <col min="18" max="19" width="5.7109375" customWidth="1"/>
    <col min="20" max="20" width="6.140625" bestFit="1" customWidth="1"/>
    <col min="21" max="21" width="2.42578125" customWidth="1"/>
    <col min="22" max="23" width="6.140625" bestFit="1" customWidth="1"/>
    <col min="24" max="28" width="5.7109375" customWidth="1"/>
    <col min="30" max="31" width="2.28515625" customWidth="1"/>
    <col min="32" max="32" width="2.42578125" customWidth="1"/>
    <col min="33" max="33" width="2.28515625" customWidth="1"/>
    <col min="34" max="34" width="2.42578125" customWidth="1"/>
    <col min="35" max="36" width="2" customWidth="1"/>
  </cols>
  <sheetData>
    <row r="1" spans="1:36" ht="13.5" customHeight="1" x14ac:dyDescent="0.2">
      <c r="A1" s="50" t="s">
        <v>34</v>
      </c>
      <c r="B1" s="49"/>
      <c r="C1" s="6"/>
      <c r="D1" s="62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  <c r="AD1" s="6"/>
      <c r="AE1" s="6"/>
      <c r="AF1" s="6"/>
      <c r="AG1" s="6"/>
      <c r="AH1" s="6"/>
      <c r="AI1" s="6"/>
      <c r="AJ1" s="6"/>
    </row>
    <row r="2" spans="1:36" ht="13.5" thickBot="1" x14ac:dyDescent="0.25">
      <c r="A2" s="29"/>
      <c r="B2" s="48"/>
      <c r="C2" s="6"/>
      <c r="D2" s="31">
        <v>45525</v>
      </c>
      <c r="E2" s="31">
        <v>45526</v>
      </c>
      <c r="F2" s="31">
        <v>45527</v>
      </c>
      <c r="G2" s="31">
        <v>45528</v>
      </c>
      <c r="H2" s="31">
        <v>45529</v>
      </c>
      <c r="I2" s="31">
        <v>45530</v>
      </c>
      <c r="J2" s="31">
        <v>45531</v>
      </c>
      <c r="K2" s="5" t="s">
        <v>6</v>
      </c>
      <c r="L2" s="5" t="s">
        <v>14</v>
      </c>
      <c r="M2" s="51" t="s">
        <v>32</v>
      </c>
      <c r="O2" s="21"/>
      <c r="AD2" s="6" t="s">
        <v>21</v>
      </c>
      <c r="AE2" s="6" t="s">
        <v>22</v>
      </c>
      <c r="AF2" s="6" t="s">
        <v>23</v>
      </c>
      <c r="AG2" s="6" t="s">
        <v>22</v>
      </c>
      <c r="AH2" s="6" t="s">
        <v>24</v>
      </c>
      <c r="AI2" s="6" t="s">
        <v>25</v>
      </c>
      <c r="AJ2" s="6" t="s">
        <v>25</v>
      </c>
    </row>
    <row r="3" spans="1:36" ht="13.5" thickBot="1" x14ac:dyDescent="0.25">
      <c r="A3" s="6" t="s">
        <v>30</v>
      </c>
      <c r="B3" s="6" t="s">
        <v>35</v>
      </c>
      <c r="C3" s="6"/>
      <c r="D3" s="65"/>
      <c r="E3" s="65"/>
      <c r="F3" s="65"/>
      <c r="G3" s="65"/>
      <c r="H3" s="65"/>
      <c r="I3" s="65"/>
      <c r="J3" s="65"/>
      <c r="K3" s="5"/>
      <c r="L3" s="6"/>
      <c r="M3" s="52" t="s">
        <v>39</v>
      </c>
      <c r="AD3" s="6"/>
      <c r="AE3" s="6"/>
      <c r="AF3" s="6"/>
      <c r="AG3" s="6"/>
      <c r="AH3" s="6"/>
      <c r="AI3" s="6"/>
      <c r="AJ3" s="6"/>
    </row>
    <row r="4" spans="1:36" x14ac:dyDescent="0.2">
      <c r="A4" s="37" t="s">
        <v>88</v>
      </c>
      <c r="B4" s="38" t="s">
        <v>47</v>
      </c>
      <c r="C4" s="14" t="s">
        <v>0</v>
      </c>
      <c r="D4" s="45"/>
      <c r="E4" s="26"/>
      <c r="F4" s="45"/>
      <c r="G4" s="26"/>
      <c r="H4" s="26"/>
      <c r="I4" s="26"/>
      <c r="J4" s="26">
        <v>0.77083333333333337</v>
      </c>
      <c r="K4" s="16"/>
      <c r="L4" s="6"/>
      <c r="M4" s="21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D4" s="6">
        <f>IF((D4&lt;&gt;"")*(D8=""),IF((D4&lt;=$B$438)*((D5&gt;=$C$438)+(D5&lt;2/24)),1,0),0)</f>
        <v>0</v>
      </c>
      <c r="AE4" s="6">
        <f>IF((E4&lt;&gt;"")*(E8=""),IF((E4&lt;=$B$438)*((E5&gt;=$C$438)+(E5&lt;2/24)),1,0),0)</f>
        <v>0</v>
      </c>
      <c r="AF4" s="6">
        <f>IF((F4&lt;&gt;"")*(F8=""),IF((F4&lt;=$B$438)*((F5&gt;=$C$438)+(F5&lt;2/24)),1,0),0)</f>
        <v>0</v>
      </c>
      <c r="AG4" s="6">
        <f>IF((G4&lt;&gt;"")*(G8=""),IF((G4&lt;=$B$438)*((G5&gt;=$C$438)+(G5&lt;2/24)),1,0),0)</f>
        <v>0</v>
      </c>
      <c r="AH4" s="6">
        <f>IF((H4&lt;&gt;"")*(H8=""),IF((H4&lt;=$B$438)*((H5&gt;=$C$438)+(H5&lt;2/24)),1,0),0)</f>
        <v>0</v>
      </c>
      <c r="AI4" s="6">
        <f>IF((I4&lt;&gt;"")*(I8=""),IF((I4&lt;=$B$438)*((I5&gt;=$C$438)+(I5&lt;2/24)),1,0),0)</f>
        <v>0</v>
      </c>
      <c r="AJ4" s="6">
        <f>IF((J4&lt;&gt;"")*(J8=""),IF((J4&lt;=$B$438)*((J5&gt;=$C$438)+(J5&lt;2/24)),1,0),0)</f>
        <v>0</v>
      </c>
    </row>
    <row r="5" spans="1:36" x14ac:dyDescent="0.2">
      <c r="A5" s="39"/>
      <c r="B5" s="40"/>
      <c r="C5" s="15" t="s">
        <v>1</v>
      </c>
      <c r="D5" s="3"/>
      <c r="E5" s="27"/>
      <c r="F5" s="3"/>
      <c r="G5" s="27"/>
      <c r="H5" s="27"/>
      <c r="I5" s="27"/>
      <c r="J5" s="27">
        <v>0.95833333333333337</v>
      </c>
      <c r="K5" s="17"/>
      <c r="L5" s="6"/>
      <c r="M5" s="2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D5" s="6">
        <f>IF((D4&lt;&gt;"")*(D8=""),IF((D4&lt;=$B$439)*((D5&gt;=$C$439)+(D5&lt;2/24)),1,0),0)</f>
        <v>0</v>
      </c>
      <c r="AE5" s="6">
        <f>IF((E4&lt;&gt;"")*(E8=""),IF((E4&lt;=$B$439)*((E5&gt;=$C$439)+(E5&lt;2/24)),1,0),0)</f>
        <v>0</v>
      </c>
      <c r="AF5" s="6">
        <f>IF((F4&lt;&gt;"")*(F8=""),IF((F4&lt;=$B$439)*((F5&gt;=$C$439)+(F5&lt;2/24)),1,0),0)</f>
        <v>0</v>
      </c>
      <c r="AG5" s="6">
        <f>IF((G4&lt;&gt;"")*(G8=""),IF((G4&lt;=$B$439)*((G5&gt;=$C$439)+(G5&lt;2/24)),1,0),0)</f>
        <v>0</v>
      </c>
      <c r="AH5" s="6">
        <f>IF((H4&lt;&gt;"")*(H8=""),IF((H4&lt;=$B$439)*((H5&gt;=$C$439)+(H5&lt;2/24)),1,0),0)</f>
        <v>0</v>
      </c>
      <c r="AI5" s="6">
        <f>IF((I4&lt;&gt;"")*(I8=""),IF((I4&lt;=$B$439)*((I5&gt;=$C$439)+(I5&lt;2/24)),1,0),0)</f>
        <v>0</v>
      </c>
      <c r="AJ5" s="6">
        <f>IF((J4&lt;&gt;"")*(J8=""),IF((J4&lt;=$B$439)*((J5&gt;=$C$439)+(J5&lt;2/24)),1,0),0)</f>
        <v>0</v>
      </c>
    </row>
    <row r="6" spans="1:36" x14ac:dyDescent="0.2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D6" s="6">
        <f>IF((D4&lt;&gt;"")*(D8=""),IF((D4&lt;=$B$440)*((D5&gt;=$C$440)+(D5&lt;2/24)),1,0),0)</f>
        <v>0</v>
      </c>
      <c r="AE6" s="6">
        <f>IF((E4&lt;&gt;"")*(E8=""),IF((E4&lt;=$B$440)*((E5&gt;=$C$440)+(E5&lt;2/24)),1,0),0)</f>
        <v>0</v>
      </c>
      <c r="AF6" s="6">
        <f>IF((F4&lt;&gt;"")*(F8=""),IF((F4&lt;=$B$440)*((F5&gt;=$C$440)+(F5&lt;2/24)),1,0),0)</f>
        <v>0</v>
      </c>
      <c r="AG6" s="6">
        <f>IF((G4&lt;&gt;"")*(G8=""),IF((G4&lt;=$B$440)*((G5&gt;=$C$440)+(G5&lt;2/24)),1,0),0)</f>
        <v>0</v>
      </c>
      <c r="AH6" s="6">
        <f>IF((H4&lt;&gt;"")*(H8=""),IF((H4&lt;=$B$440)*((H5&gt;=$C$440)+(H5&lt;2/24)),1,0),0)</f>
        <v>0</v>
      </c>
      <c r="AI6" s="6">
        <f>IF((I4&lt;&gt;"")*(I8=""),IF((I4&lt;=$B$440)*((I5&gt;=$C$440)+(I5&lt;2/24)),1,0),0)</f>
        <v>0</v>
      </c>
      <c r="AJ6" s="6">
        <f>IF((J4&lt;&gt;"")*(J8=""),IF((J4&lt;=$B$440)*((J5&gt;=$C$440)+(J5&lt;2/24)),1,0),0)</f>
        <v>0</v>
      </c>
    </row>
    <row r="7" spans="1:36" x14ac:dyDescent="0.2">
      <c r="A7" s="39"/>
      <c r="B7" s="40"/>
      <c r="C7" s="15" t="s">
        <v>3</v>
      </c>
      <c r="D7" s="19"/>
      <c r="E7" s="43"/>
      <c r="F7" s="55"/>
      <c r="G7" s="43"/>
      <c r="H7" s="43"/>
      <c r="I7" s="43"/>
      <c r="J7" s="44">
        <v>4.5</v>
      </c>
      <c r="K7" s="18">
        <f>SUMIF(D8:J8,"",D7:J7)</f>
        <v>4.5</v>
      </c>
      <c r="L7" s="12">
        <f>SUM(D7:J7)</f>
        <v>4.5</v>
      </c>
      <c r="M7" s="24"/>
      <c r="N7" s="10">
        <f t="shared" ref="N7:T7" si="0">IF(D8="",D7,0)</f>
        <v>0</v>
      </c>
      <c r="O7" s="10">
        <f t="shared" si="0"/>
        <v>0</v>
      </c>
      <c r="P7" s="10">
        <f t="shared" si="0"/>
        <v>0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4.5</v>
      </c>
      <c r="U7" s="10"/>
      <c r="V7" s="10">
        <f t="shared" ref="V7:AB7" si="1">D7</f>
        <v>0</v>
      </c>
      <c r="W7" s="10">
        <f t="shared" si="1"/>
        <v>0</v>
      </c>
      <c r="X7" s="10">
        <f t="shared" si="1"/>
        <v>0</v>
      </c>
      <c r="Y7" s="10">
        <f t="shared" si="1"/>
        <v>0</v>
      </c>
      <c r="Z7" s="10">
        <f t="shared" si="1"/>
        <v>0</v>
      </c>
      <c r="AA7" s="10">
        <f t="shared" si="1"/>
        <v>0</v>
      </c>
      <c r="AB7" s="10">
        <f t="shared" si="1"/>
        <v>4.5</v>
      </c>
      <c r="AD7" s="6">
        <f>IF((D4&lt;&gt;"")*(D8=""),IF((D4&lt;=$B$441)*((D5&gt;=$C$441)+(D5&lt;2/24)),1,0),0)</f>
        <v>0</v>
      </c>
      <c r="AE7" s="6">
        <f>IF((E4&lt;&gt;"")*(E8=""),IF((E4&lt;=$B$441)*((E5&gt;=$C$441)+(E5&lt;2/24)),1,0),0)</f>
        <v>0</v>
      </c>
      <c r="AF7" s="6">
        <f>IF((F4&lt;&gt;"")*(F8=""),IF((F4&lt;=$B$441)*((F5&gt;=$C$441)+(F5&lt;2/24)),1,0),0)</f>
        <v>0</v>
      </c>
      <c r="AG7" s="6">
        <f>IF((G4&lt;&gt;"")*(G8=""),IF((G4&lt;=$B$441)*((G5&gt;=$C$441)+(G5&lt;2/24)),1,0),0)</f>
        <v>0</v>
      </c>
      <c r="AH7" s="6">
        <f>IF((H4&lt;&gt;"")*(H8=""),IF((H4&lt;=$B$441)*((H5&gt;=$C$441)+(H5&lt;2/24)),1,0),0)</f>
        <v>0</v>
      </c>
      <c r="AI7" s="6">
        <f>IF((I4&lt;&gt;"")*(I8=""),IF((I4&lt;=$B$441)*((I5&gt;=$C$441)+(I5&lt;2/24)),1,0),0)</f>
        <v>0</v>
      </c>
      <c r="AJ7" s="6">
        <f>IF((J4&lt;&gt;"")*(J8=""),IF((J4&lt;=$B$441)*((J5&gt;=$C$441)+(J5&lt;2/24)),1,0),0)</f>
        <v>1</v>
      </c>
    </row>
    <row r="8" spans="1:36" x14ac:dyDescent="0.2">
      <c r="A8" s="39"/>
      <c r="B8" s="40"/>
      <c r="C8" s="32" t="s">
        <v>4</v>
      </c>
      <c r="D8" s="56"/>
      <c r="E8" s="33"/>
      <c r="F8" s="33"/>
      <c r="G8" s="33"/>
      <c r="H8" s="33"/>
      <c r="I8" s="33"/>
      <c r="J8" s="33"/>
      <c r="K8" s="17"/>
      <c r="L8" s="6"/>
      <c r="M8" s="25"/>
      <c r="N8" s="6"/>
      <c r="O8" s="6"/>
      <c r="P8" s="6"/>
      <c r="Q8" s="6"/>
      <c r="R8" s="6"/>
      <c r="S8" s="6"/>
      <c r="T8" s="6"/>
      <c r="U8" s="6"/>
      <c r="V8" s="20"/>
      <c r="W8" s="20"/>
      <c r="X8" s="20"/>
      <c r="Y8" s="20"/>
      <c r="Z8" s="20"/>
      <c r="AA8" s="20"/>
      <c r="AB8" s="20"/>
      <c r="AD8" s="6">
        <f>IF((D4&lt;&gt;"")*(D8=""),IF((D4&lt;=$B$442)*((D5&gt;=$C$442)+(D5&lt;2/24)),1,0),0)</f>
        <v>0</v>
      </c>
      <c r="AE8" s="6">
        <f>IF((E4&lt;&gt;"")*(E8=""),IF((E4&lt;=$B$442)*((E5&gt;=$C$442)+(E5&lt;2/24)),1,0),0)</f>
        <v>0</v>
      </c>
      <c r="AF8" s="6">
        <f>IF((F4&lt;&gt;"")*(F8=""),IF((F4&lt;=$B$442)*((F5&gt;=$C$442)+(F5&lt;2/24)),1,0),0)</f>
        <v>0</v>
      </c>
      <c r="AG8" s="6">
        <f>IF((G4&lt;&gt;"")*(G8=""),IF((G4&lt;=$B$442)*((G5&gt;=$C$442)+(G5&lt;2/24)),1,0),0)</f>
        <v>0</v>
      </c>
      <c r="AH8" s="6">
        <f>IF((H4&lt;&gt;"")*(H8=""),IF((H4&lt;=$B$442)*((H5&gt;=$C$442)+(H5&lt;2/24)),1,0),0)</f>
        <v>0</v>
      </c>
      <c r="AI8" s="6">
        <f>IF((I4&lt;&gt;"")*(I8=""),IF((I4&lt;=$B$442)*((I5&gt;=$C$442)+(I5&lt;2/24)),1,0),0)</f>
        <v>0</v>
      </c>
      <c r="AJ8" s="6">
        <f>IF((J4&lt;&gt;"")*(J8=""),IF((J4&lt;=$B$442)*((J5&gt;=$C$442)+(J5&lt;2/24)),1,0),0)</f>
        <v>1</v>
      </c>
    </row>
    <row r="9" spans="1:36" ht="12.75" customHeight="1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  <c r="L9" s="6"/>
      <c r="M9" s="25"/>
      <c r="N9" s="6"/>
      <c r="O9" s="6"/>
      <c r="P9" s="6"/>
      <c r="Q9" s="6"/>
      <c r="R9" s="6"/>
      <c r="S9" s="6"/>
      <c r="T9" s="6"/>
      <c r="U9" s="6"/>
      <c r="V9" s="20"/>
      <c r="W9" s="20"/>
      <c r="X9" s="20"/>
      <c r="Y9" s="20"/>
      <c r="Z9" s="20"/>
      <c r="AA9" s="20"/>
      <c r="AB9" s="20"/>
      <c r="AD9" s="6"/>
      <c r="AE9" s="6"/>
      <c r="AF9" s="6"/>
      <c r="AG9" s="6"/>
      <c r="AH9" s="6"/>
      <c r="AI9" s="6"/>
      <c r="AJ9" s="6"/>
    </row>
    <row r="10" spans="1:36" x14ac:dyDescent="0.2">
      <c r="A10" s="37" t="s">
        <v>89</v>
      </c>
      <c r="B10" s="38" t="s">
        <v>90</v>
      </c>
      <c r="C10" s="14" t="s">
        <v>0</v>
      </c>
      <c r="D10" s="2"/>
      <c r="E10" s="45"/>
      <c r="F10" s="2"/>
      <c r="G10" s="45"/>
      <c r="H10" s="2"/>
      <c r="I10" s="2">
        <v>0.77083333333333337</v>
      </c>
      <c r="J10" s="45"/>
      <c r="K10" s="16"/>
      <c r="L10" s="6"/>
      <c r="M10" s="21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D10" s="6">
        <f>IF((D10&lt;&gt;"")*(D14=""),IF((D10&lt;=$B$438)*((D11&gt;=$C$438)+(D11&lt;2/24)),1,0),0)</f>
        <v>0</v>
      </c>
      <c r="AE10" s="6">
        <f>IF((E10&lt;&gt;"")*(E14=""),IF((E10&lt;=$B$438)*((E11&gt;=$C$438)+(E11&lt;2/24)),1,0),0)</f>
        <v>0</v>
      </c>
      <c r="AF10" s="6">
        <f>IF((F10&lt;&gt;"")*(F14=""),IF((F10&lt;=$B$438)*((F11&gt;=$C$438)+(F11&lt;2/24)),1,0),0)</f>
        <v>0</v>
      </c>
      <c r="AG10" s="6">
        <f>IF((G10&lt;&gt;"")*(G14=""),IF((G10&lt;=$B$438)*((G11&gt;=$C$438)+(G11&lt;2/24)),1,0),0)</f>
        <v>0</v>
      </c>
      <c r="AH10" s="6">
        <f>IF((H10&lt;&gt;"")*(H14=""),IF((H10&lt;=$B$438)*((H11&gt;=$C$438)+(H11&lt;2/24)),1,0),0)</f>
        <v>0</v>
      </c>
      <c r="AI10" s="6">
        <f>IF((I10&lt;&gt;"")*(I14=""),IF((I10&lt;=$B$438)*((I11&gt;=$C$438)+(I11&lt;2/24)),1,0),0)</f>
        <v>0</v>
      </c>
      <c r="AJ10" s="6">
        <f>IF((J10&lt;&gt;"")*(J14=""),IF((J10&lt;=$B$438)*((J11&gt;=$C$438)+(J11&lt;2/24)),1,0),0)</f>
        <v>0</v>
      </c>
    </row>
    <row r="11" spans="1:36" x14ac:dyDescent="0.2">
      <c r="A11" s="39"/>
      <c r="B11" s="40"/>
      <c r="C11" s="15" t="s">
        <v>1</v>
      </c>
      <c r="D11" s="3"/>
      <c r="E11" s="3"/>
      <c r="F11" s="3"/>
      <c r="G11" s="3"/>
      <c r="H11" s="3"/>
      <c r="I11" s="3">
        <v>0.95833333333333337</v>
      </c>
      <c r="J11" s="3"/>
      <c r="K11" s="17"/>
      <c r="L11" s="6"/>
      <c r="M11" s="21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D11" s="6">
        <f>IF((D10&lt;&gt;"")*(D14=""),IF((D10&lt;=$B$439)*((D11&gt;=$C$439)+(D11&lt;2/24)),1,0),0)</f>
        <v>0</v>
      </c>
      <c r="AE11" s="6">
        <f>IF((E10&lt;&gt;"")*(E14=""),IF((E10&lt;=$B$439)*((E11&gt;=$C$439)+(E11&lt;2/24)),1,0),0)</f>
        <v>0</v>
      </c>
      <c r="AF11" s="6">
        <f>IF((F10&lt;&gt;"")*(F14=""),IF((F10&lt;=$B$439)*((F11&gt;=$C$439)+(F11&lt;2/24)),1,0),0)</f>
        <v>0</v>
      </c>
      <c r="AG11" s="6">
        <f>IF((G10&lt;&gt;"")*(G14=""),IF((G10&lt;=$B$439)*((G11&gt;=$C$439)+(G11&lt;2/24)),1,0),0)</f>
        <v>0</v>
      </c>
      <c r="AH11" s="6">
        <f>IF((H10&lt;&gt;"")*(H14=""),IF((H10&lt;=$B$439)*((H11&gt;=$C$439)+(H11&lt;2/24)),1,0),0)</f>
        <v>0</v>
      </c>
      <c r="AI11" s="6">
        <f>IF((I10&lt;&gt;"")*(I14=""),IF((I10&lt;=$B$439)*((I11&gt;=$C$439)+(I11&lt;2/24)),1,0),0)</f>
        <v>0</v>
      </c>
      <c r="AJ11" s="6">
        <f>IF((J10&lt;&gt;"")*(J14=""),IF((J10&lt;=$B$439)*((J11&gt;=$C$439)+(J11&lt;2/24)),1,0),0)</f>
        <v>0</v>
      </c>
    </row>
    <row r="12" spans="1:36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D12" s="6">
        <f>IF((D10&lt;&gt;"")*(D14=""),IF((D10&lt;=$B$440)*((D11&gt;=$C$440)+(D11&lt;2/24)),1,0),0)</f>
        <v>0</v>
      </c>
      <c r="AE12" s="6">
        <f>IF((E10&lt;&gt;"")*(E14=""),IF((E10&lt;=$B$440)*((E11&gt;=$C$440)+(E11&lt;2/24)),1,0),0)</f>
        <v>0</v>
      </c>
      <c r="AF12" s="6">
        <f>IF((F10&lt;&gt;"")*(F14=""),IF((F10&lt;=$B$440)*((F11&gt;=$C$440)+(F11&lt;2/24)),1,0),0)</f>
        <v>0</v>
      </c>
      <c r="AG12" s="6">
        <f>IF((G10&lt;&gt;"")*(G14=""),IF((G10&lt;=$B$440)*((G11&gt;=$C$440)+(G11&lt;2/24)),1,0),0)</f>
        <v>0</v>
      </c>
      <c r="AH12" s="6">
        <f>IF((H10&lt;&gt;"")*(H14=""),IF((H10&lt;=$B$440)*((H11&gt;=$C$440)+(H11&lt;2/24)),1,0),0)</f>
        <v>0</v>
      </c>
      <c r="AI12" s="6">
        <f>IF((I10&lt;&gt;"")*(I14=""),IF((I10&lt;=$B$440)*((I11&gt;=$C$440)+(I11&lt;2/24)),1,0),0)</f>
        <v>0</v>
      </c>
      <c r="AJ12" s="6">
        <f>IF((J10&lt;&gt;"")*(J14=""),IF((J10&lt;=$B$440)*((J11&gt;=$C$440)+(J11&lt;2/24)),1,0),0)</f>
        <v>0</v>
      </c>
    </row>
    <row r="13" spans="1:36" x14ac:dyDescent="0.2">
      <c r="A13" s="39"/>
      <c r="B13" s="40"/>
      <c r="C13" s="15" t="s">
        <v>3</v>
      </c>
      <c r="D13" s="43"/>
      <c r="E13" s="43"/>
      <c r="F13" s="19"/>
      <c r="G13" s="43"/>
      <c r="H13" s="19"/>
      <c r="I13" s="43">
        <v>4.5</v>
      </c>
      <c r="J13" s="43"/>
      <c r="K13" s="18">
        <f>SUMIF(D14:J14,"",D13:J13)</f>
        <v>4.5</v>
      </c>
      <c r="L13" s="12">
        <f>SUM(D13:J13)</f>
        <v>4.5</v>
      </c>
      <c r="M13" s="24"/>
      <c r="N13" s="10">
        <f t="shared" ref="N13:T13" si="2">IF(D14="",D13,0)</f>
        <v>0</v>
      </c>
      <c r="O13" s="10">
        <f t="shared" si="2"/>
        <v>0</v>
      </c>
      <c r="P13" s="10">
        <f t="shared" si="2"/>
        <v>0</v>
      </c>
      <c r="Q13" s="10">
        <f t="shared" si="2"/>
        <v>0</v>
      </c>
      <c r="R13" s="10">
        <f t="shared" si="2"/>
        <v>0</v>
      </c>
      <c r="S13" s="10">
        <f t="shared" si="2"/>
        <v>4.5</v>
      </c>
      <c r="T13" s="10">
        <f t="shared" si="2"/>
        <v>0</v>
      </c>
      <c r="U13" s="10"/>
      <c r="V13" s="10">
        <f t="shared" ref="V13:AB13" si="3">D13</f>
        <v>0</v>
      </c>
      <c r="W13" s="10">
        <f t="shared" si="3"/>
        <v>0</v>
      </c>
      <c r="X13" s="10">
        <f t="shared" si="3"/>
        <v>0</v>
      </c>
      <c r="Y13" s="10">
        <f t="shared" si="3"/>
        <v>0</v>
      </c>
      <c r="Z13" s="10">
        <f t="shared" si="3"/>
        <v>0</v>
      </c>
      <c r="AA13" s="10">
        <f t="shared" si="3"/>
        <v>4.5</v>
      </c>
      <c r="AB13" s="10">
        <f t="shared" si="3"/>
        <v>0</v>
      </c>
      <c r="AD13" s="6">
        <f>IF((D10&lt;&gt;"")*(D14=""),IF((D10&lt;=$B$441)*((D11&gt;=$C$441)+(D11&lt;2/24)),1,0),0)</f>
        <v>0</v>
      </c>
      <c r="AE13" s="6">
        <f>IF((E10&lt;&gt;"")*(E14=""),IF((E10&lt;=$B$441)*((E11&gt;=$C$441)+(E11&lt;2/24)),1,0),0)</f>
        <v>0</v>
      </c>
      <c r="AF13" s="6">
        <f>IF((F10&lt;&gt;"")*(F14=""),IF((F10&lt;=$B$441)*((F11&gt;=$C$441)+(F11&lt;2/24)),1,0),0)</f>
        <v>0</v>
      </c>
      <c r="AG13" s="6">
        <f>IF((G10&lt;&gt;"")*(G14=""),IF((G10&lt;=$B$441)*((G11&gt;=$C$441)+(G11&lt;2/24)),1,0),0)</f>
        <v>0</v>
      </c>
      <c r="AH13" s="6">
        <f>IF((H10&lt;&gt;"")*(H14=""),IF((H10&lt;=$B$441)*((H11&gt;=$C$441)+(H11&lt;2/24)),1,0),0)</f>
        <v>0</v>
      </c>
      <c r="AI13" s="6">
        <f>IF((I10&lt;&gt;"")*(I14=""),IF((I10&lt;=$B$441)*((I11&gt;=$C$441)+(I11&lt;2/24)),1,0),0)</f>
        <v>1</v>
      </c>
      <c r="AJ13" s="6">
        <f>IF((J10&lt;&gt;"")*(J14=""),IF((J10&lt;=$B$441)*((J11&gt;=$C$441)+(J11&lt;2/24)),1,0),0)</f>
        <v>0</v>
      </c>
    </row>
    <row r="14" spans="1:36" x14ac:dyDescent="0.2">
      <c r="A14" s="39"/>
      <c r="B14" s="40"/>
      <c r="C14" s="32" t="s">
        <v>4</v>
      </c>
      <c r="D14" s="53"/>
      <c r="E14" s="33"/>
      <c r="F14" s="33"/>
      <c r="G14" s="33"/>
      <c r="H14" s="33"/>
      <c r="I14" s="33"/>
      <c r="J14" s="33"/>
      <c r="K14" s="17"/>
      <c r="L14" s="6"/>
      <c r="M14" s="25"/>
      <c r="N14" s="6"/>
      <c r="O14" s="6"/>
      <c r="P14" s="6"/>
      <c r="Q14" s="6"/>
      <c r="R14" s="6"/>
      <c r="S14" s="6"/>
      <c r="T14" s="6"/>
      <c r="U14" s="6"/>
      <c r="V14" s="20"/>
      <c r="W14" s="20"/>
      <c r="X14" s="20"/>
      <c r="Y14" s="20"/>
      <c r="Z14" s="20"/>
      <c r="AA14" s="20"/>
      <c r="AB14" s="20"/>
      <c r="AD14" s="6">
        <f>IF((D10&lt;&gt;"")*(D14=""),IF((D10&lt;=$B$442)*((D11&gt;=$C$442)+(D11&lt;2/24)),1,0),0)</f>
        <v>0</v>
      </c>
      <c r="AE14" s="6">
        <f>IF((E10&lt;&gt;"")*(E14=""),IF((E10&lt;=$B$442)*((E11&gt;=$C$442)+(E11&lt;2/24)),1,0),0)</f>
        <v>0</v>
      </c>
      <c r="AF14" s="6">
        <f>IF((F10&lt;&gt;"")*(F14=""),IF((F10&lt;=$B$442)*((F11&gt;=$C$442)+(F11&lt;2/24)),1,0),0)</f>
        <v>0</v>
      </c>
      <c r="AG14" s="6">
        <f>IF((G10&lt;&gt;"")*(G14=""),IF((G10&lt;=$B$442)*((G11&gt;=$C$442)+(G11&lt;2/24)),1,0),0)</f>
        <v>0</v>
      </c>
      <c r="AH14" s="6">
        <f>IF((H10&lt;&gt;"")*(H14=""),IF((H10&lt;=$B$442)*((H11&gt;=$C$442)+(H11&lt;2/24)),1,0),0)</f>
        <v>0</v>
      </c>
      <c r="AI14" s="6">
        <f>IF((I10&lt;&gt;"")*(I14=""),IF((I10&lt;=$B$442)*((I11&gt;=$C$442)+(I11&lt;2/24)),1,0),0)</f>
        <v>1</v>
      </c>
      <c r="AJ14" s="6">
        <f>IF((J10&lt;&gt;"")*(J14=""),IF((J10&lt;=$B$442)*((J11&gt;=$C$442)+(J11&lt;2/24)),1,0),0)</f>
        <v>0</v>
      </c>
    </row>
    <row r="15" spans="1:36" ht="13.5" thickBot="1" x14ac:dyDescent="0.25">
      <c r="A15" s="41"/>
      <c r="B15" s="42"/>
      <c r="C15" s="35" t="s">
        <v>28</v>
      </c>
      <c r="D15" s="54"/>
      <c r="E15" s="36"/>
      <c r="F15" s="36"/>
      <c r="G15" s="36"/>
      <c r="H15" s="36"/>
      <c r="I15" s="36"/>
      <c r="J15" s="54"/>
      <c r="K15" s="34"/>
      <c r="L15" s="6"/>
      <c r="M15" s="25"/>
      <c r="N15" s="6"/>
      <c r="O15" s="6"/>
      <c r="P15" s="6"/>
      <c r="Q15" s="6"/>
      <c r="R15" s="6"/>
      <c r="S15" s="6"/>
      <c r="T15" s="6"/>
      <c r="U15" s="6"/>
      <c r="V15" s="20"/>
      <c r="W15" s="20"/>
      <c r="X15" s="20"/>
      <c r="Y15" s="20"/>
      <c r="Z15" s="20"/>
      <c r="AA15" s="20"/>
      <c r="AB15" s="20"/>
      <c r="AD15" s="6"/>
      <c r="AE15" s="6"/>
      <c r="AF15" s="6"/>
      <c r="AG15" s="6"/>
      <c r="AH15" s="6"/>
      <c r="AI15" s="6"/>
      <c r="AJ15" s="6"/>
    </row>
    <row r="16" spans="1:36" ht="13.5" hidden="1" thickBot="1" x14ac:dyDescent="0.25">
      <c r="A16" s="37" t="s">
        <v>29</v>
      </c>
      <c r="B16" s="38" t="s">
        <v>30</v>
      </c>
      <c r="C16" s="14" t="s">
        <v>0</v>
      </c>
      <c r="D16" s="26"/>
      <c r="E16" s="26"/>
      <c r="F16" s="26"/>
      <c r="G16" s="26"/>
      <c r="H16" s="26"/>
      <c r="I16" s="26"/>
      <c r="J16" s="26"/>
      <c r="K16" s="16"/>
      <c r="L16" s="6"/>
      <c r="M16" s="21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D16" s="6">
        <f>IF((D16&lt;&gt;"")*(D20=""),IF((D16&lt;=$B$438)*((D17&gt;=$C$438)+(D17&lt;2/24)),1,0),0)</f>
        <v>0</v>
      </c>
      <c r="AE16" s="6">
        <f>IF((E16&lt;&gt;"")*(E20=""),IF((E16&lt;=$B$438)*((E17&gt;=$C$438)+(E17&lt;2/24)),1,0),0)</f>
        <v>0</v>
      </c>
      <c r="AF16" s="6">
        <f>IF((F16&lt;&gt;"")*(F20=""),IF((F16&lt;=$B$438)*((F17&gt;=$C$438)+(F17&lt;2/24)),1,0),0)</f>
        <v>0</v>
      </c>
      <c r="AG16" s="6">
        <f>IF((G16&lt;&gt;"")*(G20=""),IF((G16&lt;=$B$438)*((G17&gt;=$C$438)+(G17&lt;2/24)),1,0),0)</f>
        <v>0</v>
      </c>
      <c r="AH16" s="6">
        <f>IF((H16&lt;&gt;"")*(H20=""),IF((H16&lt;=$B$438)*((H17&gt;=$C$438)+(H17&lt;2/24)),1,0),0)</f>
        <v>0</v>
      </c>
      <c r="AI16" s="6">
        <f>IF((I16&lt;&gt;"")*(I20=""),IF((I16&lt;=$B$438)*((I17&gt;=$C$438)+(I17&lt;2/24)),1,0),0)</f>
        <v>0</v>
      </c>
      <c r="AJ16" s="6">
        <f>IF((J16&lt;&gt;"")*(J20=""),IF((J16&lt;=$B$438)*((J17&gt;=$C$438)+(J17&lt;2/24)),1,0),0)</f>
        <v>0</v>
      </c>
    </row>
    <row r="17" spans="1:36" ht="13.5" hidden="1" thickBot="1" x14ac:dyDescent="0.25">
      <c r="A17" s="39"/>
      <c r="B17" s="40"/>
      <c r="C17" s="15" t="s">
        <v>1</v>
      </c>
      <c r="D17" s="27"/>
      <c r="E17" s="27"/>
      <c r="F17" s="27"/>
      <c r="G17" s="27"/>
      <c r="H17" s="27"/>
      <c r="I17" s="27"/>
      <c r="J17" s="27"/>
      <c r="K17" s="17"/>
      <c r="L17" s="6"/>
      <c r="M17" s="21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D17" s="6">
        <f>IF((D16&lt;&gt;"")*(D20=""),IF((D16&lt;=$B$439)*((D17&gt;=$C$439)+(D17&lt;2/24)),1,0),0)</f>
        <v>0</v>
      </c>
      <c r="AE17" s="6">
        <f>IF((E16&lt;&gt;"")*(E20=""),IF((E16&lt;=$B$439)*((E17&gt;=$C$439)+(E17&lt;2/24)),1,0),0)</f>
        <v>0</v>
      </c>
      <c r="AF17" s="6">
        <f>IF((F16&lt;&gt;"")*(F20=""),IF((F16&lt;=$B$439)*((F17&gt;=$C$439)+(F17&lt;2/24)),1,0),0)</f>
        <v>0</v>
      </c>
      <c r="AG17" s="6">
        <f>IF((G16&lt;&gt;"")*(G20=""),IF((G16&lt;=$B$439)*((G17&gt;=$C$439)+(G17&lt;2/24)),1,0),0)</f>
        <v>0</v>
      </c>
      <c r="AH17" s="6">
        <f>IF((H16&lt;&gt;"")*(H20=""),IF((H16&lt;=$B$439)*((H17&gt;=$C$439)+(H17&lt;2/24)),1,0),0)</f>
        <v>0</v>
      </c>
      <c r="AI17" s="6">
        <f>IF((I16&lt;&gt;"")*(I20=""),IF((I16&lt;=$B$439)*((I17&gt;=$C$439)+(I17&lt;2/24)),1,0),0)</f>
        <v>0</v>
      </c>
      <c r="AJ17" s="6">
        <f>IF((J16&lt;&gt;"")*(J20=""),IF((J16&lt;=$B$439)*((J17&gt;=$C$439)+(J17&lt;2/24)),1,0),0)</f>
        <v>0</v>
      </c>
    </row>
    <row r="18" spans="1:36" ht="13.5" hidden="1" thickBot="1" x14ac:dyDescent="0.25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D18" s="6">
        <f>IF((D16&lt;&gt;"")*(D20=""),IF((D16&lt;=$B$440)*((D17&gt;=$C$440)+(D17&lt;2/24)),1,0),0)</f>
        <v>0</v>
      </c>
      <c r="AE18" s="6">
        <f>IF((E16&lt;&gt;"")*(E20=""),IF((E16&lt;=$B$440)*((E17&gt;=$C$440)+(E17&lt;2/24)),1,0),0)</f>
        <v>0</v>
      </c>
      <c r="AF18" s="6">
        <f>IF((F16&lt;&gt;"")*(F20=""),IF((F16&lt;=$B$440)*((F17&gt;=$C$440)+(F17&lt;2/24)),1,0),0)</f>
        <v>0</v>
      </c>
      <c r="AG18" s="6">
        <f>IF((G16&lt;&gt;"")*(G20=""),IF((G16&lt;=$B$440)*((G17&gt;=$C$440)+(G17&lt;2/24)),1,0),0)</f>
        <v>0</v>
      </c>
      <c r="AH18" s="6">
        <f>IF((H16&lt;&gt;"")*(H20=""),IF((H16&lt;=$B$440)*((H17&gt;=$C$440)+(H17&lt;2/24)),1,0),0)</f>
        <v>0</v>
      </c>
      <c r="AI18" s="6">
        <f>IF((I16&lt;&gt;"")*(I20=""),IF((I16&lt;=$B$440)*((I17&gt;=$C$440)+(I17&lt;2/24)),1,0),0)</f>
        <v>0</v>
      </c>
      <c r="AJ18" s="6">
        <f>IF((J16&lt;&gt;"")*(J20=""),IF((J16&lt;=$B$440)*((J17&gt;=$C$440)+(J17&lt;2/24)),1,0),0)</f>
        <v>0</v>
      </c>
    </row>
    <row r="19" spans="1:36" ht="13.5" hidden="1" thickBot="1" x14ac:dyDescent="0.25">
      <c r="A19" s="39"/>
      <c r="B19" s="40"/>
      <c r="C19" s="15" t="s">
        <v>3</v>
      </c>
      <c r="D19" s="43"/>
      <c r="E19" s="43"/>
      <c r="F19" s="43"/>
      <c r="G19" s="43"/>
      <c r="H19" s="43"/>
      <c r="I19" s="43"/>
      <c r="J19" s="44"/>
      <c r="K19" s="18">
        <f>SUMIF(D20:J20,"",D19:J19)</f>
        <v>0</v>
      </c>
      <c r="L19" s="12">
        <f>SUM(D19:J19)</f>
        <v>0</v>
      </c>
      <c r="M19" s="24"/>
      <c r="N19" s="10">
        <f t="shared" ref="N19:T19" si="4">IF(D20="",D19,0)</f>
        <v>0</v>
      </c>
      <c r="O19" s="10">
        <f t="shared" si="4"/>
        <v>0</v>
      </c>
      <c r="P19" s="10">
        <f t="shared" si="4"/>
        <v>0</v>
      </c>
      <c r="Q19" s="10">
        <f t="shared" si="4"/>
        <v>0</v>
      </c>
      <c r="R19" s="10">
        <f t="shared" si="4"/>
        <v>0</v>
      </c>
      <c r="S19" s="10">
        <f t="shared" si="4"/>
        <v>0</v>
      </c>
      <c r="T19" s="10">
        <f t="shared" si="4"/>
        <v>0</v>
      </c>
      <c r="U19" s="10"/>
      <c r="V19" s="10">
        <f t="shared" ref="V19:AB19" si="5">D19</f>
        <v>0</v>
      </c>
      <c r="W19" s="10">
        <f t="shared" si="5"/>
        <v>0</v>
      </c>
      <c r="X19" s="10">
        <f t="shared" si="5"/>
        <v>0</v>
      </c>
      <c r="Y19" s="10">
        <f t="shared" si="5"/>
        <v>0</v>
      </c>
      <c r="Z19" s="10">
        <f t="shared" si="5"/>
        <v>0</v>
      </c>
      <c r="AA19" s="10">
        <f t="shared" si="5"/>
        <v>0</v>
      </c>
      <c r="AB19" s="10">
        <f t="shared" si="5"/>
        <v>0</v>
      </c>
      <c r="AD19" s="6">
        <f>IF((D16&lt;&gt;"")*(D20=""),IF((D16&lt;=$B$441)*((D17&gt;=$C$441)+(D17&lt;2/24)),1,0),0)</f>
        <v>0</v>
      </c>
      <c r="AE19" s="6">
        <f>IF((E16&lt;&gt;"")*(E20=""),IF((E16&lt;=$B$441)*((E17&gt;=$C$441)+(E17&lt;2/24)),1,0),0)</f>
        <v>0</v>
      </c>
      <c r="AF19" s="6">
        <f>IF((F16&lt;&gt;"")*(F20=""),IF((F16&lt;=$B$441)*((F17&gt;=$C$441)+(F17&lt;2/24)),1,0),0)</f>
        <v>0</v>
      </c>
      <c r="AG19" s="6">
        <f>IF((G16&lt;&gt;"")*(G20=""),IF((G16&lt;=$B$441)*((G17&gt;=$C$441)+(G17&lt;2/24)),1,0),0)</f>
        <v>0</v>
      </c>
      <c r="AH19" s="6">
        <f>IF((H16&lt;&gt;"")*(H20=""),IF((H16&lt;=$B$441)*((H17&gt;=$C$441)+(H17&lt;2/24)),1,0),0)</f>
        <v>0</v>
      </c>
      <c r="AI19" s="6">
        <f>IF((I16&lt;&gt;"")*(I20=""),IF((I16&lt;=$B$441)*((I17&gt;=$C$441)+(I17&lt;2/24)),1,0),0)</f>
        <v>0</v>
      </c>
      <c r="AJ19" s="6">
        <f>IF((J16&lt;&gt;"")*(J20=""),IF((J16&lt;=$B$441)*((J17&gt;=$C$441)+(J17&lt;2/24)),1,0),0)</f>
        <v>0</v>
      </c>
    </row>
    <row r="20" spans="1:36" ht="13.5" hidden="1" thickBot="1" x14ac:dyDescent="0.25">
      <c r="A20" s="39"/>
      <c r="B20" s="40"/>
      <c r="C20" s="32" t="s">
        <v>4</v>
      </c>
      <c r="D20" s="33"/>
      <c r="E20" s="33"/>
      <c r="F20" s="33"/>
      <c r="G20" s="33"/>
      <c r="H20" s="33"/>
      <c r="I20" s="33"/>
      <c r="J20" s="33"/>
      <c r="K20" s="17"/>
      <c r="L20" s="6"/>
      <c r="M20" s="25"/>
      <c r="N20" s="6"/>
      <c r="O20" s="6"/>
      <c r="P20" s="6"/>
      <c r="Q20" s="6"/>
      <c r="R20" s="6"/>
      <c r="S20" s="6"/>
      <c r="T20" s="6"/>
      <c r="U20" s="6"/>
      <c r="V20" s="20"/>
      <c r="W20" s="20"/>
      <c r="X20" s="20"/>
      <c r="Y20" s="20"/>
      <c r="Z20" s="20"/>
      <c r="AA20" s="20"/>
      <c r="AB20" s="20"/>
      <c r="AD20" s="6">
        <f>IF((D16&lt;&gt;"")*(D20=""),IF((D16&lt;=$B$442)*((D17&gt;=$C$442)+(D17&lt;2/24)),1,0),0)</f>
        <v>0</v>
      </c>
      <c r="AE20" s="6">
        <f>IF((E16&lt;&gt;"")*(E20=""),IF((E16&lt;=$B$442)*((E17&gt;=$C$442)+(E17&lt;2/24)),1,0),0)</f>
        <v>0</v>
      </c>
      <c r="AF20" s="6">
        <f>IF((F16&lt;&gt;"")*(F20=""),IF((F16&lt;=$B$442)*((F17&gt;=$C$442)+(F17&lt;2/24)),1,0),0)</f>
        <v>0</v>
      </c>
      <c r="AG20" s="6">
        <f>IF((G16&lt;&gt;"")*(G20=""),IF((G16&lt;=$B$442)*((G17&gt;=$C$442)+(G17&lt;2/24)),1,0),0)</f>
        <v>0</v>
      </c>
      <c r="AH20" s="6">
        <f>IF((H16&lt;&gt;"")*(H20=""),IF((H16&lt;=$B$442)*((H17&gt;=$C$442)+(H17&lt;2/24)),1,0),0)</f>
        <v>0</v>
      </c>
      <c r="AI20" s="6">
        <f>IF((I16&lt;&gt;"")*(I20=""),IF((I16&lt;=$B$442)*((I17&gt;=$C$442)+(I17&lt;2/24)),1,0),0)</f>
        <v>0</v>
      </c>
      <c r="AJ20" s="6">
        <f>IF((J16&lt;&gt;"")*(J20=""),IF((J16&lt;=$B$442)*((J17&gt;=$C$442)+(J17&lt;2/24)),1,0),0)</f>
        <v>0</v>
      </c>
    </row>
    <row r="21" spans="1:36" ht="13.5" hidden="1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  <c r="N21" s="6"/>
      <c r="O21" s="6"/>
      <c r="P21" s="6"/>
      <c r="Q21" s="6"/>
      <c r="R21" s="6"/>
      <c r="S21" s="6"/>
      <c r="T21" s="6"/>
      <c r="U21" s="6"/>
      <c r="V21" s="20"/>
      <c r="W21" s="20"/>
      <c r="X21" s="20"/>
      <c r="Y21" s="20"/>
      <c r="Z21" s="20"/>
      <c r="AA21" s="20"/>
      <c r="AB21" s="20"/>
      <c r="AD21" s="6"/>
      <c r="AE21" s="6"/>
      <c r="AF21" s="6"/>
      <c r="AG21" s="6"/>
      <c r="AH21" s="6"/>
      <c r="AI21" s="6"/>
      <c r="AJ21" s="6"/>
    </row>
    <row r="22" spans="1:36" ht="13.5" hidden="1" thickBot="1" x14ac:dyDescent="0.25">
      <c r="A22" s="37" t="s">
        <v>29</v>
      </c>
      <c r="B22" s="38" t="s">
        <v>30</v>
      </c>
      <c r="C22" s="14" t="s">
        <v>0</v>
      </c>
      <c r="D22" s="26"/>
      <c r="E22" s="26"/>
      <c r="F22" s="26"/>
      <c r="G22" s="26"/>
      <c r="H22" s="26"/>
      <c r="I22" s="26"/>
      <c r="J22" s="26"/>
      <c r="K22" s="16"/>
      <c r="L22" s="6"/>
      <c r="M22" s="21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D22" s="6">
        <f>IF((D22&lt;&gt;"")*(D26=""),IF((D22&lt;=$B$438)*((D23&gt;=$C$438)+(D23&lt;2/24)),1,0),0)</f>
        <v>0</v>
      </c>
      <c r="AE22" s="6">
        <f>IF((E22&lt;&gt;"")*(E26=""),IF((E22&lt;=$B$438)*((E23&gt;=$C$438)+(E23&lt;2/24)),1,0),0)</f>
        <v>0</v>
      </c>
      <c r="AF22" s="6">
        <f>IF((F22&lt;&gt;"")*(F26=""),IF((F22&lt;=$B$438)*((F23&gt;=$C$438)+(F23&lt;2/24)),1,0),0)</f>
        <v>0</v>
      </c>
      <c r="AG22" s="6">
        <f>IF((G22&lt;&gt;"")*(G26=""),IF((G22&lt;=$B$438)*((G23&gt;=$C$438)+(G23&lt;2/24)),1,0),0)</f>
        <v>0</v>
      </c>
      <c r="AH22" s="6">
        <f>IF((H22&lt;&gt;"")*(H26=""),IF((H22&lt;=$B$438)*((H23&gt;=$C$438)+(H23&lt;2/24)),1,0),0)</f>
        <v>0</v>
      </c>
      <c r="AI22" s="6">
        <f>IF((I22&lt;&gt;"")*(I26=""),IF((I22&lt;=$B$438)*((I23&gt;=$C$438)+(I23&lt;2/24)),1,0),0)</f>
        <v>0</v>
      </c>
      <c r="AJ22" s="6">
        <f>IF((J22&lt;&gt;"")*(J26=""),IF((J22&lt;=$B$438)*((J23&gt;=$C$438)+(J23&lt;2/24)),1,0),0)</f>
        <v>0</v>
      </c>
    </row>
    <row r="23" spans="1:36" ht="13.5" hidden="1" thickBot="1" x14ac:dyDescent="0.25">
      <c r="A23" s="39"/>
      <c r="B23" s="40"/>
      <c r="C23" s="15" t="s">
        <v>1</v>
      </c>
      <c r="D23" s="27"/>
      <c r="E23" s="27"/>
      <c r="F23" s="27"/>
      <c r="G23" s="27"/>
      <c r="H23" s="27"/>
      <c r="I23" s="27"/>
      <c r="J23" s="27"/>
      <c r="K23" s="17"/>
      <c r="L23" s="6"/>
      <c r="M23" s="21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D23" s="6">
        <f>IF((D22&lt;&gt;"")*(D26=""),IF((D22&lt;=$B$439)*((D23&gt;=$C$439)+(D23&lt;2/24)),1,0),0)</f>
        <v>0</v>
      </c>
      <c r="AE23" s="6">
        <f>IF((E22&lt;&gt;"")*(E26=""),IF((E22&lt;=$B$439)*((E23&gt;=$C$439)+(E23&lt;2/24)),1,0),0)</f>
        <v>0</v>
      </c>
      <c r="AF23" s="6">
        <f>IF((F22&lt;&gt;"")*(F26=""),IF((F22&lt;=$B$439)*((F23&gt;=$C$439)+(F23&lt;2/24)),1,0),0)</f>
        <v>0</v>
      </c>
      <c r="AG23" s="6">
        <f>IF((G22&lt;&gt;"")*(G26=""),IF((G22&lt;=$B$439)*((G23&gt;=$C$439)+(G23&lt;2/24)),1,0),0)</f>
        <v>0</v>
      </c>
      <c r="AH23" s="6">
        <f>IF((H22&lt;&gt;"")*(H26=""),IF((H22&lt;=$B$439)*((H23&gt;=$C$439)+(H23&lt;2/24)),1,0),0)</f>
        <v>0</v>
      </c>
      <c r="AI23" s="6">
        <f>IF((I22&lt;&gt;"")*(I26=""),IF((I22&lt;=$B$439)*((I23&gt;=$C$439)+(I23&lt;2/24)),1,0),0)</f>
        <v>0</v>
      </c>
      <c r="AJ23" s="6">
        <f>IF((J22&lt;&gt;"")*(J26=""),IF((J22&lt;=$B$439)*((J23&gt;=$C$439)+(J23&lt;2/24)),1,0),0)</f>
        <v>0</v>
      </c>
    </row>
    <row r="24" spans="1:36" ht="13.5" hidden="1" thickBot="1" x14ac:dyDescent="0.25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D24" s="6">
        <f>IF((D22&lt;&gt;"")*(D26=""),IF((D22&lt;=$B$440)*((D23&gt;=$C$440)+(D23&lt;2/24)),1,0),0)</f>
        <v>0</v>
      </c>
      <c r="AE24" s="6">
        <f>IF((E22&lt;&gt;"")*(E26=""),IF((E22&lt;=$B$440)*((E23&gt;=$C$440)+(E23&lt;2/24)),1,0),0)</f>
        <v>0</v>
      </c>
      <c r="AF24" s="6">
        <f>IF((F22&lt;&gt;"")*(F26=""),IF((F22&lt;=$B$440)*((F23&gt;=$C$440)+(F23&lt;2/24)),1,0),0)</f>
        <v>0</v>
      </c>
      <c r="AG24" s="6">
        <f>IF((G22&lt;&gt;"")*(G26=""),IF((G22&lt;=$B$440)*((G23&gt;=$C$440)+(G23&lt;2/24)),1,0),0)</f>
        <v>0</v>
      </c>
      <c r="AH24" s="6">
        <f>IF((H22&lt;&gt;"")*(H26=""),IF((H22&lt;=$B$440)*((H23&gt;=$C$440)+(H23&lt;2/24)),1,0),0)</f>
        <v>0</v>
      </c>
      <c r="AI24" s="6">
        <f>IF((I22&lt;&gt;"")*(I26=""),IF((I22&lt;=$B$440)*((I23&gt;=$C$440)+(I23&lt;2/24)),1,0),0)</f>
        <v>0</v>
      </c>
      <c r="AJ24" s="6">
        <f>IF((J22&lt;&gt;"")*(J26=""),IF((J22&lt;=$B$440)*((J23&gt;=$C$440)+(J23&lt;2/24)),1,0),0)</f>
        <v>0</v>
      </c>
    </row>
    <row r="25" spans="1:36" ht="13.5" hidden="1" thickBot="1" x14ac:dyDescent="0.25">
      <c r="A25" s="39"/>
      <c r="B25" s="40"/>
      <c r="C25" s="15" t="s">
        <v>3</v>
      </c>
      <c r="D25" s="43"/>
      <c r="E25" s="43"/>
      <c r="F25" s="43"/>
      <c r="G25" s="43"/>
      <c r="H25" s="43"/>
      <c r="I25" s="43"/>
      <c r="J25" s="44"/>
      <c r="K25" s="18">
        <f>SUMIF(D26:J26,"",D25:J25)</f>
        <v>0</v>
      </c>
      <c r="L25" s="12">
        <f>SUM(D25:J25)</f>
        <v>0</v>
      </c>
      <c r="M25" s="24"/>
      <c r="N25" s="10">
        <f t="shared" ref="N25:T25" si="6">IF(D26="",D25,0)</f>
        <v>0</v>
      </c>
      <c r="O25" s="10">
        <f t="shared" si="6"/>
        <v>0</v>
      </c>
      <c r="P25" s="10">
        <f t="shared" si="6"/>
        <v>0</v>
      </c>
      <c r="Q25" s="10">
        <f t="shared" si="6"/>
        <v>0</v>
      </c>
      <c r="R25" s="10">
        <f t="shared" si="6"/>
        <v>0</v>
      </c>
      <c r="S25" s="10">
        <f t="shared" si="6"/>
        <v>0</v>
      </c>
      <c r="T25" s="10">
        <f t="shared" si="6"/>
        <v>0</v>
      </c>
      <c r="U25" s="10"/>
      <c r="V25" s="10">
        <f t="shared" ref="V25:AB25" si="7">D25</f>
        <v>0</v>
      </c>
      <c r="W25" s="10">
        <f t="shared" si="7"/>
        <v>0</v>
      </c>
      <c r="X25" s="10">
        <f t="shared" si="7"/>
        <v>0</v>
      </c>
      <c r="Y25" s="10">
        <f t="shared" si="7"/>
        <v>0</v>
      </c>
      <c r="Z25" s="10">
        <f t="shared" si="7"/>
        <v>0</v>
      </c>
      <c r="AA25" s="10">
        <f t="shared" si="7"/>
        <v>0</v>
      </c>
      <c r="AB25" s="10">
        <f t="shared" si="7"/>
        <v>0</v>
      </c>
      <c r="AD25" s="6">
        <f>IF((D22&lt;&gt;"")*(D26=""),IF((D22&lt;=$B$441)*((D23&gt;=$C$441)+(D23&lt;2/24)),1,0),0)</f>
        <v>0</v>
      </c>
      <c r="AE25" s="6">
        <f>IF((E22&lt;&gt;"")*(E26=""),IF((E22&lt;=$B$441)*((E23&gt;=$C$441)+(E23&lt;2/24)),1,0),0)</f>
        <v>0</v>
      </c>
      <c r="AF25" s="6">
        <f>IF((F22&lt;&gt;"")*(F26=""),IF((F22&lt;=$B$441)*((F23&gt;=$C$441)+(F23&lt;2/24)),1,0),0)</f>
        <v>0</v>
      </c>
      <c r="AG25" s="6">
        <f>IF((G22&lt;&gt;"")*(G26=""),IF((G22&lt;=$B$441)*((G23&gt;=$C$441)+(G23&lt;2/24)),1,0),0)</f>
        <v>0</v>
      </c>
      <c r="AH25" s="6">
        <f>IF((H22&lt;&gt;"")*(H26=""),IF((H22&lt;=$B$441)*((H23&gt;=$C$441)+(H23&lt;2/24)),1,0),0)</f>
        <v>0</v>
      </c>
      <c r="AI25" s="6">
        <f>IF((I22&lt;&gt;"")*(I26=""),IF((I22&lt;=$B$441)*((I23&gt;=$C$441)+(I23&lt;2/24)),1,0),0)</f>
        <v>0</v>
      </c>
      <c r="AJ25" s="6">
        <f>IF((J22&lt;&gt;"")*(J26=""),IF((J22&lt;=$B$441)*((J23&gt;=$C$441)+(J23&lt;2/24)),1,0),0)</f>
        <v>0</v>
      </c>
    </row>
    <row r="26" spans="1:36" ht="13.5" hidden="1" thickBot="1" x14ac:dyDescent="0.25">
      <c r="A26" s="39"/>
      <c r="B26" s="40"/>
      <c r="C26" s="32" t="s">
        <v>4</v>
      </c>
      <c r="D26" s="33"/>
      <c r="E26" s="33"/>
      <c r="F26" s="33"/>
      <c r="G26" s="33"/>
      <c r="H26" s="33"/>
      <c r="I26" s="33"/>
      <c r="J26" s="33"/>
      <c r="K26" s="17"/>
      <c r="L26" s="6"/>
      <c r="M26" s="25"/>
      <c r="N26" s="6"/>
      <c r="O26" s="6"/>
      <c r="P26" s="6"/>
      <c r="Q26" s="6"/>
      <c r="R26" s="6"/>
      <c r="S26" s="6"/>
      <c r="T26" s="6"/>
      <c r="U26" s="6"/>
      <c r="V26" s="20"/>
      <c r="W26" s="20"/>
      <c r="X26" s="20"/>
      <c r="Y26" s="20"/>
      <c r="Z26" s="20"/>
      <c r="AA26" s="20"/>
      <c r="AB26" s="20"/>
      <c r="AD26" s="6">
        <f>IF((D22&lt;&gt;"")*(D26=""),IF((D22&lt;=$B$442)*((D23&gt;=$C$442)+(D23&lt;2/24)),1,0),0)</f>
        <v>0</v>
      </c>
      <c r="AE26" s="6">
        <f>IF((E22&lt;&gt;"")*(E26=""),IF((E22&lt;=$B$442)*((E23&gt;=$C$442)+(E23&lt;2/24)),1,0),0)</f>
        <v>0</v>
      </c>
      <c r="AF26" s="6">
        <f>IF((F22&lt;&gt;"")*(F26=""),IF((F22&lt;=$B$442)*((F23&gt;=$C$442)+(F23&lt;2/24)),1,0),0)</f>
        <v>0</v>
      </c>
      <c r="AG26" s="6">
        <f>IF((G22&lt;&gt;"")*(G26=""),IF((G22&lt;=$B$442)*((G23&gt;=$C$442)+(G23&lt;2/24)),1,0),0)</f>
        <v>0</v>
      </c>
      <c r="AH26" s="6">
        <f>IF((H22&lt;&gt;"")*(H26=""),IF((H22&lt;=$B$442)*((H23&gt;=$C$442)+(H23&lt;2/24)),1,0),0)</f>
        <v>0</v>
      </c>
      <c r="AI26" s="6">
        <f>IF((I22&lt;&gt;"")*(I26=""),IF((I22&lt;=$B$442)*((I23&gt;=$C$442)+(I23&lt;2/24)),1,0),0)</f>
        <v>0</v>
      </c>
      <c r="AJ26" s="6">
        <f>IF((J22&lt;&gt;"")*(J26=""),IF((J22&lt;=$B$442)*((J23&gt;=$C$442)+(J23&lt;2/24)),1,0),0)</f>
        <v>0</v>
      </c>
    </row>
    <row r="27" spans="1:36" ht="13.5" hidden="1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  <c r="N27" s="6"/>
      <c r="O27" s="6"/>
      <c r="P27" s="6"/>
      <c r="Q27" s="6"/>
      <c r="R27" s="6"/>
      <c r="S27" s="6"/>
      <c r="T27" s="6"/>
      <c r="U27" s="6"/>
      <c r="V27" s="20"/>
      <c r="W27" s="20"/>
      <c r="X27" s="20"/>
      <c r="Y27" s="20"/>
      <c r="Z27" s="20"/>
      <c r="AA27" s="20"/>
      <c r="AB27" s="20"/>
      <c r="AD27" s="6"/>
      <c r="AE27" s="6"/>
      <c r="AF27" s="6"/>
      <c r="AG27" s="6"/>
      <c r="AH27" s="6"/>
      <c r="AI27" s="6"/>
      <c r="AJ27" s="6"/>
    </row>
    <row r="28" spans="1:36" ht="13.5" hidden="1" thickBot="1" x14ac:dyDescent="0.25">
      <c r="A28" s="37" t="s">
        <v>29</v>
      </c>
      <c r="B28" s="38" t="s">
        <v>30</v>
      </c>
      <c r="C28" s="14" t="s">
        <v>0</v>
      </c>
      <c r="D28" s="26"/>
      <c r="E28" s="26"/>
      <c r="F28" s="26"/>
      <c r="G28" s="26"/>
      <c r="H28" s="26"/>
      <c r="I28" s="26"/>
      <c r="J28" s="26"/>
      <c r="K28" s="16"/>
      <c r="L28" s="6"/>
      <c r="M28" s="21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D28" s="6">
        <f>IF((D28&lt;&gt;"")*(D32=""),IF((D28&lt;=$B$438)*((D29&gt;=$C$438)+(D29&lt;2/24)),1,0),0)</f>
        <v>0</v>
      </c>
      <c r="AE28" s="6">
        <f>IF((E28&lt;&gt;"")*(E32=""),IF((E28&lt;=$B$438)*((E29&gt;=$C$438)+(E29&lt;2/24)),1,0),0)</f>
        <v>0</v>
      </c>
      <c r="AF28" s="6">
        <f>IF((F28&lt;&gt;"")*(F32=""),IF((F28&lt;=$B$438)*((F29&gt;=$C$438)+(F29&lt;2/24)),1,0),0)</f>
        <v>0</v>
      </c>
      <c r="AG28" s="6">
        <f>IF((G28&lt;&gt;"")*(G32=""),IF((G28&lt;=$B$438)*((G29&gt;=$C$438)+(G29&lt;2/24)),1,0),0)</f>
        <v>0</v>
      </c>
      <c r="AH28" s="6">
        <f>IF((H28&lt;&gt;"")*(H32=""),IF((H28&lt;=$B$438)*((H29&gt;=$C$438)+(H29&lt;2/24)),1,0),0)</f>
        <v>0</v>
      </c>
      <c r="AI28" s="6">
        <f>IF((I28&lt;&gt;"")*(I32=""),IF((I28&lt;=$B$438)*((I29&gt;=$C$438)+(I29&lt;2/24)),1,0),0)</f>
        <v>0</v>
      </c>
      <c r="AJ28" s="6">
        <f>IF((J28&lt;&gt;"")*(J32=""),IF((J28&lt;=$B$438)*((J29&gt;=$C$438)+(J29&lt;2/24)),1,0),0)</f>
        <v>0</v>
      </c>
    </row>
    <row r="29" spans="1:36" ht="13.5" hidden="1" thickBot="1" x14ac:dyDescent="0.25">
      <c r="A29" s="39"/>
      <c r="B29" s="40"/>
      <c r="C29" s="15" t="s">
        <v>1</v>
      </c>
      <c r="D29" s="27"/>
      <c r="E29" s="27"/>
      <c r="F29" s="27"/>
      <c r="G29" s="27"/>
      <c r="H29" s="27"/>
      <c r="I29" s="27"/>
      <c r="J29" s="27"/>
      <c r="K29" s="17"/>
      <c r="L29" s="6"/>
      <c r="M29" s="21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D29" s="6">
        <f>IF((D28&lt;&gt;"")*(D32=""),IF((D28&lt;=$B$439)*((D29&gt;=$C$439)+(D29&lt;2/24)),1,0),0)</f>
        <v>0</v>
      </c>
      <c r="AE29" s="6">
        <f>IF((E28&lt;&gt;"")*(E32=""),IF((E28&lt;=$B$439)*((E29&gt;=$C$439)+(E29&lt;2/24)),1,0),0)</f>
        <v>0</v>
      </c>
      <c r="AF29" s="6">
        <f>IF((F28&lt;&gt;"")*(F32=""),IF((F28&lt;=$B$439)*((F29&gt;=$C$439)+(F29&lt;2/24)),1,0),0)</f>
        <v>0</v>
      </c>
      <c r="AG29" s="6">
        <f>IF((G28&lt;&gt;"")*(G32=""),IF((G28&lt;=$B$439)*((G29&gt;=$C$439)+(G29&lt;2/24)),1,0),0)</f>
        <v>0</v>
      </c>
      <c r="AH29" s="6">
        <f>IF((H28&lt;&gt;"")*(H32=""),IF((H28&lt;=$B$439)*((H29&gt;=$C$439)+(H29&lt;2/24)),1,0),0)</f>
        <v>0</v>
      </c>
      <c r="AI29" s="6">
        <f>IF((I28&lt;&gt;"")*(I32=""),IF((I28&lt;=$B$439)*((I29&gt;=$C$439)+(I29&lt;2/24)),1,0),0)</f>
        <v>0</v>
      </c>
      <c r="AJ29" s="6">
        <f>IF((J28&lt;&gt;"")*(J32=""),IF((J28&lt;=$B$439)*((J29&gt;=$C$439)+(J29&lt;2/24)),1,0),0)</f>
        <v>0</v>
      </c>
    </row>
    <row r="30" spans="1:36" ht="13.5" hidden="1" thickBot="1" x14ac:dyDescent="0.25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D30" s="6">
        <f>IF((D28&lt;&gt;"")*(D32=""),IF((D28&lt;=$B$440)*((D29&gt;=$C$440)+(D29&lt;2/24)),1,0),0)</f>
        <v>0</v>
      </c>
      <c r="AE30" s="6">
        <f>IF((E28&lt;&gt;"")*(E32=""),IF((E28&lt;=$B$440)*((E29&gt;=$C$440)+(E29&lt;2/24)),1,0),0)</f>
        <v>0</v>
      </c>
      <c r="AF30" s="6">
        <f>IF((F28&lt;&gt;"")*(F32=""),IF((F28&lt;=$B$440)*((F29&gt;=$C$440)+(F29&lt;2/24)),1,0),0)</f>
        <v>0</v>
      </c>
      <c r="AG30" s="6">
        <f>IF((G28&lt;&gt;"")*(G32=""),IF((G28&lt;=$B$440)*((G29&gt;=$C$440)+(G29&lt;2/24)),1,0),0)</f>
        <v>0</v>
      </c>
      <c r="AH30" s="6">
        <f>IF((H28&lt;&gt;"")*(H32=""),IF((H28&lt;=$B$440)*((H29&gt;=$C$440)+(H29&lt;2/24)),1,0),0)</f>
        <v>0</v>
      </c>
      <c r="AI30" s="6">
        <f>IF((I28&lt;&gt;"")*(I32=""),IF((I28&lt;=$B$440)*((I29&gt;=$C$440)+(I29&lt;2/24)),1,0),0)</f>
        <v>0</v>
      </c>
      <c r="AJ30" s="6">
        <f>IF((J28&lt;&gt;"")*(J32=""),IF((J28&lt;=$B$440)*((J29&gt;=$C$440)+(J29&lt;2/24)),1,0),0)</f>
        <v>0</v>
      </c>
    </row>
    <row r="31" spans="1:36" ht="13.5" hidden="1" thickBot="1" x14ac:dyDescent="0.25">
      <c r="A31" s="39"/>
      <c r="B31" s="40"/>
      <c r="C31" s="15" t="s">
        <v>3</v>
      </c>
      <c r="D31" s="43"/>
      <c r="E31" s="43"/>
      <c r="F31" s="43"/>
      <c r="G31" s="43"/>
      <c r="H31" s="43"/>
      <c r="I31" s="43"/>
      <c r="J31" s="44"/>
      <c r="K31" s="18">
        <f>SUMIF(D32:J32,"",D31:J31)</f>
        <v>0</v>
      </c>
      <c r="L31" s="12">
        <f>SUM(D31:J31)</f>
        <v>0</v>
      </c>
      <c r="M31" s="24"/>
      <c r="N31" s="10">
        <f t="shared" ref="N31:T31" si="8">IF(D32="",D31,0)</f>
        <v>0</v>
      </c>
      <c r="O31" s="10">
        <f t="shared" si="8"/>
        <v>0</v>
      </c>
      <c r="P31" s="10">
        <f t="shared" si="8"/>
        <v>0</v>
      </c>
      <c r="Q31" s="10">
        <f t="shared" si="8"/>
        <v>0</v>
      </c>
      <c r="R31" s="10">
        <f t="shared" si="8"/>
        <v>0</v>
      </c>
      <c r="S31" s="10">
        <f t="shared" si="8"/>
        <v>0</v>
      </c>
      <c r="T31" s="10">
        <f t="shared" si="8"/>
        <v>0</v>
      </c>
      <c r="U31" s="10"/>
      <c r="V31" s="10">
        <f t="shared" ref="V31:AB31" si="9">D31</f>
        <v>0</v>
      </c>
      <c r="W31" s="10">
        <f t="shared" si="9"/>
        <v>0</v>
      </c>
      <c r="X31" s="10">
        <f t="shared" si="9"/>
        <v>0</v>
      </c>
      <c r="Y31" s="10">
        <f t="shared" si="9"/>
        <v>0</v>
      </c>
      <c r="Z31" s="10">
        <f t="shared" si="9"/>
        <v>0</v>
      </c>
      <c r="AA31" s="10">
        <f t="shared" si="9"/>
        <v>0</v>
      </c>
      <c r="AB31" s="10">
        <f t="shared" si="9"/>
        <v>0</v>
      </c>
      <c r="AD31" s="6">
        <f>IF((D28&lt;&gt;"")*(D32=""),IF((D28&lt;=$B$441)*((D29&gt;=$C$441)+(D29&lt;2/24)),1,0),0)</f>
        <v>0</v>
      </c>
      <c r="AE31" s="6">
        <f>IF((E28&lt;&gt;"")*(E32=""),IF((E28&lt;=$B$441)*((E29&gt;=$C$441)+(E29&lt;2/24)),1,0),0)</f>
        <v>0</v>
      </c>
      <c r="AF31" s="6">
        <f>IF((F28&lt;&gt;"")*(F32=""),IF((F28&lt;=$B$441)*((F29&gt;=$C$441)+(F29&lt;2/24)),1,0),0)</f>
        <v>0</v>
      </c>
      <c r="AG31" s="6">
        <f>IF((G28&lt;&gt;"")*(G32=""),IF((G28&lt;=$B$441)*((G29&gt;=$C$441)+(G29&lt;2/24)),1,0),0)</f>
        <v>0</v>
      </c>
      <c r="AH31" s="6">
        <f>IF((H28&lt;&gt;"")*(H32=""),IF((H28&lt;=$B$441)*((H29&gt;=$C$441)+(H29&lt;2/24)),1,0),0)</f>
        <v>0</v>
      </c>
      <c r="AI31" s="6">
        <f>IF((I28&lt;&gt;"")*(I32=""),IF((I28&lt;=$B$441)*((I29&gt;=$C$441)+(I29&lt;2/24)),1,0),0)</f>
        <v>0</v>
      </c>
      <c r="AJ31" s="6">
        <f>IF((J28&lt;&gt;"")*(J32=""),IF((J28&lt;=$B$441)*((J29&gt;=$C$441)+(J29&lt;2/24)),1,0),0)</f>
        <v>0</v>
      </c>
    </row>
    <row r="32" spans="1:36" ht="13.5" hidden="1" thickBot="1" x14ac:dyDescent="0.25">
      <c r="A32" s="39"/>
      <c r="B32" s="40"/>
      <c r="C32" s="32" t="s">
        <v>4</v>
      </c>
      <c r="D32" s="33"/>
      <c r="E32" s="33"/>
      <c r="F32" s="33"/>
      <c r="G32" s="33"/>
      <c r="H32" s="33"/>
      <c r="I32" s="33"/>
      <c r="J32" s="33"/>
      <c r="K32" s="17"/>
      <c r="L32" s="6"/>
      <c r="M32" s="25"/>
      <c r="N32" s="6"/>
      <c r="O32" s="6"/>
      <c r="P32" s="6"/>
      <c r="Q32" s="6"/>
      <c r="R32" s="6"/>
      <c r="S32" s="6"/>
      <c r="T32" s="6"/>
      <c r="U32" s="6"/>
      <c r="V32" s="20"/>
      <c r="W32" s="20"/>
      <c r="X32" s="20"/>
      <c r="Y32" s="20"/>
      <c r="Z32" s="20"/>
      <c r="AA32" s="20"/>
      <c r="AB32" s="20"/>
      <c r="AD32" s="6">
        <f>IF((D28&lt;&gt;"")*(D32=""),IF((D28&lt;=$B$442)*((D29&gt;=$C$442)+(D29&lt;2/24)),1,0),0)</f>
        <v>0</v>
      </c>
      <c r="AE32" s="6">
        <f>IF((E28&lt;&gt;"")*(E32=""),IF((E28&lt;=$B$442)*((E29&gt;=$C$442)+(E29&lt;2/24)),1,0),0)</f>
        <v>0</v>
      </c>
      <c r="AF32" s="6">
        <f>IF((F28&lt;&gt;"")*(F32=""),IF((F28&lt;=$B$442)*((F29&gt;=$C$442)+(F29&lt;2/24)),1,0),0)</f>
        <v>0</v>
      </c>
      <c r="AG32" s="6">
        <f>IF((G28&lt;&gt;"")*(G32=""),IF((G28&lt;=$B$442)*((G29&gt;=$C$442)+(G29&lt;2/24)),1,0),0)</f>
        <v>0</v>
      </c>
      <c r="AH32" s="6">
        <f>IF((H28&lt;&gt;"")*(H32=""),IF((H28&lt;=$B$442)*((H29&gt;=$C$442)+(H29&lt;2/24)),1,0),0)</f>
        <v>0</v>
      </c>
      <c r="AI32" s="6">
        <f>IF((I28&lt;&gt;"")*(I32=""),IF((I28&lt;=$B$442)*((I29&gt;=$C$442)+(I29&lt;2/24)),1,0),0)</f>
        <v>0</v>
      </c>
      <c r="AJ32" s="6">
        <f>IF((J28&lt;&gt;"")*(J32=""),IF((J28&lt;=$B$442)*((J29&gt;=$C$442)+(J29&lt;2/24)),1,0),0)</f>
        <v>0</v>
      </c>
    </row>
    <row r="33" spans="1:36" ht="13.5" hidden="1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  <c r="N33" s="6"/>
      <c r="O33" s="6"/>
      <c r="P33" s="6"/>
      <c r="Q33" s="6"/>
      <c r="R33" s="6"/>
      <c r="S33" s="6"/>
      <c r="T33" s="6"/>
      <c r="U33" s="6"/>
      <c r="V33" s="20"/>
      <c r="W33" s="20"/>
      <c r="X33" s="20"/>
      <c r="Y33" s="20"/>
      <c r="Z33" s="20"/>
      <c r="AA33" s="20"/>
      <c r="AB33" s="20"/>
      <c r="AD33" s="6"/>
      <c r="AE33" s="6"/>
      <c r="AF33" s="6"/>
      <c r="AG33" s="6"/>
      <c r="AH33" s="6"/>
      <c r="AI33" s="6"/>
      <c r="AJ33" s="6"/>
    </row>
    <row r="34" spans="1:36" ht="13.5" hidden="1" thickBot="1" x14ac:dyDescent="0.25">
      <c r="A34" s="37" t="s">
        <v>29</v>
      </c>
      <c r="B34" s="38" t="s">
        <v>30</v>
      </c>
      <c r="C34" s="14" t="s">
        <v>0</v>
      </c>
      <c r="D34" s="26"/>
      <c r="E34" s="26"/>
      <c r="F34" s="26"/>
      <c r="G34" s="26"/>
      <c r="H34" s="26"/>
      <c r="I34" s="26"/>
      <c r="J34" s="26"/>
      <c r="K34" s="16"/>
      <c r="L34" s="6"/>
      <c r="M34" s="21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D34" s="6">
        <f>IF((D34&lt;&gt;"")*(D38=""),IF((D34&lt;=$B$438)*((D35&gt;=$C$438)+(D35&lt;2/24)),1,0),0)</f>
        <v>0</v>
      </c>
      <c r="AE34" s="6">
        <f>IF((E34&lt;&gt;"")*(E38=""),IF((E34&lt;=$B$438)*((E35&gt;=$C$438)+(E35&lt;2/24)),1,0),0)</f>
        <v>0</v>
      </c>
      <c r="AF34" s="6">
        <f>IF((F34&lt;&gt;"")*(F38=""),IF((F34&lt;=$B$438)*((F35&gt;=$C$438)+(F35&lt;2/24)),1,0),0)</f>
        <v>0</v>
      </c>
      <c r="AG34" s="6">
        <f>IF((G34&lt;&gt;"")*(G38=""),IF((G34&lt;=$B$438)*((G35&gt;=$C$438)+(G35&lt;2/24)),1,0),0)</f>
        <v>0</v>
      </c>
      <c r="AH34" s="6">
        <f>IF((H34&lt;&gt;"")*(H38=""),IF((H34&lt;=$B$438)*((H35&gt;=$C$438)+(H35&lt;2/24)),1,0),0)</f>
        <v>0</v>
      </c>
      <c r="AI34" s="6">
        <f>IF((I34&lt;&gt;"")*(I38=""),IF((I34&lt;=$B$438)*((I35&gt;=$C$438)+(I35&lt;2/24)),1,0),0)</f>
        <v>0</v>
      </c>
      <c r="AJ34" s="6">
        <f>IF((J34&lt;&gt;"")*(J38=""),IF((J34&lt;=$B$438)*((J35&gt;=$C$438)+(J35&lt;2/24)),1,0),0)</f>
        <v>0</v>
      </c>
    </row>
    <row r="35" spans="1:36" ht="13.5" hidden="1" thickBot="1" x14ac:dyDescent="0.25">
      <c r="A35" s="39"/>
      <c r="B35" s="40"/>
      <c r="C35" s="15" t="s">
        <v>1</v>
      </c>
      <c r="D35" s="27"/>
      <c r="E35" s="27"/>
      <c r="F35" s="27"/>
      <c r="G35" s="27"/>
      <c r="H35" s="27"/>
      <c r="I35" s="27"/>
      <c r="J35" s="27"/>
      <c r="K35" s="17"/>
      <c r="L35" s="6"/>
      <c r="M35" s="21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D35" s="6">
        <f>IF((D34&lt;&gt;"")*(D38=""),IF((D34&lt;=$B$439)*((D35&gt;=$C$439)+(D35&lt;2/24)),1,0),0)</f>
        <v>0</v>
      </c>
      <c r="AE35" s="6">
        <f>IF((E34&lt;&gt;"")*(E38=""),IF((E34&lt;=$B$439)*((E35&gt;=$C$439)+(E35&lt;2/24)),1,0),0)</f>
        <v>0</v>
      </c>
      <c r="AF35" s="6">
        <f>IF((F34&lt;&gt;"")*(F38=""),IF((F34&lt;=$B$439)*((F35&gt;=$C$439)+(F35&lt;2/24)),1,0),0)</f>
        <v>0</v>
      </c>
      <c r="AG35" s="6">
        <f>IF((G34&lt;&gt;"")*(G38=""),IF((G34&lt;=$B$439)*((G35&gt;=$C$439)+(G35&lt;2/24)),1,0),0)</f>
        <v>0</v>
      </c>
      <c r="AH35" s="6">
        <f>IF((H34&lt;&gt;"")*(H38=""),IF((H34&lt;=$B$439)*((H35&gt;=$C$439)+(H35&lt;2/24)),1,0),0)</f>
        <v>0</v>
      </c>
      <c r="AI35" s="6">
        <f>IF((I34&lt;&gt;"")*(I38=""),IF((I34&lt;=$B$439)*((I35&gt;=$C$439)+(I35&lt;2/24)),1,0),0)</f>
        <v>0</v>
      </c>
      <c r="AJ35" s="6">
        <f>IF((J34&lt;&gt;"")*(J38=""),IF((J34&lt;=$B$439)*((J35&gt;=$C$439)+(J35&lt;2/24)),1,0),0)</f>
        <v>0</v>
      </c>
    </row>
    <row r="36" spans="1:36" ht="13.5" hidden="1" thickBot="1" x14ac:dyDescent="0.25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D36" s="6">
        <f>IF((D34&lt;&gt;"")*(D38=""),IF((D34&lt;=$B$440)*((D35&gt;=$C$440)+(D35&lt;2/24)),1,0),0)</f>
        <v>0</v>
      </c>
      <c r="AE36" s="6">
        <f>IF((E34&lt;&gt;"")*(E38=""),IF((E34&lt;=$B$440)*((E35&gt;=$C$440)+(E35&lt;2/24)),1,0),0)</f>
        <v>0</v>
      </c>
      <c r="AF36" s="6">
        <f>IF((F34&lt;&gt;"")*(F38=""),IF((F34&lt;=$B$440)*((F35&gt;=$C$440)+(F35&lt;2/24)),1,0),0)</f>
        <v>0</v>
      </c>
      <c r="AG36" s="6">
        <f>IF((G34&lt;&gt;"")*(G38=""),IF((G34&lt;=$B$440)*((G35&gt;=$C$440)+(G35&lt;2/24)),1,0),0)</f>
        <v>0</v>
      </c>
      <c r="AH36" s="6">
        <f>IF((H34&lt;&gt;"")*(H38=""),IF((H34&lt;=$B$440)*((H35&gt;=$C$440)+(H35&lt;2/24)),1,0),0)</f>
        <v>0</v>
      </c>
      <c r="AI36" s="6">
        <f>IF((I34&lt;&gt;"")*(I38=""),IF((I34&lt;=$B$440)*((I35&gt;=$C$440)+(I35&lt;2/24)),1,0),0)</f>
        <v>0</v>
      </c>
      <c r="AJ36" s="6">
        <f>IF((J34&lt;&gt;"")*(J38=""),IF((J34&lt;=$B$440)*((J35&gt;=$C$440)+(J35&lt;2/24)),1,0),0)</f>
        <v>0</v>
      </c>
    </row>
    <row r="37" spans="1:36" ht="13.5" hidden="1" thickBot="1" x14ac:dyDescent="0.25">
      <c r="A37" s="39"/>
      <c r="B37" s="40"/>
      <c r="C37" s="15" t="s">
        <v>3</v>
      </c>
      <c r="D37" s="43"/>
      <c r="E37" s="43"/>
      <c r="F37" s="43"/>
      <c r="G37" s="43"/>
      <c r="H37" s="43"/>
      <c r="I37" s="43"/>
      <c r="J37" s="44"/>
      <c r="K37" s="18">
        <f>SUMIF(D38:J38,"",D37:J37)</f>
        <v>0</v>
      </c>
      <c r="L37" s="12">
        <f>SUM(D37:J37)</f>
        <v>0</v>
      </c>
      <c r="M37" s="24"/>
      <c r="N37" s="10">
        <f t="shared" ref="N37:T37" si="10">IF(D38="",D37,0)</f>
        <v>0</v>
      </c>
      <c r="O37" s="10">
        <f t="shared" si="10"/>
        <v>0</v>
      </c>
      <c r="P37" s="10">
        <f t="shared" si="10"/>
        <v>0</v>
      </c>
      <c r="Q37" s="10">
        <f t="shared" si="10"/>
        <v>0</v>
      </c>
      <c r="R37" s="10">
        <f t="shared" si="10"/>
        <v>0</v>
      </c>
      <c r="S37" s="10">
        <f t="shared" si="10"/>
        <v>0</v>
      </c>
      <c r="T37" s="10">
        <f t="shared" si="10"/>
        <v>0</v>
      </c>
      <c r="U37" s="10"/>
      <c r="V37" s="10">
        <f t="shared" ref="V37:AB37" si="11">D37</f>
        <v>0</v>
      </c>
      <c r="W37" s="10">
        <f t="shared" si="11"/>
        <v>0</v>
      </c>
      <c r="X37" s="10">
        <f t="shared" si="11"/>
        <v>0</v>
      </c>
      <c r="Y37" s="10">
        <f t="shared" si="11"/>
        <v>0</v>
      </c>
      <c r="Z37" s="10">
        <f t="shared" si="11"/>
        <v>0</v>
      </c>
      <c r="AA37" s="10">
        <f t="shared" si="11"/>
        <v>0</v>
      </c>
      <c r="AB37" s="10">
        <f t="shared" si="11"/>
        <v>0</v>
      </c>
      <c r="AD37" s="6">
        <f>IF((D34&lt;&gt;"")*(D38=""),IF((D34&lt;=$B$441)*((D35&gt;=$C$441)+(D35&lt;2/24)),1,0),0)</f>
        <v>0</v>
      </c>
      <c r="AE37" s="6">
        <f>IF((E34&lt;&gt;"")*(E38=""),IF((E34&lt;=$B$441)*((E35&gt;=$C$441)+(E35&lt;2/24)),1,0),0)</f>
        <v>0</v>
      </c>
      <c r="AF37" s="6">
        <f>IF((F34&lt;&gt;"")*(F38=""),IF((F34&lt;=$B$441)*((F35&gt;=$C$441)+(F35&lt;2/24)),1,0),0)</f>
        <v>0</v>
      </c>
      <c r="AG37" s="6">
        <f>IF((G34&lt;&gt;"")*(G38=""),IF((G34&lt;=$B$441)*((G35&gt;=$C$441)+(G35&lt;2/24)),1,0),0)</f>
        <v>0</v>
      </c>
      <c r="AH37" s="6">
        <f>IF((H34&lt;&gt;"")*(H38=""),IF((H34&lt;=$B$441)*((H35&gt;=$C$441)+(H35&lt;2/24)),1,0),0)</f>
        <v>0</v>
      </c>
      <c r="AI37" s="6">
        <f>IF((I34&lt;&gt;"")*(I38=""),IF((I34&lt;=$B$441)*((I35&gt;=$C$441)+(I35&lt;2/24)),1,0),0)</f>
        <v>0</v>
      </c>
      <c r="AJ37" s="6">
        <f>IF((J34&lt;&gt;"")*(J38=""),IF((J34&lt;=$B$441)*((J35&gt;=$C$441)+(J35&lt;2/24)),1,0),0)</f>
        <v>0</v>
      </c>
    </row>
    <row r="38" spans="1:36" ht="13.5" hidden="1" thickBot="1" x14ac:dyDescent="0.25">
      <c r="A38" s="39"/>
      <c r="B38" s="40"/>
      <c r="C38" s="32" t="s">
        <v>4</v>
      </c>
      <c r="D38" s="33"/>
      <c r="E38" s="33"/>
      <c r="F38" s="33"/>
      <c r="G38" s="33"/>
      <c r="H38" s="33"/>
      <c r="I38" s="33"/>
      <c r="J38" s="33"/>
      <c r="K38" s="17"/>
      <c r="L38" s="6"/>
      <c r="M38" s="25"/>
      <c r="N38" s="6"/>
      <c r="O38" s="6"/>
      <c r="P38" s="6"/>
      <c r="Q38" s="6"/>
      <c r="R38" s="6"/>
      <c r="S38" s="6"/>
      <c r="T38" s="6"/>
      <c r="U38" s="6"/>
      <c r="V38" s="20"/>
      <c r="W38" s="20"/>
      <c r="X38" s="20"/>
      <c r="Y38" s="20"/>
      <c r="Z38" s="20"/>
      <c r="AA38" s="20"/>
      <c r="AB38" s="20"/>
      <c r="AD38" s="6">
        <f>IF((D34&lt;&gt;"")*(D38=""),IF((D34&lt;=$B$442)*((D35&gt;=$C$442)+(D35&lt;2/24)),1,0),0)</f>
        <v>0</v>
      </c>
      <c r="AE38" s="6">
        <f>IF((E34&lt;&gt;"")*(E38=""),IF((E34&lt;=$B$442)*((E35&gt;=$C$442)+(E35&lt;2/24)),1,0),0)</f>
        <v>0</v>
      </c>
      <c r="AF38" s="6">
        <f>IF((F34&lt;&gt;"")*(F38=""),IF((F34&lt;=$B$442)*((F35&gt;=$C$442)+(F35&lt;2/24)),1,0),0)</f>
        <v>0</v>
      </c>
      <c r="AG38" s="6">
        <f>IF((G34&lt;&gt;"")*(G38=""),IF((G34&lt;=$B$442)*((G35&gt;=$C$442)+(G35&lt;2/24)),1,0),0)</f>
        <v>0</v>
      </c>
      <c r="AH38" s="6">
        <f>IF((H34&lt;&gt;"")*(H38=""),IF((H34&lt;=$B$442)*((H35&gt;=$C$442)+(H35&lt;2/24)),1,0),0)</f>
        <v>0</v>
      </c>
      <c r="AI38" s="6">
        <f>IF((I34&lt;&gt;"")*(I38=""),IF((I34&lt;=$B$442)*((I35&gt;=$C$442)+(I35&lt;2/24)),1,0),0)</f>
        <v>0</v>
      </c>
      <c r="AJ38" s="6">
        <f>IF((J34&lt;&gt;"")*(J38=""),IF((J34&lt;=$B$442)*((J35&gt;=$C$442)+(J35&lt;2/24)),1,0),0)</f>
        <v>0</v>
      </c>
    </row>
    <row r="39" spans="1:36" ht="13.5" hidden="1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  <c r="N39" s="6"/>
      <c r="O39" s="6"/>
      <c r="P39" s="6"/>
      <c r="Q39" s="6"/>
      <c r="R39" s="6"/>
      <c r="S39" s="6"/>
      <c r="T39" s="6"/>
      <c r="U39" s="6"/>
      <c r="V39" s="20"/>
      <c r="W39" s="20"/>
      <c r="X39" s="20"/>
      <c r="Y39" s="20"/>
      <c r="Z39" s="20"/>
      <c r="AA39" s="20"/>
      <c r="AB39" s="20"/>
      <c r="AD39" s="6"/>
      <c r="AE39" s="6"/>
      <c r="AF39" s="6"/>
      <c r="AG39" s="6"/>
      <c r="AH39" s="6"/>
      <c r="AI39" s="6"/>
      <c r="AJ39" s="6"/>
    </row>
    <row r="40" spans="1:36" ht="13.5" hidden="1" thickBot="1" x14ac:dyDescent="0.25">
      <c r="A40" s="37" t="s">
        <v>29</v>
      </c>
      <c r="B40" s="38" t="s">
        <v>30</v>
      </c>
      <c r="C40" s="14" t="s">
        <v>0</v>
      </c>
      <c r="D40" s="26"/>
      <c r="E40" s="26"/>
      <c r="F40" s="26"/>
      <c r="G40" s="26"/>
      <c r="H40" s="26"/>
      <c r="I40" s="26"/>
      <c r="J40" s="26"/>
      <c r="K40" s="16"/>
      <c r="L40" s="6"/>
      <c r="M40" s="21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D40" s="6">
        <f>IF((D40&lt;&gt;"")*(D44=""),IF((D40&lt;=$B$438)*((D41&gt;=$C$438)+(D41&lt;2/24)),1,0),0)</f>
        <v>0</v>
      </c>
      <c r="AE40" s="6">
        <f>IF((E40&lt;&gt;"")*(E44=""),IF((E40&lt;=$B$438)*((E41&gt;=$C$438)+(E41&lt;2/24)),1,0),0)</f>
        <v>0</v>
      </c>
      <c r="AF40" s="6">
        <f>IF((F40&lt;&gt;"")*(F44=""),IF((F40&lt;=$B$438)*((F41&gt;=$C$438)+(F41&lt;2/24)),1,0),0)</f>
        <v>0</v>
      </c>
      <c r="AG40" s="6">
        <f>IF((G40&lt;&gt;"")*(G44=""),IF((G40&lt;=$B$438)*((G41&gt;=$C$438)+(G41&lt;2/24)),1,0),0)</f>
        <v>0</v>
      </c>
      <c r="AH40" s="6">
        <f>IF((H40&lt;&gt;"")*(H44=""),IF((H40&lt;=$B$438)*((H41&gt;=$C$438)+(H41&lt;2/24)),1,0),0)</f>
        <v>0</v>
      </c>
      <c r="AI40" s="6">
        <f>IF((I40&lt;&gt;"")*(I44=""),IF((I40&lt;=$B$438)*((I41&gt;=$C$438)+(I41&lt;2/24)),1,0),0)</f>
        <v>0</v>
      </c>
      <c r="AJ40" s="6">
        <f>IF((J40&lt;&gt;"")*(J44=""),IF((J40&lt;=$B$438)*((J41&gt;=$C$438)+(J41&lt;2/24)),1,0),0)</f>
        <v>0</v>
      </c>
    </row>
    <row r="41" spans="1:36" ht="13.5" hidden="1" thickBot="1" x14ac:dyDescent="0.25">
      <c r="A41" s="39"/>
      <c r="B41" s="40"/>
      <c r="C41" s="15" t="s">
        <v>1</v>
      </c>
      <c r="D41" s="27"/>
      <c r="E41" s="27"/>
      <c r="F41" s="27"/>
      <c r="G41" s="27"/>
      <c r="H41" s="27"/>
      <c r="I41" s="27"/>
      <c r="J41" s="27"/>
      <c r="K41" s="17"/>
      <c r="L41" s="6"/>
      <c r="M41" s="21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D41" s="6">
        <f>IF((D40&lt;&gt;"")*(D44=""),IF((D40&lt;=$B$439)*((D41&gt;=$C$439)+(D41&lt;2/24)),1,0),0)</f>
        <v>0</v>
      </c>
      <c r="AE41" s="6">
        <f>IF((E40&lt;&gt;"")*(E44=""),IF((E40&lt;=$B$439)*((E41&gt;=$C$439)+(E41&lt;2/24)),1,0),0)</f>
        <v>0</v>
      </c>
      <c r="AF41" s="6">
        <f>IF((F40&lt;&gt;"")*(F44=""),IF((F40&lt;=$B$439)*((F41&gt;=$C$439)+(F41&lt;2/24)),1,0),0)</f>
        <v>0</v>
      </c>
      <c r="AG41" s="6">
        <f>IF((G40&lt;&gt;"")*(G44=""),IF((G40&lt;=$B$439)*((G41&gt;=$C$439)+(G41&lt;2/24)),1,0),0)</f>
        <v>0</v>
      </c>
      <c r="AH41" s="6">
        <f>IF((H40&lt;&gt;"")*(H44=""),IF((H40&lt;=$B$439)*((H41&gt;=$C$439)+(H41&lt;2/24)),1,0),0)</f>
        <v>0</v>
      </c>
      <c r="AI41" s="6">
        <f>IF((I40&lt;&gt;"")*(I44=""),IF((I40&lt;=$B$439)*((I41&gt;=$C$439)+(I41&lt;2/24)),1,0),0)</f>
        <v>0</v>
      </c>
      <c r="AJ41" s="6">
        <f>IF((J40&lt;&gt;"")*(J44=""),IF((J40&lt;=$B$439)*((J41&gt;=$C$439)+(J41&lt;2/24)),1,0),0)</f>
        <v>0</v>
      </c>
    </row>
    <row r="42" spans="1:36" ht="13.5" hidden="1" thickBot="1" x14ac:dyDescent="0.25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D42" s="6">
        <f>IF((D40&lt;&gt;"")*(D44=""),IF((D40&lt;=$B$440)*((D41&gt;=$C$440)+(D41&lt;2/24)),1,0),0)</f>
        <v>0</v>
      </c>
      <c r="AE42" s="6">
        <f>IF((E40&lt;&gt;"")*(E44=""),IF((E40&lt;=$B$440)*((E41&gt;=$C$440)+(E41&lt;2/24)),1,0),0)</f>
        <v>0</v>
      </c>
      <c r="AF42" s="6">
        <f>IF((F40&lt;&gt;"")*(F44=""),IF((F40&lt;=$B$440)*((F41&gt;=$C$440)+(F41&lt;2/24)),1,0),0)</f>
        <v>0</v>
      </c>
      <c r="AG42" s="6">
        <f>IF((G40&lt;&gt;"")*(G44=""),IF((G40&lt;=$B$440)*((G41&gt;=$C$440)+(G41&lt;2/24)),1,0),0)</f>
        <v>0</v>
      </c>
      <c r="AH42" s="6">
        <f>IF((H40&lt;&gt;"")*(H44=""),IF((H40&lt;=$B$440)*((H41&gt;=$C$440)+(H41&lt;2/24)),1,0),0)</f>
        <v>0</v>
      </c>
      <c r="AI42" s="6">
        <f>IF((I40&lt;&gt;"")*(I44=""),IF((I40&lt;=$B$440)*((I41&gt;=$C$440)+(I41&lt;2/24)),1,0),0)</f>
        <v>0</v>
      </c>
      <c r="AJ42" s="6">
        <f>IF((J40&lt;&gt;"")*(J44=""),IF((J40&lt;=$B$440)*((J41&gt;=$C$440)+(J41&lt;2/24)),1,0),0)</f>
        <v>0</v>
      </c>
    </row>
    <row r="43" spans="1:36" ht="13.5" hidden="1" thickBot="1" x14ac:dyDescent="0.25">
      <c r="A43" s="39"/>
      <c r="B43" s="40"/>
      <c r="C43" s="15" t="s">
        <v>3</v>
      </c>
      <c r="D43" s="43"/>
      <c r="E43" s="43"/>
      <c r="F43" s="43"/>
      <c r="G43" s="43"/>
      <c r="H43" s="43"/>
      <c r="I43" s="43"/>
      <c r="J43" s="44"/>
      <c r="K43" s="18">
        <f>SUMIF(D44:J44,"",D43:J43)</f>
        <v>0</v>
      </c>
      <c r="L43" s="12">
        <f>SUM(D43:J43)</f>
        <v>0</v>
      </c>
      <c r="M43" s="24"/>
      <c r="N43" s="10">
        <f t="shared" ref="N43:T43" si="12">IF(D44="",D43,0)</f>
        <v>0</v>
      </c>
      <c r="O43" s="10">
        <f t="shared" si="12"/>
        <v>0</v>
      </c>
      <c r="P43" s="10">
        <f t="shared" si="12"/>
        <v>0</v>
      </c>
      <c r="Q43" s="10">
        <f t="shared" si="12"/>
        <v>0</v>
      </c>
      <c r="R43" s="10">
        <f t="shared" si="12"/>
        <v>0</v>
      </c>
      <c r="S43" s="10">
        <f t="shared" si="12"/>
        <v>0</v>
      </c>
      <c r="T43" s="10">
        <f t="shared" si="12"/>
        <v>0</v>
      </c>
      <c r="U43" s="10"/>
      <c r="V43" s="10">
        <f t="shared" ref="V43:AB43" si="13">D43</f>
        <v>0</v>
      </c>
      <c r="W43" s="10">
        <f t="shared" si="13"/>
        <v>0</v>
      </c>
      <c r="X43" s="10">
        <f t="shared" si="13"/>
        <v>0</v>
      </c>
      <c r="Y43" s="10">
        <f t="shared" si="13"/>
        <v>0</v>
      </c>
      <c r="Z43" s="10">
        <f t="shared" si="13"/>
        <v>0</v>
      </c>
      <c r="AA43" s="10">
        <f t="shared" si="13"/>
        <v>0</v>
      </c>
      <c r="AB43" s="10">
        <f t="shared" si="13"/>
        <v>0</v>
      </c>
      <c r="AD43" s="6">
        <f>IF((D40&lt;&gt;"")*(D44=""),IF((D40&lt;=$B$441)*((D41&gt;=$C$441)+(D41&lt;2/24)),1,0),0)</f>
        <v>0</v>
      </c>
      <c r="AE43" s="6">
        <f>IF((E40&lt;&gt;"")*(E44=""),IF((E40&lt;=$B$441)*((E41&gt;=$C$441)+(E41&lt;2/24)),1,0),0)</f>
        <v>0</v>
      </c>
      <c r="AF43" s="6">
        <f>IF((F40&lt;&gt;"")*(F44=""),IF((F40&lt;=$B$441)*((F41&gt;=$C$441)+(F41&lt;2/24)),1,0),0)</f>
        <v>0</v>
      </c>
      <c r="AG43" s="6">
        <f>IF((G40&lt;&gt;"")*(G44=""),IF((G40&lt;=$B$441)*((G41&gt;=$C$441)+(G41&lt;2/24)),1,0),0)</f>
        <v>0</v>
      </c>
      <c r="AH43" s="6">
        <f>IF((H40&lt;&gt;"")*(H44=""),IF((H40&lt;=$B$441)*((H41&gt;=$C$441)+(H41&lt;2/24)),1,0),0)</f>
        <v>0</v>
      </c>
      <c r="AI43" s="6">
        <f>IF((I40&lt;&gt;"")*(I44=""),IF((I40&lt;=$B$441)*((I41&gt;=$C$441)+(I41&lt;2/24)),1,0),0)</f>
        <v>0</v>
      </c>
      <c r="AJ43" s="6">
        <f>IF((J40&lt;&gt;"")*(J44=""),IF((J40&lt;=$B$441)*((J41&gt;=$C$441)+(J41&lt;2/24)),1,0),0)</f>
        <v>0</v>
      </c>
    </row>
    <row r="44" spans="1:36" ht="13.5" hidden="1" thickBot="1" x14ac:dyDescent="0.25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  <c r="N44" s="6"/>
      <c r="O44" s="6"/>
      <c r="P44" s="6"/>
      <c r="Q44" s="6"/>
      <c r="R44" s="6"/>
      <c r="S44" s="6"/>
      <c r="T44" s="6"/>
      <c r="U44" s="6"/>
      <c r="V44" s="20"/>
      <c r="W44" s="20"/>
      <c r="X44" s="20"/>
      <c r="Y44" s="20"/>
      <c r="Z44" s="20"/>
      <c r="AA44" s="20"/>
      <c r="AB44" s="20"/>
      <c r="AD44" s="6">
        <f>IF((D40&lt;&gt;"")*(D44=""),IF((D40&lt;=$B$442)*((D41&gt;=$C$442)+(D41&lt;2/24)),1,0),0)</f>
        <v>0</v>
      </c>
      <c r="AE44" s="6">
        <f>IF((E40&lt;&gt;"")*(E44=""),IF((E40&lt;=$B$442)*((E41&gt;=$C$442)+(E41&lt;2/24)),1,0),0)</f>
        <v>0</v>
      </c>
      <c r="AF44" s="6">
        <f>IF((F40&lt;&gt;"")*(F44=""),IF((F40&lt;=$B$442)*((F41&gt;=$C$442)+(F41&lt;2/24)),1,0),0)</f>
        <v>0</v>
      </c>
      <c r="AG44" s="6">
        <f>IF((G40&lt;&gt;"")*(G44=""),IF((G40&lt;=$B$442)*((G41&gt;=$C$442)+(G41&lt;2/24)),1,0),0)</f>
        <v>0</v>
      </c>
      <c r="AH44" s="6">
        <f>IF((H40&lt;&gt;"")*(H44=""),IF((H40&lt;=$B$442)*((H41&gt;=$C$442)+(H41&lt;2/24)),1,0),0)</f>
        <v>0</v>
      </c>
      <c r="AI44" s="6">
        <f>IF((I40&lt;&gt;"")*(I44=""),IF((I40&lt;=$B$442)*((I41&gt;=$C$442)+(I41&lt;2/24)),1,0),0)</f>
        <v>0</v>
      </c>
      <c r="AJ44" s="6">
        <f>IF((J40&lt;&gt;"")*(J44=""),IF((J40&lt;=$B$442)*((J41&gt;=$C$442)+(J41&lt;2/24)),1,0),0)</f>
        <v>0</v>
      </c>
    </row>
    <row r="45" spans="1:36" ht="13.5" hidden="1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  <c r="N45" s="6"/>
      <c r="O45" s="6"/>
      <c r="P45" s="6"/>
      <c r="Q45" s="6"/>
      <c r="R45" s="6"/>
      <c r="S45" s="6"/>
      <c r="T45" s="6"/>
      <c r="U45" s="6"/>
      <c r="V45" s="20"/>
      <c r="W45" s="20"/>
      <c r="X45" s="20"/>
      <c r="Y45" s="20"/>
      <c r="Z45" s="20"/>
      <c r="AA45" s="20"/>
      <c r="AB45" s="20"/>
      <c r="AD45" s="6"/>
      <c r="AE45" s="6"/>
      <c r="AF45" s="6"/>
      <c r="AG45" s="6"/>
      <c r="AH45" s="6"/>
      <c r="AI45" s="6"/>
      <c r="AJ45" s="6"/>
    </row>
    <row r="46" spans="1:36" ht="13.5" hidden="1" thickBot="1" x14ac:dyDescent="0.25">
      <c r="A46" s="37" t="s">
        <v>29</v>
      </c>
      <c r="B46" s="38" t="s">
        <v>30</v>
      </c>
      <c r="C46" s="14" t="s">
        <v>0</v>
      </c>
      <c r="D46" s="26"/>
      <c r="E46" s="26"/>
      <c r="F46" s="26"/>
      <c r="G46" s="26"/>
      <c r="H46" s="26"/>
      <c r="I46" s="26"/>
      <c r="J46" s="26"/>
      <c r="K46" s="16"/>
      <c r="L46" s="6"/>
      <c r="M46" s="21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D46" s="6">
        <f>IF((D46&lt;&gt;"")*(D50=""),IF((D46&lt;=$B$438)*((D47&gt;=$C$438)+(D47&lt;2/24)),1,0),0)</f>
        <v>0</v>
      </c>
      <c r="AE46" s="6">
        <f>IF((E46&lt;&gt;"")*(E50=""),IF((E46&lt;=$B$438)*((E47&gt;=$C$438)+(E47&lt;2/24)),1,0),0)</f>
        <v>0</v>
      </c>
      <c r="AF46" s="6">
        <f>IF((F46&lt;&gt;"")*(F50=""),IF((F46&lt;=$B$438)*((F47&gt;=$C$438)+(F47&lt;2/24)),1,0),0)</f>
        <v>0</v>
      </c>
      <c r="AG46" s="6">
        <f>IF((G46&lt;&gt;"")*(G50=""),IF((G46&lt;=$B$438)*((G47&gt;=$C$438)+(G47&lt;2/24)),1,0),0)</f>
        <v>0</v>
      </c>
      <c r="AH46" s="6">
        <f>IF((H46&lt;&gt;"")*(H50=""),IF((H46&lt;=$B$438)*((H47&gt;=$C$438)+(H47&lt;2/24)),1,0),0)</f>
        <v>0</v>
      </c>
      <c r="AI46" s="6">
        <f>IF((I46&lt;&gt;"")*(I50=""),IF((I46&lt;=$B$438)*((I47&gt;=$C$438)+(I47&lt;2/24)),1,0),0)</f>
        <v>0</v>
      </c>
      <c r="AJ46" s="6">
        <f>IF((J46&lt;&gt;"")*(J50=""),IF((J46&lt;=$B$438)*((J47&gt;=$C$438)+(J47&lt;2/24)),1,0),0)</f>
        <v>0</v>
      </c>
    </row>
    <row r="47" spans="1:36" ht="13.5" hidden="1" thickBot="1" x14ac:dyDescent="0.25">
      <c r="A47" s="39"/>
      <c r="B47" s="40"/>
      <c r="C47" s="15" t="s">
        <v>1</v>
      </c>
      <c r="D47" s="27"/>
      <c r="E47" s="27"/>
      <c r="F47" s="27"/>
      <c r="G47" s="27"/>
      <c r="H47" s="27"/>
      <c r="I47" s="27"/>
      <c r="J47" s="27"/>
      <c r="K47" s="17"/>
      <c r="L47" s="6"/>
      <c r="M47" s="21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D47" s="6">
        <f>IF((D46&lt;&gt;"")*(D50=""),IF((D46&lt;=$B$439)*((D47&gt;=$C$439)+(D47&lt;2/24)),1,0),0)</f>
        <v>0</v>
      </c>
      <c r="AE47" s="6">
        <f>IF((E46&lt;&gt;"")*(E50=""),IF((E46&lt;=$B$439)*((E47&gt;=$C$439)+(E47&lt;2/24)),1,0),0)</f>
        <v>0</v>
      </c>
      <c r="AF47" s="6">
        <f>IF((F46&lt;&gt;"")*(F50=""),IF((F46&lt;=$B$439)*((F47&gt;=$C$439)+(F47&lt;2/24)),1,0),0)</f>
        <v>0</v>
      </c>
      <c r="AG47" s="6">
        <f>IF((G46&lt;&gt;"")*(G50=""),IF((G46&lt;=$B$439)*((G47&gt;=$C$439)+(G47&lt;2/24)),1,0),0)</f>
        <v>0</v>
      </c>
      <c r="AH47" s="6">
        <f>IF((H46&lt;&gt;"")*(H50=""),IF((H46&lt;=$B$439)*((H47&gt;=$C$439)+(H47&lt;2/24)),1,0),0)</f>
        <v>0</v>
      </c>
      <c r="AI47" s="6">
        <f>IF((I46&lt;&gt;"")*(I50=""),IF((I46&lt;=$B$439)*((I47&gt;=$C$439)+(I47&lt;2/24)),1,0),0)</f>
        <v>0</v>
      </c>
      <c r="AJ47" s="6">
        <f>IF((J46&lt;&gt;"")*(J50=""),IF((J46&lt;=$B$439)*((J47&gt;=$C$439)+(J47&lt;2/24)),1,0),0)</f>
        <v>0</v>
      </c>
    </row>
    <row r="48" spans="1:36" ht="13.5" hidden="1" thickBot="1" x14ac:dyDescent="0.25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  <c r="L48" s="6"/>
      <c r="M48" s="21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D48" s="6">
        <f>IF((D46&lt;&gt;"")*(D50=""),IF((D46&lt;=$B$440)*((D47&gt;=$C$440)+(D47&lt;2/24)),1,0),0)</f>
        <v>0</v>
      </c>
      <c r="AE48" s="6">
        <f>IF((E46&lt;&gt;"")*(E50=""),IF((E46&lt;=$B$440)*((E47&gt;=$C$440)+(E47&lt;2/24)),1,0),0)</f>
        <v>0</v>
      </c>
      <c r="AF48" s="6">
        <f>IF((F46&lt;&gt;"")*(F50=""),IF((F46&lt;=$B$440)*((F47&gt;=$C$440)+(F47&lt;2/24)),1,0),0)</f>
        <v>0</v>
      </c>
      <c r="AG48" s="6">
        <f>IF((G46&lt;&gt;"")*(G50=""),IF((G46&lt;=$B$440)*((G47&gt;=$C$440)+(G47&lt;2/24)),1,0),0)</f>
        <v>0</v>
      </c>
      <c r="AH48" s="6">
        <f>IF((H46&lt;&gt;"")*(H50=""),IF((H46&lt;=$B$440)*((H47&gt;=$C$440)+(H47&lt;2/24)),1,0),0)</f>
        <v>0</v>
      </c>
      <c r="AI48" s="6">
        <f>IF((I46&lt;&gt;"")*(I50=""),IF((I46&lt;=$B$440)*((I47&gt;=$C$440)+(I47&lt;2/24)),1,0),0)</f>
        <v>0</v>
      </c>
      <c r="AJ48" s="6">
        <f>IF((J46&lt;&gt;"")*(J50=""),IF((J46&lt;=$B$440)*((J47&gt;=$C$440)+(J47&lt;2/24)),1,0),0)</f>
        <v>0</v>
      </c>
    </row>
    <row r="49" spans="1:36" ht="13.5" hidden="1" thickBot="1" x14ac:dyDescent="0.25">
      <c r="A49" s="39"/>
      <c r="B49" s="40"/>
      <c r="C49" s="15" t="s">
        <v>3</v>
      </c>
      <c r="D49" s="43"/>
      <c r="E49" s="43"/>
      <c r="F49" s="43"/>
      <c r="G49" s="43"/>
      <c r="H49" s="43"/>
      <c r="I49" s="43"/>
      <c r="J49" s="44"/>
      <c r="K49" s="18">
        <f>SUMIF(D50:J50,"",D49:J49)</f>
        <v>0</v>
      </c>
      <c r="L49" s="12">
        <f>SUM(D49:J49)</f>
        <v>0</v>
      </c>
      <c r="M49" s="24"/>
      <c r="N49" s="10">
        <f t="shared" ref="N49:T49" si="14">IF(D50="",D49,0)</f>
        <v>0</v>
      </c>
      <c r="O49" s="10">
        <f t="shared" si="14"/>
        <v>0</v>
      </c>
      <c r="P49" s="10">
        <f t="shared" si="14"/>
        <v>0</v>
      </c>
      <c r="Q49" s="10">
        <f t="shared" si="14"/>
        <v>0</v>
      </c>
      <c r="R49" s="10">
        <f t="shared" si="14"/>
        <v>0</v>
      </c>
      <c r="S49" s="10">
        <f t="shared" si="14"/>
        <v>0</v>
      </c>
      <c r="T49" s="10">
        <f t="shared" si="14"/>
        <v>0</v>
      </c>
      <c r="U49" s="10"/>
      <c r="V49" s="10">
        <f t="shared" ref="V49:AB49" si="15">D49</f>
        <v>0</v>
      </c>
      <c r="W49" s="10">
        <f t="shared" si="15"/>
        <v>0</v>
      </c>
      <c r="X49" s="10">
        <f t="shared" si="15"/>
        <v>0</v>
      </c>
      <c r="Y49" s="10">
        <f t="shared" si="15"/>
        <v>0</v>
      </c>
      <c r="Z49" s="10">
        <f t="shared" si="15"/>
        <v>0</v>
      </c>
      <c r="AA49" s="10">
        <f t="shared" si="15"/>
        <v>0</v>
      </c>
      <c r="AB49" s="10">
        <f t="shared" si="15"/>
        <v>0</v>
      </c>
      <c r="AD49" s="6">
        <f>IF((D46&lt;&gt;"")*(D50=""),IF((D46&lt;=$B$441)*((D47&gt;=$C$441)+(D47&lt;2/24)),1,0),0)</f>
        <v>0</v>
      </c>
      <c r="AE49" s="6">
        <f>IF((E46&lt;&gt;"")*(E50=""),IF((E46&lt;=$B$441)*((E47&gt;=$C$441)+(E47&lt;2/24)),1,0),0)</f>
        <v>0</v>
      </c>
      <c r="AF49" s="6">
        <f>IF((F46&lt;&gt;"")*(F50=""),IF((F46&lt;=$B$441)*((F47&gt;=$C$441)+(F47&lt;2/24)),1,0),0)</f>
        <v>0</v>
      </c>
      <c r="AG49" s="6">
        <f>IF((G46&lt;&gt;"")*(G50=""),IF((G46&lt;=$B$441)*((G47&gt;=$C$441)+(G47&lt;2/24)),1,0),0)</f>
        <v>0</v>
      </c>
      <c r="AH49" s="6">
        <f>IF((H46&lt;&gt;"")*(H50=""),IF((H46&lt;=$B$441)*((H47&gt;=$C$441)+(H47&lt;2/24)),1,0),0)</f>
        <v>0</v>
      </c>
      <c r="AI49" s="6">
        <f>IF((I46&lt;&gt;"")*(I50=""),IF((I46&lt;=$B$441)*((I47&gt;=$C$441)+(I47&lt;2/24)),1,0),0)</f>
        <v>0</v>
      </c>
      <c r="AJ49" s="6">
        <f>IF((J46&lt;&gt;"")*(J50=""),IF((J46&lt;=$B$441)*((J47&gt;=$C$441)+(J47&lt;2/24)),1,0),0)</f>
        <v>0</v>
      </c>
    </row>
    <row r="50" spans="1:36" ht="13.5" hidden="1" thickBot="1" x14ac:dyDescent="0.25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  <c r="N50" s="6"/>
      <c r="O50" s="6"/>
      <c r="P50" s="6"/>
      <c r="Q50" s="6"/>
      <c r="R50" s="6"/>
      <c r="S50" s="6"/>
      <c r="T50" s="6"/>
      <c r="U50" s="6"/>
      <c r="V50" s="20"/>
      <c r="W50" s="20"/>
      <c r="X50" s="20"/>
      <c r="Y50" s="20"/>
      <c r="Z50" s="20"/>
      <c r="AA50" s="20"/>
      <c r="AB50" s="20"/>
      <c r="AD50" s="6">
        <f>IF((D46&lt;&gt;"")*(D50=""),IF((D46&lt;=$B$442)*((D47&gt;=$C$442)+(D47&lt;2/24)),1,0),0)</f>
        <v>0</v>
      </c>
      <c r="AE50" s="6">
        <f>IF((E46&lt;&gt;"")*(E50=""),IF((E46&lt;=$B$442)*((E47&gt;=$C$442)+(E47&lt;2/24)),1,0),0)</f>
        <v>0</v>
      </c>
      <c r="AF50" s="6">
        <f>IF((F46&lt;&gt;"")*(F50=""),IF((F46&lt;=$B$442)*((F47&gt;=$C$442)+(F47&lt;2/24)),1,0),0)</f>
        <v>0</v>
      </c>
      <c r="AG50" s="6">
        <f>IF((G46&lt;&gt;"")*(G50=""),IF((G46&lt;=$B$442)*((G47&gt;=$C$442)+(G47&lt;2/24)),1,0),0)</f>
        <v>0</v>
      </c>
      <c r="AH50" s="6">
        <f>IF((H46&lt;&gt;"")*(H50=""),IF((H46&lt;=$B$442)*((H47&gt;=$C$442)+(H47&lt;2/24)),1,0),0)</f>
        <v>0</v>
      </c>
      <c r="AI50" s="6">
        <f>IF((I46&lt;&gt;"")*(I50=""),IF((I46&lt;=$B$442)*((I47&gt;=$C$442)+(I47&lt;2/24)),1,0),0)</f>
        <v>0</v>
      </c>
      <c r="AJ50" s="6">
        <f>IF((J46&lt;&gt;"")*(J50=""),IF((J46&lt;=$B$442)*((J47&gt;=$C$442)+(J47&lt;2/24)),1,0),0)</f>
        <v>0</v>
      </c>
    </row>
    <row r="51" spans="1:36" ht="13.5" hidden="1" thickBot="1" x14ac:dyDescent="0.25">
      <c r="A51" s="41"/>
      <c r="B51" s="42"/>
      <c r="C51" s="35" t="s">
        <v>28</v>
      </c>
      <c r="D51" s="36"/>
      <c r="E51" s="36"/>
      <c r="F51" s="36"/>
      <c r="G51" s="36"/>
      <c r="H51" s="36"/>
      <c r="I51" s="36"/>
      <c r="J51" s="36"/>
      <c r="K51" s="34"/>
      <c r="L51" s="6"/>
      <c r="M51" s="25"/>
      <c r="N51" s="6"/>
      <c r="O51" s="6"/>
      <c r="P51" s="6"/>
      <c r="Q51" s="6"/>
      <c r="R51" s="6"/>
      <c r="S51" s="6"/>
      <c r="T51" s="6"/>
      <c r="U51" s="6"/>
      <c r="V51" s="20"/>
      <c r="W51" s="20"/>
      <c r="X51" s="20"/>
      <c r="Y51" s="20"/>
      <c r="Z51" s="20"/>
      <c r="AA51" s="20"/>
      <c r="AB51" s="20"/>
      <c r="AD51" s="6"/>
      <c r="AE51" s="6"/>
      <c r="AF51" s="6"/>
      <c r="AG51" s="6"/>
      <c r="AH51" s="6"/>
      <c r="AI51" s="6"/>
      <c r="AJ51" s="6"/>
    </row>
    <row r="52" spans="1:36" ht="13.5" hidden="1" thickBot="1" x14ac:dyDescent="0.25">
      <c r="A52" s="37" t="s">
        <v>29</v>
      </c>
      <c r="B52" s="38" t="s">
        <v>30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D52" s="6">
        <f>IF((D52&lt;&gt;"")*(D56=""),IF((D52&lt;=$B$438)*((D53&gt;=$C$438)+(D53&lt;2/24)),1,0),0)</f>
        <v>0</v>
      </c>
      <c r="AE52" s="6">
        <f>IF((E52&lt;&gt;"")*(E56=""),IF((E52&lt;=$B$438)*((E53&gt;=$C$438)+(E53&lt;2/24)),1,0),0)</f>
        <v>0</v>
      </c>
      <c r="AF52" s="6">
        <f>IF((F52&lt;&gt;"")*(F56=""),IF((F52&lt;=$B$438)*((F53&gt;=$C$438)+(F53&lt;2/24)),1,0),0)</f>
        <v>0</v>
      </c>
      <c r="AG52" s="6">
        <f>IF((G52&lt;&gt;"")*(G56=""),IF((G52&lt;=$B$438)*((G53&gt;=$C$438)+(G53&lt;2/24)),1,0),0)</f>
        <v>0</v>
      </c>
      <c r="AH52" s="6">
        <f>IF((H52&lt;&gt;"")*(H56=""),IF((H52&lt;=$B$438)*((H53&gt;=$C$438)+(H53&lt;2/24)),1,0),0)</f>
        <v>0</v>
      </c>
      <c r="AI52" s="6">
        <f>IF((I52&lt;&gt;"")*(I56=""),IF((I52&lt;=$B$438)*((I53&gt;=$C$438)+(I53&lt;2/24)),1,0),0)</f>
        <v>0</v>
      </c>
      <c r="AJ52" s="6">
        <f>IF((J52&lt;&gt;"")*(J56=""),IF((J52&lt;=$B$438)*((J53&gt;=$C$438)+(J53&lt;2/24)),1,0),0)</f>
        <v>0</v>
      </c>
    </row>
    <row r="53" spans="1:36" ht="13.5" hidden="1" thickBot="1" x14ac:dyDescent="0.25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D53" s="6">
        <f>IF((D52&lt;&gt;"")*(D56=""),IF((D52&lt;=$B$439)*((D53&gt;=$C$439)+(D53&lt;2/24)),1,0),0)</f>
        <v>0</v>
      </c>
      <c r="AE53" s="6">
        <f>IF((E52&lt;&gt;"")*(E56=""),IF((E52&lt;=$B$439)*((E53&gt;=$C$439)+(E53&lt;2/24)),1,0),0)</f>
        <v>0</v>
      </c>
      <c r="AF53" s="6">
        <f>IF((F52&lt;&gt;"")*(F56=""),IF((F52&lt;=$B$439)*((F53&gt;=$C$439)+(F53&lt;2/24)),1,0),0)</f>
        <v>0</v>
      </c>
      <c r="AG53" s="6">
        <f>IF((G52&lt;&gt;"")*(G56=""),IF((G52&lt;=$B$439)*((G53&gt;=$C$439)+(G53&lt;2/24)),1,0),0)</f>
        <v>0</v>
      </c>
      <c r="AH53" s="6">
        <f>IF((H52&lt;&gt;"")*(H56=""),IF((H52&lt;=$B$439)*((H53&gt;=$C$439)+(H53&lt;2/24)),1,0),0)</f>
        <v>0</v>
      </c>
      <c r="AI53" s="6">
        <f>IF((I52&lt;&gt;"")*(I56=""),IF((I52&lt;=$B$439)*((I53&gt;=$C$439)+(I53&lt;2/24)),1,0),0)</f>
        <v>0</v>
      </c>
      <c r="AJ53" s="6">
        <f>IF((J52&lt;&gt;"")*(J56=""),IF((J52&lt;=$B$439)*((J53&gt;=$C$439)+(J53&lt;2/24)),1,0),0)</f>
        <v>0</v>
      </c>
    </row>
    <row r="54" spans="1:36" ht="13.5" hidden="1" thickBot="1" x14ac:dyDescent="0.25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  <c r="L54" s="6"/>
      <c r="M54" s="21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D54" s="6">
        <f>IF((D52&lt;&gt;"")*(D56=""),IF((D52&lt;=$B$440)*((D53&gt;=$C$440)+(D53&lt;2/24)),1,0),0)</f>
        <v>0</v>
      </c>
      <c r="AE54" s="6">
        <f>IF((E52&lt;&gt;"")*(E56=""),IF((E52&lt;=$B$440)*((E53&gt;=$C$440)+(E53&lt;2/24)),1,0),0)</f>
        <v>0</v>
      </c>
      <c r="AF54" s="6">
        <f>IF((F52&lt;&gt;"")*(F56=""),IF((F52&lt;=$B$440)*((F53&gt;=$C$440)+(F53&lt;2/24)),1,0),0)</f>
        <v>0</v>
      </c>
      <c r="AG54" s="6">
        <f>IF((G52&lt;&gt;"")*(G56=""),IF((G52&lt;=$B$440)*((G53&gt;=$C$440)+(G53&lt;2/24)),1,0),0)</f>
        <v>0</v>
      </c>
      <c r="AH54" s="6">
        <f>IF((H52&lt;&gt;"")*(H56=""),IF((H52&lt;=$B$440)*((H53&gt;=$C$440)+(H53&lt;2/24)),1,0),0)</f>
        <v>0</v>
      </c>
      <c r="AI54" s="6">
        <f>IF((I52&lt;&gt;"")*(I56=""),IF((I52&lt;=$B$440)*((I53&gt;=$C$440)+(I53&lt;2/24)),1,0),0)</f>
        <v>0</v>
      </c>
      <c r="AJ54" s="6">
        <f>IF((J52&lt;&gt;"")*(J56=""),IF((J52&lt;=$B$440)*((J53&gt;=$C$440)+(J53&lt;2/24)),1,0),0)</f>
        <v>0</v>
      </c>
    </row>
    <row r="55" spans="1:36" ht="13.5" hidden="1" thickBot="1" x14ac:dyDescent="0.25">
      <c r="A55" s="39"/>
      <c r="B55" s="40"/>
      <c r="C55" s="15" t="s">
        <v>3</v>
      </c>
      <c r="D55" s="43"/>
      <c r="E55" s="43"/>
      <c r="F55" s="43"/>
      <c r="G55" s="43"/>
      <c r="H55" s="43"/>
      <c r="I55" s="43"/>
      <c r="J55" s="44"/>
      <c r="K55" s="18">
        <f>SUMIF(D56:J56,"",D55:J55)</f>
        <v>0</v>
      </c>
      <c r="L55" s="12">
        <f>SUM(D55:J55)</f>
        <v>0</v>
      </c>
      <c r="M55" s="24"/>
      <c r="N55" s="10">
        <f t="shared" ref="N55:T55" si="16">IF(D56="",D55,0)</f>
        <v>0</v>
      </c>
      <c r="O55" s="10">
        <f t="shared" si="16"/>
        <v>0</v>
      </c>
      <c r="P55" s="10">
        <f t="shared" si="16"/>
        <v>0</v>
      </c>
      <c r="Q55" s="10">
        <f t="shared" si="16"/>
        <v>0</v>
      </c>
      <c r="R55" s="10">
        <f t="shared" si="16"/>
        <v>0</v>
      </c>
      <c r="S55" s="10">
        <f t="shared" si="16"/>
        <v>0</v>
      </c>
      <c r="T55" s="10">
        <f t="shared" si="16"/>
        <v>0</v>
      </c>
      <c r="U55" s="10"/>
      <c r="V55" s="10">
        <f t="shared" ref="V55:AB55" si="17">D55</f>
        <v>0</v>
      </c>
      <c r="W55" s="10">
        <f t="shared" si="17"/>
        <v>0</v>
      </c>
      <c r="X55" s="10">
        <f t="shared" si="17"/>
        <v>0</v>
      </c>
      <c r="Y55" s="10">
        <f t="shared" si="17"/>
        <v>0</v>
      </c>
      <c r="Z55" s="10">
        <f t="shared" si="17"/>
        <v>0</v>
      </c>
      <c r="AA55" s="10">
        <f t="shared" si="17"/>
        <v>0</v>
      </c>
      <c r="AB55" s="10">
        <f t="shared" si="17"/>
        <v>0</v>
      </c>
      <c r="AD55" s="6">
        <f>IF((D52&lt;&gt;"")*(D56=""),IF((D52&lt;=$B$441)*((D53&gt;=$C$441)+(D53&lt;2/24)),1,0),0)</f>
        <v>0</v>
      </c>
      <c r="AE55" s="6">
        <f>IF((E52&lt;&gt;"")*(E56=""),IF((E52&lt;=$B$441)*((E53&gt;=$C$441)+(E53&lt;2/24)),1,0),0)</f>
        <v>0</v>
      </c>
      <c r="AF55" s="6">
        <f>IF((F52&lt;&gt;"")*(F56=""),IF((F52&lt;=$B$441)*((F53&gt;=$C$441)+(F53&lt;2/24)),1,0),0)</f>
        <v>0</v>
      </c>
      <c r="AG55" s="6">
        <f>IF((G52&lt;&gt;"")*(G56=""),IF((G52&lt;=$B$441)*((G53&gt;=$C$441)+(G53&lt;2/24)),1,0),0)</f>
        <v>0</v>
      </c>
      <c r="AH55" s="6">
        <f>IF((H52&lt;&gt;"")*(H56=""),IF((H52&lt;=$B$441)*((H53&gt;=$C$441)+(H53&lt;2/24)),1,0),0)</f>
        <v>0</v>
      </c>
      <c r="AI55" s="6">
        <f>IF((I52&lt;&gt;"")*(I56=""),IF((I52&lt;=$B$441)*((I53&gt;=$C$441)+(I53&lt;2/24)),1,0),0)</f>
        <v>0</v>
      </c>
      <c r="AJ55" s="6">
        <f>IF((J52&lt;&gt;"")*(J56=""),IF((J52&lt;=$B$441)*((J53&gt;=$C$441)+(J53&lt;2/24)),1,0),0)</f>
        <v>0</v>
      </c>
    </row>
    <row r="56" spans="1:36" ht="13.5" hidden="1" thickBot="1" x14ac:dyDescent="0.25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  <c r="N56" s="6"/>
      <c r="O56" s="6"/>
      <c r="P56" s="6"/>
      <c r="Q56" s="6"/>
      <c r="R56" s="6"/>
      <c r="S56" s="6"/>
      <c r="T56" s="6"/>
      <c r="U56" s="6"/>
      <c r="V56" s="20"/>
      <c r="W56" s="20"/>
      <c r="X56" s="20"/>
      <c r="Y56" s="20"/>
      <c r="Z56" s="20"/>
      <c r="AA56" s="20"/>
      <c r="AB56" s="20"/>
      <c r="AD56" s="6">
        <f>IF((D52&lt;&gt;"")*(D56=""),IF((D52&lt;=$B$442)*((D53&gt;=$C$442)+(D53&lt;2/24)),1,0),0)</f>
        <v>0</v>
      </c>
      <c r="AE56" s="6">
        <f>IF((E52&lt;&gt;"")*(E56=""),IF((E52&lt;=$B$442)*((E53&gt;=$C$442)+(E53&lt;2/24)),1,0),0)</f>
        <v>0</v>
      </c>
      <c r="AF56" s="6">
        <f>IF((F52&lt;&gt;"")*(F56=""),IF((F52&lt;=$B$442)*((F53&gt;=$C$442)+(F53&lt;2/24)),1,0),0)</f>
        <v>0</v>
      </c>
      <c r="AG56" s="6">
        <f>IF((G52&lt;&gt;"")*(G56=""),IF((G52&lt;=$B$442)*((G53&gt;=$C$442)+(G53&lt;2/24)),1,0),0)</f>
        <v>0</v>
      </c>
      <c r="AH56" s="6">
        <f>IF((H52&lt;&gt;"")*(H56=""),IF((H52&lt;=$B$442)*((H53&gt;=$C$442)+(H53&lt;2/24)),1,0),0)</f>
        <v>0</v>
      </c>
      <c r="AI56" s="6">
        <f>IF((I52&lt;&gt;"")*(I56=""),IF((I52&lt;=$B$442)*((I53&gt;=$C$442)+(I53&lt;2/24)),1,0),0)</f>
        <v>0</v>
      </c>
      <c r="AJ56" s="6">
        <f>IF((J52&lt;&gt;"")*(J56=""),IF((J52&lt;=$B$442)*((J53&gt;=$C$442)+(J53&lt;2/24)),1,0),0)</f>
        <v>0</v>
      </c>
    </row>
    <row r="57" spans="1:36" ht="13.5" hidden="1" thickBot="1" x14ac:dyDescent="0.25">
      <c r="A57" s="41"/>
      <c r="B57" s="42"/>
      <c r="C57" s="35" t="s">
        <v>28</v>
      </c>
      <c r="D57" s="36"/>
      <c r="E57" s="36"/>
      <c r="F57" s="36"/>
      <c r="G57" s="36"/>
      <c r="H57" s="36"/>
      <c r="I57" s="36"/>
      <c r="J57" s="36"/>
      <c r="K57" s="34"/>
      <c r="L57" s="6"/>
      <c r="M57" s="25"/>
      <c r="N57" s="6"/>
      <c r="O57" s="6"/>
      <c r="P57" s="6"/>
      <c r="Q57" s="6"/>
      <c r="R57" s="6"/>
      <c r="S57" s="6"/>
      <c r="T57" s="6"/>
      <c r="U57" s="6"/>
      <c r="V57" s="20"/>
      <c r="W57" s="20"/>
      <c r="X57" s="20"/>
      <c r="Y57" s="20"/>
      <c r="Z57" s="20"/>
      <c r="AA57" s="20"/>
      <c r="AB57" s="20"/>
      <c r="AD57" s="6"/>
      <c r="AE57" s="6"/>
      <c r="AF57" s="6"/>
      <c r="AG57" s="6"/>
      <c r="AH57" s="6"/>
      <c r="AI57" s="6"/>
      <c r="AJ57" s="6"/>
    </row>
    <row r="58" spans="1:36" ht="13.5" hidden="1" thickBot="1" x14ac:dyDescent="0.25">
      <c r="A58" s="37" t="s">
        <v>29</v>
      </c>
      <c r="B58" s="38" t="s">
        <v>30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  <c r="L58" s="6"/>
      <c r="M58" s="21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D58" s="6">
        <f>IF((D58&lt;&gt;"")*(D62=""),IF((D58&lt;=$B$438)*((D59&gt;=$C$438)+(D59&lt;2/24)),1,0),0)</f>
        <v>0</v>
      </c>
      <c r="AE58" s="6">
        <f>IF((E58&lt;&gt;"")*(E62=""),IF((E58&lt;=$B$438)*((E59&gt;=$C$438)+(E59&lt;2/24)),1,0),0)</f>
        <v>0</v>
      </c>
      <c r="AF58" s="6">
        <f>IF((F58&lt;&gt;"")*(F62=""),IF((F58&lt;=$B$438)*((F59&gt;=$C$438)+(F59&lt;2/24)),1,0),0)</f>
        <v>0</v>
      </c>
      <c r="AG58" s="6">
        <f>IF((G58&lt;&gt;"")*(G62=""),IF((G58&lt;=$B$438)*((G59&gt;=$C$438)+(G59&lt;2/24)),1,0),0)</f>
        <v>0</v>
      </c>
      <c r="AH58" s="6">
        <f>IF((H58&lt;&gt;"")*(H62=""),IF((H58&lt;=$B$438)*((H59&gt;=$C$438)+(H59&lt;2/24)),1,0),0)</f>
        <v>0</v>
      </c>
      <c r="AI58" s="6">
        <f>IF((I58&lt;&gt;"")*(I62=""),IF((I58&lt;=$B$438)*((I59&gt;=$C$438)+(I59&lt;2/24)),1,0),0)</f>
        <v>0</v>
      </c>
      <c r="AJ58" s="6">
        <f>IF((J58&lt;&gt;"")*(J62=""),IF((J58&lt;=$B$438)*((J59&gt;=$C$438)+(J59&lt;2/24)),1,0),0)</f>
        <v>0</v>
      </c>
    </row>
    <row r="59" spans="1:36" ht="13.5" hidden="1" thickBot="1" x14ac:dyDescent="0.25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  <c r="L59" s="6"/>
      <c r="M59" s="21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D59" s="6">
        <f>IF((D58&lt;&gt;"")*(D62=""),IF((D58&lt;=$B$439)*((D59&gt;=$C$439)+(D59&lt;2/24)),1,0),0)</f>
        <v>0</v>
      </c>
      <c r="AE59" s="6">
        <f>IF((E58&lt;&gt;"")*(E62=""),IF((E58&lt;=$B$439)*((E59&gt;=$C$439)+(E59&lt;2/24)),1,0),0)</f>
        <v>0</v>
      </c>
      <c r="AF59" s="6">
        <f>IF((F58&lt;&gt;"")*(F62=""),IF((F58&lt;=$B$439)*((F59&gt;=$C$439)+(F59&lt;2/24)),1,0),0)</f>
        <v>0</v>
      </c>
      <c r="AG59" s="6">
        <f>IF((G58&lt;&gt;"")*(G62=""),IF((G58&lt;=$B$439)*((G59&gt;=$C$439)+(G59&lt;2/24)),1,0),0)</f>
        <v>0</v>
      </c>
      <c r="AH59" s="6">
        <f>IF((H58&lt;&gt;"")*(H62=""),IF((H58&lt;=$B$439)*((H59&gt;=$C$439)+(H59&lt;2/24)),1,0),0)</f>
        <v>0</v>
      </c>
      <c r="AI59" s="6">
        <f>IF((I58&lt;&gt;"")*(I62=""),IF((I58&lt;=$B$439)*((I59&gt;=$C$439)+(I59&lt;2/24)),1,0),0)</f>
        <v>0</v>
      </c>
      <c r="AJ59" s="6">
        <f>IF((J58&lt;&gt;"")*(J62=""),IF((J58&lt;=$B$439)*((J59&gt;=$C$439)+(J59&lt;2/24)),1,0),0)</f>
        <v>0</v>
      </c>
    </row>
    <row r="60" spans="1:36" ht="13.5" hidden="1" thickBot="1" x14ac:dyDescent="0.25">
      <c r="A60" s="39"/>
      <c r="B60" s="40"/>
      <c r="C60" s="15" t="s">
        <v>2</v>
      </c>
      <c r="D60" s="4"/>
      <c r="E60" s="4"/>
      <c r="F60" s="4"/>
      <c r="G60" s="4"/>
      <c r="H60" s="4"/>
      <c r="I60" s="4"/>
      <c r="J60" s="4"/>
      <c r="K60" s="17"/>
      <c r="L60" s="6"/>
      <c r="M60" s="21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D60" s="6">
        <f>IF((D58&lt;&gt;"")*(D62=""),IF((D58&lt;=$B$440)*((D59&gt;=$C$440)+(D59&lt;2/24)),1,0),0)</f>
        <v>0</v>
      </c>
      <c r="AE60" s="6">
        <f>IF((E58&lt;&gt;"")*(E62=""),IF((E58&lt;=$B$440)*((E59&gt;=$C$440)+(E59&lt;2/24)),1,0),0)</f>
        <v>0</v>
      </c>
      <c r="AF60" s="6">
        <f>IF((F58&lt;&gt;"")*(F62=""),IF((F58&lt;=$B$440)*((F59&gt;=$C$440)+(F59&lt;2/24)),1,0),0)</f>
        <v>0</v>
      </c>
      <c r="AG60" s="6">
        <f>IF((G58&lt;&gt;"")*(G62=""),IF((G58&lt;=$B$440)*((G59&gt;=$C$440)+(G59&lt;2/24)),1,0),0)</f>
        <v>0</v>
      </c>
      <c r="AH60" s="6">
        <f>IF((H58&lt;&gt;"")*(H62=""),IF((H58&lt;=$B$440)*((H59&gt;=$C$440)+(H59&lt;2/24)),1,0),0)</f>
        <v>0</v>
      </c>
      <c r="AI60" s="6">
        <f>IF((I58&lt;&gt;"")*(I62=""),IF((I58&lt;=$B$440)*((I59&gt;=$C$440)+(I59&lt;2/24)),1,0),0)</f>
        <v>0</v>
      </c>
      <c r="AJ60" s="6">
        <f>IF((J58&lt;&gt;"")*(J62=""),IF((J58&lt;=$B$440)*((J59&gt;=$C$440)+(J59&lt;2/24)),1,0),0)</f>
        <v>0</v>
      </c>
    </row>
    <row r="61" spans="1:36" ht="13.5" hidden="1" thickBot="1" x14ac:dyDescent="0.25">
      <c r="A61" s="39"/>
      <c r="B61" s="40"/>
      <c r="C61" s="15" t="s">
        <v>3</v>
      </c>
      <c r="D61" s="43"/>
      <c r="E61" s="43"/>
      <c r="F61" s="43"/>
      <c r="G61" s="43"/>
      <c r="H61" s="43"/>
      <c r="I61" s="43"/>
      <c r="J61" s="44"/>
      <c r="K61" s="18">
        <f>SUMIF(D62:J62,"",D61:J61)</f>
        <v>0</v>
      </c>
      <c r="L61" s="12">
        <f>SUM(D61:J61)</f>
        <v>0</v>
      </c>
      <c r="M61" s="24"/>
      <c r="N61" s="10">
        <f t="shared" ref="N61:T61" si="18">IF(D62="",D61,0)</f>
        <v>0</v>
      </c>
      <c r="O61" s="10">
        <f t="shared" si="18"/>
        <v>0</v>
      </c>
      <c r="P61" s="10">
        <f t="shared" si="18"/>
        <v>0</v>
      </c>
      <c r="Q61" s="10">
        <f t="shared" si="18"/>
        <v>0</v>
      </c>
      <c r="R61" s="10">
        <f t="shared" si="18"/>
        <v>0</v>
      </c>
      <c r="S61" s="10">
        <f t="shared" si="18"/>
        <v>0</v>
      </c>
      <c r="T61" s="10">
        <f t="shared" si="18"/>
        <v>0</v>
      </c>
      <c r="U61" s="10"/>
      <c r="V61" s="10">
        <f t="shared" ref="V61:AB61" si="19">D61</f>
        <v>0</v>
      </c>
      <c r="W61" s="10">
        <f t="shared" si="19"/>
        <v>0</v>
      </c>
      <c r="X61" s="10">
        <f t="shared" si="19"/>
        <v>0</v>
      </c>
      <c r="Y61" s="10">
        <f t="shared" si="19"/>
        <v>0</v>
      </c>
      <c r="Z61" s="10">
        <f t="shared" si="19"/>
        <v>0</v>
      </c>
      <c r="AA61" s="10">
        <f t="shared" si="19"/>
        <v>0</v>
      </c>
      <c r="AB61" s="10">
        <f t="shared" si="19"/>
        <v>0</v>
      </c>
      <c r="AD61" s="6">
        <f>IF((D58&lt;&gt;"")*(D62=""),IF((D58&lt;=$B$441)*((D59&gt;=$C$441)+(D59&lt;2/24)),1,0),0)</f>
        <v>0</v>
      </c>
      <c r="AE61" s="6">
        <f>IF((E58&lt;&gt;"")*(E62=""),IF((E58&lt;=$B$441)*((E59&gt;=$C$441)+(E59&lt;2/24)),1,0),0)</f>
        <v>0</v>
      </c>
      <c r="AF61" s="6">
        <f>IF((F58&lt;&gt;"")*(F62=""),IF((F58&lt;=$B$441)*((F59&gt;=$C$441)+(F59&lt;2/24)),1,0),0)</f>
        <v>0</v>
      </c>
      <c r="AG61" s="6">
        <f>IF((G58&lt;&gt;"")*(G62=""),IF((G58&lt;=$B$441)*((G59&gt;=$C$441)+(G59&lt;2/24)),1,0),0)</f>
        <v>0</v>
      </c>
      <c r="AH61" s="6">
        <f>IF((H58&lt;&gt;"")*(H62=""),IF((H58&lt;=$B$441)*((H59&gt;=$C$441)+(H59&lt;2/24)),1,0),0)</f>
        <v>0</v>
      </c>
      <c r="AI61" s="6">
        <f>IF((I58&lt;&gt;"")*(I62=""),IF((I58&lt;=$B$441)*((I59&gt;=$C$441)+(I59&lt;2/24)),1,0),0)</f>
        <v>0</v>
      </c>
      <c r="AJ61" s="6">
        <f>IF((J58&lt;&gt;"")*(J62=""),IF((J58&lt;=$B$441)*((J59&gt;=$C$441)+(J59&lt;2/24)),1,0),0)</f>
        <v>0</v>
      </c>
    </row>
    <row r="62" spans="1:36" ht="13.5" hidden="1" thickBot="1" x14ac:dyDescent="0.25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  <c r="N62" s="6"/>
      <c r="O62" s="6"/>
      <c r="P62" s="6"/>
      <c r="Q62" s="6"/>
      <c r="R62" s="6"/>
      <c r="S62" s="6"/>
      <c r="T62" s="6"/>
      <c r="U62" s="6"/>
      <c r="V62" s="20"/>
      <c r="W62" s="20"/>
      <c r="X62" s="20"/>
      <c r="Y62" s="20"/>
      <c r="Z62" s="20"/>
      <c r="AA62" s="20"/>
      <c r="AB62" s="20"/>
      <c r="AD62" s="6">
        <f>IF((D58&lt;&gt;"")*(D62=""),IF((D58&lt;=$B$442)*((D59&gt;=$C$442)+(D59&lt;2/24)),1,0),0)</f>
        <v>0</v>
      </c>
      <c r="AE62" s="6">
        <f>IF((E58&lt;&gt;"")*(E62=""),IF((E58&lt;=$B$442)*((E59&gt;=$C$442)+(E59&lt;2/24)),1,0),0)</f>
        <v>0</v>
      </c>
      <c r="AF62" s="6">
        <f>IF((F58&lt;&gt;"")*(F62=""),IF((F58&lt;=$B$442)*((F59&gt;=$C$442)+(F59&lt;2/24)),1,0),0)</f>
        <v>0</v>
      </c>
      <c r="AG62" s="6">
        <f>IF((G58&lt;&gt;"")*(G62=""),IF((G58&lt;=$B$442)*((G59&gt;=$C$442)+(G59&lt;2/24)),1,0),0)</f>
        <v>0</v>
      </c>
      <c r="AH62" s="6">
        <f>IF((H58&lt;&gt;"")*(H62=""),IF((H58&lt;=$B$442)*((H59&gt;=$C$442)+(H59&lt;2/24)),1,0),0)</f>
        <v>0</v>
      </c>
      <c r="AI62" s="6">
        <f>IF((I58&lt;&gt;"")*(I62=""),IF((I58&lt;=$B$442)*((I59&gt;=$C$442)+(I59&lt;2/24)),1,0),0)</f>
        <v>0</v>
      </c>
      <c r="AJ62" s="6">
        <f>IF((J58&lt;&gt;"")*(J62=""),IF((J58&lt;=$B$442)*((J59&gt;=$C$442)+(J59&lt;2/24)),1,0),0)</f>
        <v>0</v>
      </c>
    </row>
    <row r="63" spans="1:36" ht="13.5" hidden="1" thickBot="1" x14ac:dyDescent="0.25">
      <c r="A63" s="41"/>
      <c r="B63" s="42"/>
      <c r="C63" s="35" t="s">
        <v>28</v>
      </c>
      <c r="D63" s="36"/>
      <c r="E63" s="36"/>
      <c r="F63" s="36"/>
      <c r="G63" s="36"/>
      <c r="H63" s="36"/>
      <c r="I63" s="36"/>
      <c r="J63" s="36"/>
      <c r="K63" s="34"/>
      <c r="L63" s="6"/>
      <c r="M63" s="25"/>
      <c r="N63" s="6"/>
      <c r="O63" s="6"/>
      <c r="P63" s="6"/>
      <c r="Q63" s="6"/>
      <c r="R63" s="6"/>
      <c r="S63" s="6"/>
      <c r="T63" s="6"/>
      <c r="U63" s="6"/>
      <c r="V63" s="20"/>
      <c r="W63" s="20"/>
      <c r="X63" s="20"/>
      <c r="Y63" s="20"/>
      <c r="Z63" s="20"/>
      <c r="AA63" s="20"/>
      <c r="AB63" s="20"/>
      <c r="AD63" s="6"/>
      <c r="AE63" s="6"/>
      <c r="AF63" s="6"/>
      <c r="AG63" s="6"/>
      <c r="AH63" s="6"/>
      <c r="AI63" s="6"/>
      <c r="AJ63" s="6"/>
    </row>
    <row r="64" spans="1:36" ht="13.5" hidden="1" thickBot="1" x14ac:dyDescent="0.25">
      <c r="A64" s="37" t="s">
        <v>29</v>
      </c>
      <c r="B64" s="38" t="s">
        <v>30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  <c r="L64" s="6"/>
      <c r="M64" s="21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D64" s="6">
        <f>IF((D64&lt;&gt;"")*(D68=""),IF((D64&lt;=$B$438)*((D65&gt;=$C$438)+(D65&lt;2/24)),1,0),0)</f>
        <v>0</v>
      </c>
      <c r="AE64" s="6">
        <f>IF((E64&lt;&gt;"")*(E68=""),IF((E64&lt;=$B$438)*((E65&gt;=$C$438)+(E65&lt;2/24)),1,0),0)</f>
        <v>0</v>
      </c>
      <c r="AF64" s="6">
        <f>IF((F64&lt;&gt;"")*(F68=""),IF((F64&lt;=$B$438)*((F65&gt;=$C$438)+(F65&lt;2/24)),1,0),0)</f>
        <v>0</v>
      </c>
      <c r="AG64" s="6">
        <f>IF((G64&lt;&gt;"")*(G68=""),IF((G64&lt;=$B$438)*((G65&gt;=$C$438)+(G65&lt;2/24)),1,0),0)</f>
        <v>0</v>
      </c>
      <c r="AH64" s="6">
        <f>IF((H64&lt;&gt;"")*(H68=""),IF((H64&lt;=$B$438)*((H65&gt;=$C$438)+(H65&lt;2/24)),1,0),0)</f>
        <v>0</v>
      </c>
      <c r="AI64" s="6">
        <f>IF((I64&lt;&gt;"")*(I68=""),IF((I64&lt;=$B$438)*((I65&gt;=$C$438)+(I65&lt;2/24)),1,0),0)</f>
        <v>0</v>
      </c>
      <c r="AJ64" s="6">
        <f>IF((J64&lt;&gt;"")*(J68=""),IF((J64&lt;=$B$438)*((J65&gt;=$C$438)+(J65&lt;2/24)),1,0),0)</f>
        <v>0</v>
      </c>
    </row>
    <row r="65" spans="1:36" ht="13.5" hidden="1" thickBot="1" x14ac:dyDescent="0.25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1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D65" s="6">
        <f>IF((D64&lt;&gt;"")*(D68=""),IF((D64&lt;=$B$439)*((D65&gt;=$C$439)+(D65&lt;2/24)),1,0),0)</f>
        <v>0</v>
      </c>
      <c r="AE65" s="6">
        <f>IF((E64&lt;&gt;"")*(E68=""),IF((E64&lt;=$B$439)*((E65&gt;=$C$439)+(E65&lt;2/24)),1,0),0)</f>
        <v>0</v>
      </c>
      <c r="AF65" s="6">
        <f>IF((F64&lt;&gt;"")*(F68=""),IF((F64&lt;=$B$439)*((F65&gt;=$C$439)+(F65&lt;2/24)),1,0),0)</f>
        <v>0</v>
      </c>
      <c r="AG65" s="6">
        <f>IF((G64&lt;&gt;"")*(G68=""),IF((G64&lt;=$B$439)*((G65&gt;=$C$439)+(G65&lt;2/24)),1,0),0)</f>
        <v>0</v>
      </c>
      <c r="AH65" s="6">
        <f>IF((H64&lt;&gt;"")*(H68=""),IF((H64&lt;=$B$439)*((H65&gt;=$C$439)+(H65&lt;2/24)),1,0),0)</f>
        <v>0</v>
      </c>
      <c r="AI65" s="6">
        <f>IF((I64&lt;&gt;"")*(I68=""),IF((I64&lt;=$B$439)*((I65&gt;=$C$439)+(I65&lt;2/24)),1,0),0)</f>
        <v>0</v>
      </c>
      <c r="AJ65" s="6">
        <f>IF((J64&lt;&gt;"")*(J68=""),IF((J64&lt;=$B$439)*((J65&gt;=$C$439)+(J65&lt;2/24)),1,0),0)</f>
        <v>0</v>
      </c>
    </row>
    <row r="66" spans="1:36" ht="13.5" hidden="1" thickBot="1" x14ac:dyDescent="0.25">
      <c r="A66" s="39"/>
      <c r="B66" s="40"/>
      <c r="C66" s="15" t="s">
        <v>2</v>
      </c>
      <c r="D66" s="4"/>
      <c r="E66" s="4"/>
      <c r="F66" s="4"/>
      <c r="G66" s="4"/>
      <c r="H66" s="4"/>
      <c r="I66" s="4"/>
      <c r="J66" s="4"/>
      <c r="K66" s="17"/>
      <c r="L66" s="6"/>
      <c r="M66" s="21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D66" s="6">
        <f>IF((D64&lt;&gt;"")*(D68=""),IF((D64&lt;=$B$440)*((D65&gt;=$C$440)+(D65&lt;2/24)),1,0),0)</f>
        <v>0</v>
      </c>
      <c r="AE66" s="6">
        <f>IF((E64&lt;&gt;"")*(E68=""),IF((E64&lt;=$B$440)*((E65&gt;=$C$440)+(E65&lt;2/24)),1,0),0)</f>
        <v>0</v>
      </c>
      <c r="AF66" s="6">
        <f>IF((F64&lt;&gt;"")*(F68=""),IF((F64&lt;=$B$440)*((F65&gt;=$C$440)+(F65&lt;2/24)),1,0),0)</f>
        <v>0</v>
      </c>
      <c r="AG66" s="6">
        <f>IF((G64&lt;&gt;"")*(G68=""),IF((G64&lt;=$B$440)*((G65&gt;=$C$440)+(G65&lt;2/24)),1,0),0)</f>
        <v>0</v>
      </c>
      <c r="AH66" s="6">
        <f>IF((H64&lt;&gt;"")*(H68=""),IF((H64&lt;=$B$440)*((H65&gt;=$C$440)+(H65&lt;2/24)),1,0),0)</f>
        <v>0</v>
      </c>
      <c r="AI66" s="6">
        <f>IF((I64&lt;&gt;"")*(I68=""),IF((I64&lt;=$B$440)*((I65&gt;=$C$440)+(I65&lt;2/24)),1,0),0)</f>
        <v>0</v>
      </c>
      <c r="AJ66" s="6">
        <f>IF((J64&lt;&gt;"")*(J68=""),IF((J64&lt;=$B$440)*((J65&gt;=$C$440)+(J65&lt;2/24)),1,0),0)</f>
        <v>0</v>
      </c>
    </row>
    <row r="67" spans="1:36" ht="13.5" hidden="1" thickBot="1" x14ac:dyDescent="0.25">
      <c r="A67" s="39"/>
      <c r="B67" s="40"/>
      <c r="C67" s="15" t="s">
        <v>3</v>
      </c>
      <c r="D67" s="43"/>
      <c r="E67" s="43"/>
      <c r="F67" s="43"/>
      <c r="G67" s="43"/>
      <c r="H67" s="43"/>
      <c r="I67" s="43"/>
      <c r="J67" s="44"/>
      <c r="K67" s="18">
        <f>SUMIF(D68:J68,"",D67:J67)</f>
        <v>0</v>
      </c>
      <c r="L67" s="12">
        <f>SUM(D67:J67)</f>
        <v>0</v>
      </c>
      <c r="M67" s="24"/>
      <c r="N67" s="10">
        <f t="shared" ref="N67:T67" si="20">IF(D68="",D67,0)</f>
        <v>0</v>
      </c>
      <c r="O67" s="10">
        <f t="shared" si="20"/>
        <v>0</v>
      </c>
      <c r="P67" s="10">
        <f t="shared" si="20"/>
        <v>0</v>
      </c>
      <c r="Q67" s="10">
        <f t="shared" si="20"/>
        <v>0</v>
      </c>
      <c r="R67" s="10">
        <f t="shared" si="20"/>
        <v>0</v>
      </c>
      <c r="S67" s="10">
        <f t="shared" si="20"/>
        <v>0</v>
      </c>
      <c r="T67" s="10">
        <f t="shared" si="20"/>
        <v>0</v>
      </c>
      <c r="U67" s="10"/>
      <c r="V67" s="10">
        <f t="shared" ref="V67:AB67" si="21">D67</f>
        <v>0</v>
      </c>
      <c r="W67" s="10">
        <f t="shared" si="21"/>
        <v>0</v>
      </c>
      <c r="X67" s="10">
        <f t="shared" si="21"/>
        <v>0</v>
      </c>
      <c r="Y67" s="10">
        <f t="shared" si="21"/>
        <v>0</v>
      </c>
      <c r="Z67" s="10">
        <f t="shared" si="21"/>
        <v>0</v>
      </c>
      <c r="AA67" s="10">
        <f t="shared" si="21"/>
        <v>0</v>
      </c>
      <c r="AB67" s="10">
        <f t="shared" si="21"/>
        <v>0</v>
      </c>
      <c r="AD67" s="6">
        <f>IF((D64&lt;&gt;"")*(D68=""),IF((D64&lt;=$B$441)*((D65&gt;=$C$441)+(D65&lt;2/24)),1,0),0)</f>
        <v>0</v>
      </c>
      <c r="AE67" s="6">
        <f>IF((E64&lt;&gt;"")*(E68=""),IF((E64&lt;=$B$441)*((E65&gt;=$C$441)+(E65&lt;2/24)),1,0),0)</f>
        <v>0</v>
      </c>
      <c r="AF67" s="6">
        <f>IF((F64&lt;&gt;"")*(F68=""),IF((F64&lt;=$B$441)*((F65&gt;=$C$441)+(F65&lt;2/24)),1,0),0)</f>
        <v>0</v>
      </c>
      <c r="AG67" s="6">
        <f>IF((G64&lt;&gt;"")*(G68=""),IF((G64&lt;=$B$441)*((G65&gt;=$C$441)+(G65&lt;2/24)),1,0),0)</f>
        <v>0</v>
      </c>
      <c r="AH67" s="6">
        <f>IF((H64&lt;&gt;"")*(H68=""),IF((H64&lt;=$B$441)*((H65&gt;=$C$441)+(H65&lt;2/24)),1,0),0)</f>
        <v>0</v>
      </c>
      <c r="AI67" s="6">
        <f>IF((I64&lt;&gt;"")*(I68=""),IF((I64&lt;=$B$441)*((I65&gt;=$C$441)+(I65&lt;2/24)),1,0),0)</f>
        <v>0</v>
      </c>
      <c r="AJ67" s="6">
        <f>IF((J64&lt;&gt;"")*(J68=""),IF((J64&lt;=$B$441)*((J65&gt;=$C$441)+(J65&lt;2/24)),1,0),0)</f>
        <v>0</v>
      </c>
    </row>
    <row r="68" spans="1:36" ht="13.5" hidden="1" thickBot="1" x14ac:dyDescent="0.25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  <c r="N68" s="6"/>
      <c r="O68" s="6"/>
      <c r="P68" s="6"/>
      <c r="Q68" s="6"/>
      <c r="R68" s="6"/>
      <c r="S68" s="6"/>
      <c r="T68" s="6"/>
      <c r="U68" s="6"/>
      <c r="V68" s="20"/>
      <c r="W68" s="20"/>
      <c r="X68" s="20"/>
      <c r="Y68" s="20"/>
      <c r="Z68" s="20"/>
      <c r="AA68" s="20"/>
      <c r="AB68" s="20"/>
      <c r="AD68" s="6">
        <f>IF((D64&lt;&gt;"")*(D68=""),IF((D64&lt;=$B$442)*((D65&gt;=$C$442)+(D65&lt;2/24)),1,0),0)</f>
        <v>0</v>
      </c>
      <c r="AE68" s="6">
        <f>IF((E64&lt;&gt;"")*(E68=""),IF((E64&lt;=$B$442)*((E65&gt;=$C$442)+(E65&lt;2/24)),1,0),0)</f>
        <v>0</v>
      </c>
      <c r="AF68" s="6">
        <f>IF((F64&lt;&gt;"")*(F68=""),IF((F64&lt;=$B$442)*((F65&gt;=$C$442)+(F65&lt;2/24)),1,0),0)</f>
        <v>0</v>
      </c>
      <c r="AG68" s="6">
        <f>IF((G64&lt;&gt;"")*(G68=""),IF((G64&lt;=$B$442)*((G65&gt;=$C$442)+(G65&lt;2/24)),1,0),0)</f>
        <v>0</v>
      </c>
      <c r="AH68" s="6">
        <f>IF((H64&lt;&gt;"")*(H68=""),IF((H64&lt;=$B$442)*((H65&gt;=$C$442)+(H65&lt;2/24)),1,0),0)</f>
        <v>0</v>
      </c>
      <c r="AI68" s="6">
        <f>IF((I64&lt;&gt;"")*(I68=""),IF((I64&lt;=$B$442)*((I65&gt;=$C$442)+(I65&lt;2/24)),1,0),0)</f>
        <v>0</v>
      </c>
      <c r="AJ68" s="6">
        <f>IF((J64&lt;&gt;"")*(J68=""),IF((J64&lt;=$B$442)*((J65&gt;=$C$442)+(J65&lt;2/24)),1,0),0)</f>
        <v>0</v>
      </c>
    </row>
    <row r="69" spans="1:36" ht="13.5" hidden="1" thickBot="1" x14ac:dyDescent="0.25">
      <c r="A69" s="41"/>
      <c r="B69" s="42"/>
      <c r="C69" s="35" t="s">
        <v>28</v>
      </c>
      <c r="D69" s="36"/>
      <c r="E69" s="36"/>
      <c r="F69" s="36"/>
      <c r="G69" s="36"/>
      <c r="H69" s="36"/>
      <c r="I69" s="36"/>
      <c r="J69" s="36"/>
      <c r="K69" s="34"/>
      <c r="L69" s="6"/>
      <c r="M69" s="25"/>
      <c r="N69" s="6"/>
      <c r="O69" s="6"/>
      <c r="P69" s="6"/>
      <c r="Q69" s="6"/>
      <c r="R69" s="6"/>
      <c r="S69" s="6"/>
      <c r="T69" s="6"/>
      <c r="U69" s="6"/>
      <c r="V69" s="20"/>
      <c r="W69" s="20"/>
      <c r="X69" s="20"/>
      <c r="Y69" s="20"/>
      <c r="Z69" s="20"/>
      <c r="AA69" s="20"/>
      <c r="AB69" s="20"/>
      <c r="AD69" s="6"/>
      <c r="AE69" s="6"/>
      <c r="AF69" s="6"/>
      <c r="AG69" s="6"/>
      <c r="AH69" s="6"/>
      <c r="AI69" s="6"/>
      <c r="AJ69" s="6"/>
    </row>
    <row r="70" spans="1:36" ht="13.5" hidden="1" thickBot="1" x14ac:dyDescent="0.25">
      <c r="A70" s="37" t="s">
        <v>29</v>
      </c>
      <c r="B70" s="38" t="s">
        <v>30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  <c r="L70" s="6"/>
      <c r="M70" s="21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D70" s="6">
        <f>IF((D70&lt;&gt;"")*(D74=""),IF((D70&lt;=$B$438)*((D71&gt;=$C$438)+(D71&lt;2/24)),1,0),0)</f>
        <v>0</v>
      </c>
      <c r="AE70" s="6">
        <f>IF((E70&lt;&gt;"")*(E74=""),IF((E70&lt;=$B$438)*((E71&gt;=$C$438)+(E71&lt;2/24)),1,0),0)</f>
        <v>0</v>
      </c>
      <c r="AF70" s="6">
        <f>IF((F70&lt;&gt;"")*(F74=""),IF((F70&lt;=$B$438)*((F71&gt;=$C$438)+(F71&lt;2/24)),1,0),0)</f>
        <v>0</v>
      </c>
      <c r="AG70" s="6">
        <f>IF((G70&lt;&gt;"")*(G74=""),IF((G70&lt;=$B$438)*((G71&gt;=$C$438)+(G71&lt;2/24)),1,0),0)</f>
        <v>0</v>
      </c>
      <c r="AH70" s="6">
        <f>IF((H70&lt;&gt;"")*(H74=""),IF((H70&lt;=$B$438)*((H71&gt;=$C$438)+(H71&lt;2/24)),1,0),0)</f>
        <v>0</v>
      </c>
      <c r="AI70" s="6">
        <f>IF((I70&lt;&gt;"")*(I74=""),IF((I70&lt;=$B$438)*((I71&gt;=$C$438)+(I71&lt;2/24)),1,0),0)</f>
        <v>0</v>
      </c>
      <c r="AJ70" s="6">
        <f>IF((J70&lt;&gt;"")*(J74=""),IF((J70&lt;=$B$438)*((J71&gt;=$C$438)+(J71&lt;2/24)),1,0),0)</f>
        <v>0</v>
      </c>
    </row>
    <row r="71" spans="1:36" ht="13.5" hidden="1" thickBot="1" x14ac:dyDescent="0.25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  <c r="L71" s="6"/>
      <c r="M71" s="21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D71" s="6">
        <f>IF((D70&lt;&gt;"")*(D74=""),IF((D70&lt;=$B$439)*((D71&gt;=$C$439)+(D71&lt;2/24)),1,0),0)</f>
        <v>0</v>
      </c>
      <c r="AE71" s="6">
        <f>IF((E70&lt;&gt;"")*(E74=""),IF((E70&lt;=$B$439)*((E71&gt;=$C$439)+(E71&lt;2/24)),1,0),0)</f>
        <v>0</v>
      </c>
      <c r="AF71" s="6">
        <f>IF((F70&lt;&gt;"")*(F74=""),IF((F70&lt;=$B$439)*((F71&gt;=$C$439)+(F71&lt;2/24)),1,0),0)</f>
        <v>0</v>
      </c>
      <c r="AG71" s="6">
        <f>IF((G70&lt;&gt;"")*(G74=""),IF((G70&lt;=$B$439)*((G71&gt;=$C$439)+(G71&lt;2/24)),1,0),0)</f>
        <v>0</v>
      </c>
      <c r="AH71" s="6">
        <f>IF((H70&lt;&gt;"")*(H74=""),IF((H70&lt;=$B$439)*((H71&gt;=$C$439)+(H71&lt;2/24)),1,0),0)</f>
        <v>0</v>
      </c>
      <c r="AI71" s="6">
        <f>IF((I70&lt;&gt;"")*(I74=""),IF((I70&lt;=$B$439)*((I71&gt;=$C$439)+(I71&lt;2/24)),1,0),0)</f>
        <v>0</v>
      </c>
      <c r="AJ71" s="6">
        <f>IF((J70&lt;&gt;"")*(J74=""),IF((J70&lt;=$B$439)*((J71&gt;=$C$439)+(J71&lt;2/24)),1,0),0)</f>
        <v>0</v>
      </c>
    </row>
    <row r="72" spans="1:36" ht="13.5" hidden="1" thickBot="1" x14ac:dyDescent="0.25">
      <c r="A72" s="39"/>
      <c r="B72" s="40"/>
      <c r="C72" s="15" t="s">
        <v>2</v>
      </c>
      <c r="D72" s="4"/>
      <c r="E72" s="4"/>
      <c r="F72" s="4"/>
      <c r="G72" s="4"/>
      <c r="H72" s="4"/>
      <c r="I72" s="4"/>
      <c r="J72" s="4"/>
      <c r="K72" s="17"/>
      <c r="L72" s="6"/>
      <c r="M72" s="21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D72" s="6">
        <f>IF((D70&lt;&gt;"")*(D74=""),IF((D70&lt;=$B$440)*((D71&gt;=$C$440)+(D71&lt;2/24)),1,0),0)</f>
        <v>0</v>
      </c>
      <c r="AE72" s="6">
        <f>IF((E70&lt;&gt;"")*(E74=""),IF((E70&lt;=$B$440)*((E71&gt;=$C$440)+(E71&lt;2/24)),1,0),0)</f>
        <v>0</v>
      </c>
      <c r="AF72" s="6">
        <f>IF((F70&lt;&gt;"")*(F74=""),IF((F70&lt;=$B$440)*((F71&gt;=$C$440)+(F71&lt;2/24)),1,0),0)</f>
        <v>0</v>
      </c>
      <c r="AG72" s="6">
        <f>IF((G70&lt;&gt;"")*(G74=""),IF((G70&lt;=$B$440)*((G71&gt;=$C$440)+(G71&lt;2/24)),1,0),0)</f>
        <v>0</v>
      </c>
      <c r="AH72" s="6">
        <f>IF((H70&lt;&gt;"")*(H74=""),IF((H70&lt;=$B$440)*((H71&gt;=$C$440)+(H71&lt;2/24)),1,0),0)</f>
        <v>0</v>
      </c>
      <c r="AI72" s="6">
        <f>IF((I70&lt;&gt;"")*(I74=""),IF((I70&lt;=$B$440)*((I71&gt;=$C$440)+(I71&lt;2/24)),1,0),0)</f>
        <v>0</v>
      </c>
      <c r="AJ72" s="6">
        <f>IF((J70&lt;&gt;"")*(J74=""),IF((J70&lt;=$B$440)*((J71&gt;=$C$440)+(J71&lt;2/24)),1,0),0)</f>
        <v>0</v>
      </c>
    </row>
    <row r="73" spans="1:36" ht="13.5" hidden="1" thickBot="1" x14ac:dyDescent="0.25">
      <c r="A73" s="39"/>
      <c r="B73" s="40"/>
      <c r="C73" s="15" t="s">
        <v>3</v>
      </c>
      <c r="D73" s="43"/>
      <c r="E73" s="43"/>
      <c r="F73" s="43"/>
      <c r="G73" s="43"/>
      <c r="H73" s="43"/>
      <c r="I73" s="43"/>
      <c r="J73" s="44"/>
      <c r="K73" s="18">
        <f>SUMIF(D74:J74,"",D73:J73)</f>
        <v>0</v>
      </c>
      <c r="L73" s="12">
        <f>SUM(D73:J73)</f>
        <v>0</v>
      </c>
      <c r="M73" s="24"/>
      <c r="N73" s="10">
        <f t="shared" ref="N73:T73" si="22">IF(D74="",D73,0)</f>
        <v>0</v>
      </c>
      <c r="O73" s="10">
        <f t="shared" si="22"/>
        <v>0</v>
      </c>
      <c r="P73" s="10">
        <f t="shared" si="22"/>
        <v>0</v>
      </c>
      <c r="Q73" s="10">
        <f t="shared" si="22"/>
        <v>0</v>
      </c>
      <c r="R73" s="10">
        <f t="shared" si="22"/>
        <v>0</v>
      </c>
      <c r="S73" s="10">
        <f t="shared" si="22"/>
        <v>0</v>
      </c>
      <c r="T73" s="10">
        <f t="shared" si="22"/>
        <v>0</v>
      </c>
      <c r="U73" s="10"/>
      <c r="V73" s="10">
        <f t="shared" ref="V73:AB73" si="23">D73</f>
        <v>0</v>
      </c>
      <c r="W73" s="10">
        <f t="shared" si="23"/>
        <v>0</v>
      </c>
      <c r="X73" s="10">
        <f t="shared" si="23"/>
        <v>0</v>
      </c>
      <c r="Y73" s="10">
        <f t="shared" si="23"/>
        <v>0</v>
      </c>
      <c r="Z73" s="10">
        <f t="shared" si="23"/>
        <v>0</v>
      </c>
      <c r="AA73" s="10">
        <f t="shared" si="23"/>
        <v>0</v>
      </c>
      <c r="AB73" s="10">
        <f t="shared" si="23"/>
        <v>0</v>
      </c>
      <c r="AD73" s="6">
        <f>IF((D70&lt;&gt;"")*(D74=""),IF((D70&lt;=$B$441)*((D71&gt;=$C$441)+(D71&lt;2/24)),1,0),0)</f>
        <v>0</v>
      </c>
      <c r="AE73" s="6">
        <f>IF((E70&lt;&gt;"")*(E74=""),IF((E70&lt;=$B$441)*((E71&gt;=$C$441)+(E71&lt;2/24)),1,0),0)</f>
        <v>0</v>
      </c>
      <c r="AF73" s="6">
        <f>IF((F70&lt;&gt;"")*(F74=""),IF((F70&lt;=$B$441)*((F71&gt;=$C$441)+(F71&lt;2/24)),1,0),0)</f>
        <v>0</v>
      </c>
      <c r="AG73" s="6">
        <f>IF((G70&lt;&gt;"")*(G74=""),IF((G70&lt;=$B$441)*((G71&gt;=$C$441)+(G71&lt;2/24)),1,0),0)</f>
        <v>0</v>
      </c>
      <c r="AH73" s="6">
        <f>IF((H70&lt;&gt;"")*(H74=""),IF((H70&lt;=$B$441)*((H71&gt;=$C$441)+(H71&lt;2/24)),1,0),0)</f>
        <v>0</v>
      </c>
      <c r="AI73" s="6">
        <f>IF((I70&lt;&gt;"")*(I74=""),IF((I70&lt;=$B$441)*((I71&gt;=$C$441)+(I71&lt;2/24)),1,0),0)</f>
        <v>0</v>
      </c>
      <c r="AJ73" s="6">
        <f>IF((J70&lt;&gt;"")*(J74=""),IF((J70&lt;=$B$441)*((J71&gt;=$C$441)+(J71&lt;2/24)),1,0),0)</f>
        <v>0</v>
      </c>
    </row>
    <row r="74" spans="1:36" ht="13.5" hidden="1" thickBot="1" x14ac:dyDescent="0.25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  <c r="N74" s="6"/>
      <c r="O74" s="6"/>
      <c r="P74" s="6"/>
      <c r="Q74" s="6"/>
      <c r="R74" s="6"/>
      <c r="S74" s="6"/>
      <c r="T74" s="6"/>
      <c r="U74" s="6"/>
      <c r="V74" s="20"/>
      <c r="W74" s="20"/>
      <c r="X74" s="20"/>
      <c r="Y74" s="20"/>
      <c r="Z74" s="20"/>
      <c r="AA74" s="20"/>
      <c r="AB74" s="20"/>
      <c r="AD74" s="6">
        <f>IF((D70&lt;&gt;"")*(D74=""),IF((D70&lt;=$B$442)*((D71&gt;=$C$442)+(D71&lt;2/24)),1,0),0)</f>
        <v>0</v>
      </c>
      <c r="AE74" s="6">
        <f>IF((E70&lt;&gt;"")*(E74=""),IF((E70&lt;=$B$442)*((E71&gt;=$C$442)+(E71&lt;2/24)),1,0),0)</f>
        <v>0</v>
      </c>
      <c r="AF74" s="6">
        <f>IF((F70&lt;&gt;"")*(F74=""),IF((F70&lt;=$B$442)*((F71&gt;=$C$442)+(F71&lt;2/24)),1,0),0)</f>
        <v>0</v>
      </c>
      <c r="AG74" s="6">
        <f>IF((G70&lt;&gt;"")*(G74=""),IF((G70&lt;=$B$442)*((G71&gt;=$C$442)+(G71&lt;2/24)),1,0),0)</f>
        <v>0</v>
      </c>
      <c r="AH74" s="6">
        <f>IF((H70&lt;&gt;"")*(H74=""),IF((H70&lt;=$B$442)*((H71&gt;=$C$442)+(H71&lt;2/24)),1,0),0)</f>
        <v>0</v>
      </c>
      <c r="AI74" s="6">
        <f>IF((I70&lt;&gt;"")*(I74=""),IF((I70&lt;=$B$442)*((I71&gt;=$C$442)+(I71&lt;2/24)),1,0),0)</f>
        <v>0</v>
      </c>
      <c r="AJ74" s="6">
        <f>IF((J70&lt;&gt;"")*(J74=""),IF((J70&lt;=$B$442)*((J71&gt;=$C$442)+(J71&lt;2/24)),1,0),0)</f>
        <v>0</v>
      </c>
    </row>
    <row r="75" spans="1:36" ht="13.5" hidden="1" thickBot="1" x14ac:dyDescent="0.25">
      <c r="A75" s="41"/>
      <c r="B75" s="42"/>
      <c r="C75" s="35" t="s">
        <v>28</v>
      </c>
      <c r="D75" s="36"/>
      <c r="E75" s="36"/>
      <c r="F75" s="36"/>
      <c r="G75" s="36"/>
      <c r="H75" s="36"/>
      <c r="I75" s="36"/>
      <c r="J75" s="36"/>
      <c r="K75" s="34"/>
      <c r="L75" s="6"/>
      <c r="M75" s="25"/>
      <c r="N75" s="6"/>
      <c r="O75" s="6"/>
      <c r="P75" s="6"/>
      <c r="Q75" s="6"/>
      <c r="R75" s="6"/>
      <c r="S75" s="6"/>
      <c r="T75" s="6"/>
      <c r="U75" s="6"/>
      <c r="V75" s="20"/>
      <c r="W75" s="20"/>
      <c r="X75" s="20"/>
      <c r="Y75" s="20"/>
      <c r="Z75" s="20"/>
      <c r="AA75" s="20"/>
      <c r="AB75" s="20"/>
      <c r="AD75" s="6"/>
      <c r="AE75" s="6"/>
      <c r="AF75" s="6"/>
      <c r="AG75" s="6"/>
      <c r="AH75" s="6"/>
      <c r="AI75" s="6"/>
      <c r="AJ75" s="6"/>
    </row>
    <row r="76" spans="1:36" ht="13.5" hidden="1" thickBot="1" x14ac:dyDescent="0.25">
      <c r="A76" s="37" t="s">
        <v>29</v>
      </c>
      <c r="B76" s="38" t="s">
        <v>30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  <c r="L76" s="6"/>
      <c r="M76" s="21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D76" s="6">
        <f>IF((D76&lt;&gt;"")*(D80=""),IF((D76&lt;=$B$438)*((D77&gt;=$C$438)+(D77&lt;2/24)),1,0),0)</f>
        <v>0</v>
      </c>
      <c r="AE76" s="6">
        <f>IF((E76&lt;&gt;"")*(E80=""),IF((E76&lt;=$B$438)*((E77&gt;=$C$438)+(E77&lt;2/24)),1,0),0)</f>
        <v>0</v>
      </c>
      <c r="AF76" s="6">
        <f>IF((F76&lt;&gt;"")*(F80=""),IF((F76&lt;=$B$438)*((F77&gt;=$C$438)+(F77&lt;2/24)),1,0),0)</f>
        <v>0</v>
      </c>
      <c r="AG76" s="6">
        <f>IF((G76&lt;&gt;"")*(G80=""),IF((G76&lt;=$B$438)*((G77&gt;=$C$438)+(G77&lt;2/24)),1,0),0)</f>
        <v>0</v>
      </c>
      <c r="AH76" s="6">
        <f>IF((H76&lt;&gt;"")*(H80=""),IF((H76&lt;=$B$438)*((H77&gt;=$C$438)+(H77&lt;2/24)),1,0),0)</f>
        <v>0</v>
      </c>
      <c r="AI76" s="6">
        <f>IF((I76&lt;&gt;"")*(I80=""),IF((I76&lt;=$B$438)*((I77&gt;=$C$438)+(I77&lt;2/24)),1,0),0)</f>
        <v>0</v>
      </c>
      <c r="AJ76" s="6">
        <f>IF((J76&lt;&gt;"")*(J80=""),IF((J76&lt;=$B$438)*((J77&gt;=$C$438)+(J77&lt;2/24)),1,0),0)</f>
        <v>0</v>
      </c>
    </row>
    <row r="77" spans="1:36" ht="13.5" hidden="1" thickBot="1" x14ac:dyDescent="0.25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  <c r="L77" s="6"/>
      <c r="M77" s="21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D77" s="6">
        <f>IF((D76&lt;&gt;"")*(D80=""),IF((D76&lt;=$B$439)*((D77&gt;=$C$439)+(D77&lt;2/24)),1,0),0)</f>
        <v>0</v>
      </c>
      <c r="AE77" s="6">
        <f>IF((E76&lt;&gt;"")*(E80=""),IF((E76&lt;=$B$439)*((E77&gt;=$C$439)+(E77&lt;2/24)),1,0),0)</f>
        <v>0</v>
      </c>
      <c r="AF77" s="6">
        <f>IF((F76&lt;&gt;"")*(F80=""),IF((F76&lt;=$B$439)*((F77&gt;=$C$439)+(F77&lt;2/24)),1,0),0)</f>
        <v>0</v>
      </c>
      <c r="AG77" s="6">
        <f>IF((G76&lt;&gt;"")*(G80=""),IF((G76&lt;=$B$439)*((G77&gt;=$C$439)+(G77&lt;2/24)),1,0),0)</f>
        <v>0</v>
      </c>
      <c r="AH77" s="6">
        <f>IF((H76&lt;&gt;"")*(H80=""),IF((H76&lt;=$B$439)*((H77&gt;=$C$439)+(H77&lt;2/24)),1,0),0)</f>
        <v>0</v>
      </c>
      <c r="AI77" s="6">
        <f>IF((I76&lt;&gt;"")*(I80=""),IF((I76&lt;=$B$439)*((I77&gt;=$C$439)+(I77&lt;2/24)),1,0),0)</f>
        <v>0</v>
      </c>
      <c r="AJ77" s="6">
        <f>IF((J76&lt;&gt;"")*(J80=""),IF((J76&lt;=$B$439)*((J77&gt;=$C$439)+(J77&lt;2/24)),1,0),0)</f>
        <v>0</v>
      </c>
    </row>
    <row r="78" spans="1:36" ht="13.5" hidden="1" thickBot="1" x14ac:dyDescent="0.25">
      <c r="A78" s="39"/>
      <c r="B78" s="40"/>
      <c r="C78" s="15" t="s">
        <v>2</v>
      </c>
      <c r="D78" s="4"/>
      <c r="E78" s="4"/>
      <c r="F78" s="4"/>
      <c r="G78" s="4"/>
      <c r="H78" s="4"/>
      <c r="I78" s="4"/>
      <c r="J78" s="4"/>
      <c r="K78" s="17"/>
      <c r="L78" s="6"/>
      <c r="M78" s="21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D78" s="6">
        <f>IF((D76&lt;&gt;"")*(D80=""),IF((D76&lt;=$B$440)*((D77&gt;=$C$440)+(D77&lt;2/24)),1,0),0)</f>
        <v>0</v>
      </c>
      <c r="AE78" s="6">
        <f>IF((E76&lt;&gt;"")*(E80=""),IF((E76&lt;=$B$440)*((E77&gt;=$C$440)+(E77&lt;2/24)),1,0),0)</f>
        <v>0</v>
      </c>
      <c r="AF78" s="6">
        <f>IF((F76&lt;&gt;"")*(F80=""),IF((F76&lt;=$B$440)*((F77&gt;=$C$440)+(F77&lt;2/24)),1,0),0)</f>
        <v>0</v>
      </c>
      <c r="AG78" s="6">
        <f>IF((G76&lt;&gt;"")*(G80=""),IF((G76&lt;=$B$440)*((G77&gt;=$C$440)+(G77&lt;2/24)),1,0),0)</f>
        <v>0</v>
      </c>
      <c r="AH78" s="6">
        <f>IF((H76&lt;&gt;"")*(H80=""),IF((H76&lt;=$B$440)*((H77&gt;=$C$440)+(H77&lt;2/24)),1,0),0)</f>
        <v>0</v>
      </c>
      <c r="AI78" s="6">
        <f>IF((I76&lt;&gt;"")*(I80=""),IF((I76&lt;=$B$440)*((I77&gt;=$C$440)+(I77&lt;2/24)),1,0),0)</f>
        <v>0</v>
      </c>
      <c r="AJ78" s="6">
        <f>IF((J76&lt;&gt;"")*(J80=""),IF((J76&lt;=$B$440)*((J77&gt;=$C$440)+(J77&lt;2/24)),1,0),0)</f>
        <v>0</v>
      </c>
    </row>
    <row r="79" spans="1:36" ht="13.5" hidden="1" thickBot="1" x14ac:dyDescent="0.25">
      <c r="A79" s="39"/>
      <c r="B79" s="40"/>
      <c r="C79" s="15" t="s">
        <v>3</v>
      </c>
      <c r="D79" s="43"/>
      <c r="E79" s="43"/>
      <c r="F79" s="43"/>
      <c r="G79" s="43"/>
      <c r="H79" s="43"/>
      <c r="I79" s="43"/>
      <c r="J79" s="44"/>
      <c r="K79" s="18">
        <f>SUMIF(D80:J80,"",D79:J79)</f>
        <v>0</v>
      </c>
      <c r="L79" s="12">
        <f>SUM(D79:J79)</f>
        <v>0</v>
      </c>
      <c r="M79" s="24"/>
      <c r="N79" s="10">
        <f t="shared" ref="N79:T79" si="24">IF(D80="",D79,0)</f>
        <v>0</v>
      </c>
      <c r="O79" s="10">
        <f t="shared" si="24"/>
        <v>0</v>
      </c>
      <c r="P79" s="10">
        <f t="shared" si="24"/>
        <v>0</v>
      </c>
      <c r="Q79" s="10">
        <f t="shared" si="24"/>
        <v>0</v>
      </c>
      <c r="R79" s="10">
        <f t="shared" si="24"/>
        <v>0</v>
      </c>
      <c r="S79" s="10">
        <f t="shared" si="24"/>
        <v>0</v>
      </c>
      <c r="T79" s="10">
        <f t="shared" si="24"/>
        <v>0</v>
      </c>
      <c r="U79" s="10"/>
      <c r="V79" s="10">
        <f t="shared" ref="V79:AB79" si="25">D79</f>
        <v>0</v>
      </c>
      <c r="W79" s="10">
        <f t="shared" si="25"/>
        <v>0</v>
      </c>
      <c r="X79" s="10">
        <f t="shared" si="25"/>
        <v>0</v>
      </c>
      <c r="Y79" s="10">
        <f t="shared" si="25"/>
        <v>0</v>
      </c>
      <c r="Z79" s="10">
        <f t="shared" si="25"/>
        <v>0</v>
      </c>
      <c r="AA79" s="10">
        <f t="shared" si="25"/>
        <v>0</v>
      </c>
      <c r="AB79" s="10">
        <f t="shared" si="25"/>
        <v>0</v>
      </c>
      <c r="AD79" s="6">
        <f>IF((D76&lt;&gt;"")*(D80=""),IF((D76&lt;=$B$441)*((D77&gt;=$C$441)+(D77&lt;2/24)),1,0),0)</f>
        <v>0</v>
      </c>
      <c r="AE79" s="6">
        <f>IF((E76&lt;&gt;"")*(E80=""),IF((E76&lt;=$B$441)*((E77&gt;=$C$441)+(E77&lt;2/24)),1,0),0)</f>
        <v>0</v>
      </c>
      <c r="AF79" s="6">
        <f>IF((F76&lt;&gt;"")*(F80=""),IF((F76&lt;=$B$441)*((F77&gt;=$C$441)+(F77&lt;2/24)),1,0),0)</f>
        <v>0</v>
      </c>
      <c r="AG79" s="6">
        <f>IF((G76&lt;&gt;"")*(G80=""),IF((G76&lt;=$B$441)*((G77&gt;=$C$441)+(G77&lt;2/24)),1,0),0)</f>
        <v>0</v>
      </c>
      <c r="AH79" s="6">
        <f>IF((H76&lt;&gt;"")*(H80=""),IF((H76&lt;=$B$441)*((H77&gt;=$C$441)+(H77&lt;2/24)),1,0),0)</f>
        <v>0</v>
      </c>
      <c r="AI79" s="6">
        <f>IF((I76&lt;&gt;"")*(I80=""),IF((I76&lt;=$B$441)*((I77&gt;=$C$441)+(I77&lt;2/24)),1,0),0)</f>
        <v>0</v>
      </c>
      <c r="AJ79" s="6">
        <f>IF((J76&lt;&gt;"")*(J80=""),IF((J76&lt;=$B$441)*((J77&gt;=$C$441)+(J77&lt;2/24)),1,0),0)</f>
        <v>0</v>
      </c>
    </row>
    <row r="80" spans="1:36" ht="13.5" hidden="1" thickBot="1" x14ac:dyDescent="0.25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  <c r="N80" s="6"/>
      <c r="O80" s="6"/>
      <c r="P80" s="6"/>
      <c r="Q80" s="6"/>
      <c r="R80" s="6"/>
      <c r="S80" s="6"/>
      <c r="T80" s="6"/>
      <c r="U80" s="6"/>
      <c r="V80" s="20"/>
      <c r="W80" s="20"/>
      <c r="X80" s="20"/>
      <c r="Y80" s="20"/>
      <c r="Z80" s="20"/>
      <c r="AA80" s="20"/>
      <c r="AB80" s="20"/>
      <c r="AD80" s="6">
        <f>IF((D76&lt;&gt;"")*(D80=""),IF((D76&lt;=$B$442)*((D77&gt;=$C$442)+(D77&lt;2/24)),1,0),0)</f>
        <v>0</v>
      </c>
      <c r="AE80" s="6">
        <f>IF((E76&lt;&gt;"")*(E80=""),IF((E76&lt;=$B$442)*((E77&gt;=$C$442)+(E77&lt;2/24)),1,0),0)</f>
        <v>0</v>
      </c>
      <c r="AF80" s="6">
        <f>IF((F76&lt;&gt;"")*(F80=""),IF((F76&lt;=$B$442)*((F77&gt;=$C$442)+(F77&lt;2/24)),1,0),0)</f>
        <v>0</v>
      </c>
      <c r="AG80" s="6">
        <f>IF((G76&lt;&gt;"")*(G80=""),IF((G76&lt;=$B$442)*((G77&gt;=$C$442)+(G77&lt;2/24)),1,0),0)</f>
        <v>0</v>
      </c>
      <c r="AH80" s="6">
        <f>IF((H76&lt;&gt;"")*(H80=""),IF((H76&lt;=$B$442)*((H77&gt;=$C$442)+(H77&lt;2/24)),1,0),0)</f>
        <v>0</v>
      </c>
      <c r="AI80" s="6">
        <f>IF((I76&lt;&gt;"")*(I80=""),IF((I76&lt;=$B$442)*((I77&gt;=$C$442)+(I77&lt;2/24)),1,0),0)</f>
        <v>0</v>
      </c>
      <c r="AJ80" s="6">
        <f>IF((J76&lt;&gt;"")*(J80=""),IF((J76&lt;=$B$442)*((J77&gt;=$C$442)+(J77&lt;2/24)),1,0),0)</f>
        <v>0</v>
      </c>
    </row>
    <row r="81" spans="1:36" ht="13.5" hidden="1" thickBot="1" x14ac:dyDescent="0.25">
      <c r="A81" s="41"/>
      <c r="B81" s="42"/>
      <c r="C81" s="35" t="s">
        <v>28</v>
      </c>
      <c r="D81" s="36"/>
      <c r="E81" s="36"/>
      <c r="F81" s="36"/>
      <c r="G81" s="36"/>
      <c r="H81" s="36"/>
      <c r="I81" s="36"/>
      <c r="J81" s="36"/>
      <c r="K81" s="34"/>
      <c r="L81" s="6"/>
      <c r="M81" s="25"/>
      <c r="N81" s="6"/>
      <c r="O81" s="6"/>
      <c r="P81" s="6"/>
      <c r="Q81" s="6"/>
      <c r="R81" s="6"/>
      <c r="S81" s="6"/>
      <c r="T81" s="6"/>
      <c r="U81" s="6"/>
      <c r="V81" s="20"/>
      <c r="W81" s="20"/>
      <c r="X81" s="20"/>
      <c r="Y81" s="20"/>
      <c r="Z81" s="20"/>
      <c r="AA81" s="20"/>
      <c r="AB81" s="20"/>
      <c r="AD81" s="6"/>
      <c r="AE81" s="6"/>
      <c r="AF81" s="6"/>
      <c r="AG81" s="6"/>
      <c r="AH81" s="6"/>
      <c r="AI81" s="6"/>
      <c r="AJ81" s="6"/>
    </row>
    <row r="82" spans="1:36" ht="13.5" hidden="1" thickBot="1" x14ac:dyDescent="0.25">
      <c r="A82" s="37" t="s">
        <v>29</v>
      </c>
      <c r="B82" s="38" t="s">
        <v>30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  <c r="L82" s="6"/>
      <c r="M82" s="21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D82" s="6">
        <f>IF((D82&lt;&gt;"")*(D86=""),IF((D82&lt;=$B$438)*((D83&gt;=$C$438)+(D83&lt;2/24)),1,0),0)</f>
        <v>0</v>
      </c>
      <c r="AE82" s="6">
        <f>IF((E82&lt;&gt;"")*(E86=""),IF((E82&lt;=$B$438)*((E83&gt;=$C$438)+(E83&lt;2/24)),1,0),0)</f>
        <v>0</v>
      </c>
      <c r="AF82" s="6">
        <f>IF((F82&lt;&gt;"")*(F86=""),IF((F82&lt;=$B$438)*((F83&gt;=$C$438)+(F83&lt;2/24)),1,0),0)</f>
        <v>0</v>
      </c>
      <c r="AG82" s="6">
        <f>IF((G82&lt;&gt;"")*(G86=""),IF((G82&lt;=$B$438)*((G83&gt;=$C$438)+(G83&lt;2/24)),1,0),0)</f>
        <v>0</v>
      </c>
      <c r="AH82" s="6">
        <f>IF((H82&lt;&gt;"")*(H86=""),IF((H82&lt;=$B$438)*((H83&gt;=$C$438)+(H83&lt;2/24)),1,0),0)</f>
        <v>0</v>
      </c>
      <c r="AI82" s="6">
        <f>IF((I82&lt;&gt;"")*(I86=""),IF((I82&lt;=$B$438)*((I83&gt;=$C$438)+(I83&lt;2/24)),1,0),0)</f>
        <v>0</v>
      </c>
      <c r="AJ82" s="6">
        <f>IF((J82&lt;&gt;"")*(J86=""),IF((J82&lt;=$B$438)*((J83&gt;=$C$438)+(J83&lt;2/24)),1,0),0)</f>
        <v>0</v>
      </c>
    </row>
    <row r="83" spans="1:36" ht="13.5" hidden="1" thickBot="1" x14ac:dyDescent="0.25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  <c r="L83" s="6"/>
      <c r="M83" s="21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D83" s="6">
        <f>IF((D82&lt;&gt;"")*(D86=""),IF((D82&lt;=$B$439)*((D83&gt;=$C$439)+(D83&lt;2/24)),1,0),0)</f>
        <v>0</v>
      </c>
      <c r="AE83" s="6">
        <f>IF((E82&lt;&gt;"")*(E86=""),IF((E82&lt;=$B$439)*((E83&gt;=$C$439)+(E83&lt;2/24)),1,0),0)</f>
        <v>0</v>
      </c>
      <c r="AF83" s="6">
        <f>IF((F82&lt;&gt;"")*(F86=""),IF((F82&lt;=$B$439)*((F83&gt;=$C$439)+(F83&lt;2/24)),1,0),0)</f>
        <v>0</v>
      </c>
      <c r="AG83" s="6">
        <f>IF((G82&lt;&gt;"")*(G86=""),IF((G82&lt;=$B$439)*((G83&gt;=$C$439)+(G83&lt;2/24)),1,0),0)</f>
        <v>0</v>
      </c>
      <c r="AH83" s="6">
        <f>IF((H82&lt;&gt;"")*(H86=""),IF((H82&lt;=$B$439)*((H83&gt;=$C$439)+(H83&lt;2/24)),1,0),0)</f>
        <v>0</v>
      </c>
      <c r="AI83" s="6">
        <f>IF((I82&lt;&gt;"")*(I86=""),IF((I82&lt;=$B$439)*((I83&gt;=$C$439)+(I83&lt;2/24)),1,0),0)</f>
        <v>0</v>
      </c>
      <c r="AJ83" s="6">
        <f>IF((J82&lt;&gt;"")*(J86=""),IF((J82&lt;=$B$439)*((J83&gt;=$C$439)+(J83&lt;2/24)),1,0),0)</f>
        <v>0</v>
      </c>
    </row>
    <row r="84" spans="1:36" ht="13.5" hidden="1" thickBot="1" x14ac:dyDescent="0.25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  <c r="L84" s="6"/>
      <c r="M84" s="21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D84" s="6">
        <f>IF((D82&lt;&gt;"")*(D86=""),IF((D82&lt;=$B$440)*((D83&gt;=$C$440)+(D83&lt;2/24)),1,0),0)</f>
        <v>0</v>
      </c>
      <c r="AE84" s="6">
        <f>IF((E82&lt;&gt;"")*(E86=""),IF((E82&lt;=$B$440)*((E83&gt;=$C$440)+(E83&lt;2/24)),1,0),0)</f>
        <v>0</v>
      </c>
      <c r="AF84" s="6">
        <f>IF((F82&lt;&gt;"")*(F86=""),IF((F82&lt;=$B$440)*((F83&gt;=$C$440)+(F83&lt;2/24)),1,0),0)</f>
        <v>0</v>
      </c>
      <c r="AG84" s="6">
        <f>IF((G82&lt;&gt;"")*(G86=""),IF((G82&lt;=$B$440)*((G83&gt;=$C$440)+(G83&lt;2/24)),1,0),0)</f>
        <v>0</v>
      </c>
      <c r="AH84" s="6">
        <f>IF((H82&lt;&gt;"")*(H86=""),IF((H82&lt;=$B$440)*((H83&gt;=$C$440)+(H83&lt;2/24)),1,0),0)</f>
        <v>0</v>
      </c>
      <c r="AI84" s="6">
        <f>IF((I82&lt;&gt;"")*(I86=""),IF((I82&lt;=$B$440)*((I83&gt;=$C$440)+(I83&lt;2/24)),1,0),0)</f>
        <v>0</v>
      </c>
      <c r="AJ84" s="6">
        <f>IF((J82&lt;&gt;"")*(J86=""),IF((J82&lt;=$B$440)*((J83&gt;=$C$440)+(J83&lt;2/24)),1,0),0)</f>
        <v>0</v>
      </c>
    </row>
    <row r="85" spans="1:36" ht="13.5" hidden="1" thickBot="1" x14ac:dyDescent="0.25">
      <c r="A85" s="39"/>
      <c r="B85" s="40"/>
      <c r="C85" s="15" t="s">
        <v>3</v>
      </c>
      <c r="D85" s="43"/>
      <c r="E85" s="43"/>
      <c r="F85" s="43"/>
      <c r="G85" s="43"/>
      <c r="H85" s="43"/>
      <c r="I85" s="43"/>
      <c r="J85" s="44"/>
      <c r="K85" s="18">
        <f>SUMIF(D86:J86,"",D85:J85)</f>
        <v>0</v>
      </c>
      <c r="L85" s="12">
        <f>SUM(D85:J85)</f>
        <v>0</v>
      </c>
      <c r="M85" s="24"/>
      <c r="N85" s="10">
        <f t="shared" ref="N85:T85" si="26">IF(D86="",D85,0)</f>
        <v>0</v>
      </c>
      <c r="O85" s="10">
        <f t="shared" si="26"/>
        <v>0</v>
      </c>
      <c r="P85" s="10">
        <f t="shared" si="26"/>
        <v>0</v>
      </c>
      <c r="Q85" s="10">
        <f t="shared" si="26"/>
        <v>0</v>
      </c>
      <c r="R85" s="10">
        <f t="shared" si="26"/>
        <v>0</v>
      </c>
      <c r="S85" s="10">
        <f t="shared" si="26"/>
        <v>0</v>
      </c>
      <c r="T85" s="10">
        <f t="shared" si="26"/>
        <v>0</v>
      </c>
      <c r="U85" s="10"/>
      <c r="V85" s="10">
        <f t="shared" ref="V85:AB85" si="27">D85</f>
        <v>0</v>
      </c>
      <c r="W85" s="10">
        <f t="shared" si="27"/>
        <v>0</v>
      </c>
      <c r="X85" s="10">
        <f t="shared" si="27"/>
        <v>0</v>
      </c>
      <c r="Y85" s="10">
        <f t="shared" si="27"/>
        <v>0</v>
      </c>
      <c r="Z85" s="10">
        <f t="shared" si="27"/>
        <v>0</v>
      </c>
      <c r="AA85" s="10">
        <f t="shared" si="27"/>
        <v>0</v>
      </c>
      <c r="AB85" s="10">
        <f t="shared" si="27"/>
        <v>0</v>
      </c>
      <c r="AD85" s="6">
        <f>IF((D82&lt;&gt;"")*(D86=""),IF((D82&lt;=$B$441)*((D83&gt;=$C$441)+(D83&lt;2/24)),1,0),0)</f>
        <v>0</v>
      </c>
      <c r="AE85" s="6">
        <f>IF((E82&lt;&gt;"")*(E86=""),IF((E82&lt;=$B$441)*((E83&gt;=$C$441)+(E83&lt;2/24)),1,0),0)</f>
        <v>0</v>
      </c>
      <c r="AF85" s="6">
        <f>IF((F82&lt;&gt;"")*(F86=""),IF((F82&lt;=$B$441)*((F83&gt;=$C$441)+(F83&lt;2/24)),1,0),0)</f>
        <v>0</v>
      </c>
      <c r="AG85" s="6">
        <f>IF((G82&lt;&gt;"")*(G86=""),IF((G82&lt;=$B$441)*((G83&gt;=$C$441)+(G83&lt;2/24)),1,0),0)</f>
        <v>0</v>
      </c>
      <c r="AH85" s="6">
        <f>IF((H82&lt;&gt;"")*(H86=""),IF((H82&lt;=$B$441)*((H83&gt;=$C$441)+(H83&lt;2/24)),1,0),0)</f>
        <v>0</v>
      </c>
      <c r="AI85" s="6">
        <f>IF((I82&lt;&gt;"")*(I86=""),IF((I82&lt;=$B$441)*((I83&gt;=$C$441)+(I83&lt;2/24)),1,0),0)</f>
        <v>0</v>
      </c>
      <c r="AJ85" s="6">
        <f>IF((J82&lt;&gt;"")*(J86=""),IF((J82&lt;=$B$441)*((J83&gt;=$C$441)+(J83&lt;2/24)),1,0),0)</f>
        <v>0</v>
      </c>
    </row>
    <row r="86" spans="1:36" ht="13.5" hidden="1" thickBot="1" x14ac:dyDescent="0.25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  <c r="N86" s="6"/>
      <c r="O86" s="6"/>
      <c r="P86" s="6"/>
      <c r="Q86" s="6"/>
      <c r="R86" s="6"/>
      <c r="S86" s="6"/>
      <c r="T86" s="6"/>
      <c r="U86" s="6"/>
      <c r="V86" s="20"/>
      <c r="W86" s="20"/>
      <c r="X86" s="20"/>
      <c r="Y86" s="20"/>
      <c r="Z86" s="20"/>
      <c r="AA86" s="20"/>
      <c r="AB86" s="20"/>
      <c r="AD86" s="6">
        <f>IF((D82&lt;&gt;"")*(D86=""),IF((D82&lt;=$B$442)*((D83&gt;=$C$442)+(D83&lt;2/24)),1,0),0)</f>
        <v>0</v>
      </c>
      <c r="AE86" s="6">
        <f>IF((E82&lt;&gt;"")*(E86=""),IF((E82&lt;=$B$442)*((E83&gt;=$C$442)+(E83&lt;2/24)),1,0),0)</f>
        <v>0</v>
      </c>
      <c r="AF86" s="6">
        <f>IF((F82&lt;&gt;"")*(F86=""),IF((F82&lt;=$B$442)*((F83&gt;=$C$442)+(F83&lt;2/24)),1,0),0)</f>
        <v>0</v>
      </c>
      <c r="AG86" s="6">
        <f>IF((G82&lt;&gt;"")*(G86=""),IF((G82&lt;=$B$442)*((G83&gt;=$C$442)+(G83&lt;2/24)),1,0),0)</f>
        <v>0</v>
      </c>
      <c r="AH86" s="6">
        <f>IF((H82&lt;&gt;"")*(H86=""),IF((H82&lt;=$B$442)*((H83&gt;=$C$442)+(H83&lt;2/24)),1,0),0)</f>
        <v>0</v>
      </c>
      <c r="AI86" s="6">
        <f>IF((I82&lt;&gt;"")*(I86=""),IF((I82&lt;=$B$442)*((I83&gt;=$C$442)+(I83&lt;2/24)),1,0),0)</f>
        <v>0</v>
      </c>
      <c r="AJ86" s="6">
        <f>IF((J82&lt;&gt;"")*(J86=""),IF((J82&lt;=$B$442)*((J83&gt;=$C$442)+(J83&lt;2/24)),1,0),0)</f>
        <v>0</v>
      </c>
    </row>
    <row r="87" spans="1:36" ht="13.5" hidden="1" thickBot="1" x14ac:dyDescent="0.25">
      <c r="A87" s="41"/>
      <c r="B87" s="42"/>
      <c r="C87" s="35" t="s">
        <v>28</v>
      </c>
      <c r="D87" s="36"/>
      <c r="E87" s="36"/>
      <c r="F87" s="36"/>
      <c r="G87" s="36"/>
      <c r="H87" s="36"/>
      <c r="I87" s="36"/>
      <c r="J87" s="36"/>
      <c r="K87" s="34"/>
      <c r="L87" s="6"/>
      <c r="M87" s="25"/>
      <c r="N87" s="6"/>
      <c r="O87" s="6"/>
      <c r="P87" s="6"/>
      <c r="Q87" s="6"/>
      <c r="R87" s="6"/>
      <c r="S87" s="6"/>
      <c r="T87" s="6"/>
      <c r="U87" s="6"/>
      <c r="V87" s="20"/>
      <c r="W87" s="20"/>
      <c r="X87" s="20"/>
      <c r="Y87" s="20"/>
      <c r="Z87" s="20"/>
      <c r="AA87" s="20"/>
      <c r="AB87" s="20"/>
      <c r="AD87" s="6"/>
      <c r="AE87" s="6"/>
      <c r="AF87" s="6"/>
      <c r="AG87" s="6"/>
      <c r="AH87" s="6"/>
      <c r="AI87" s="6"/>
      <c r="AJ87" s="6"/>
    </row>
    <row r="88" spans="1:36" ht="13.5" hidden="1" thickBot="1" x14ac:dyDescent="0.25">
      <c r="A88" s="37" t="s">
        <v>29</v>
      </c>
      <c r="B88" s="38" t="s">
        <v>30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  <c r="L88" s="6"/>
      <c r="M88" s="21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D88" s="6">
        <f>IF((D88&lt;&gt;"")*(D92=""),IF((D88&lt;=$B$438)*((D89&gt;=$C$438)+(D89&lt;2/24)),1,0),0)</f>
        <v>0</v>
      </c>
      <c r="AE88" s="6">
        <f>IF((E88&lt;&gt;"")*(E92=""),IF((E88&lt;=$B$438)*((E89&gt;=$C$438)+(E89&lt;2/24)),1,0),0)</f>
        <v>0</v>
      </c>
      <c r="AF88" s="6">
        <f>IF((F88&lt;&gt;"")*(F92=""),IF((F88&lt;=$B$438)*((F89&gt;=$C$438)+(F89&lt;2/24)),1,0),0)</f>
        <v>0</v>
      </c>
      <c r="AG88" s="6">
        <f>IF((G88&lt;&gt;"")*(G92=""),IF((G88&lt;=$B$438)*((G89&gt;=$C$438)+(G89&lt;2/24)),1,0),0)</f>
        <v>0</v>
      </c>
      <c r="AH88" s="6">
        <f>IF((H88&lt;&gt;"")*(H92=""),IF((H88&lt;=$B$438)*((H89&gt;=$C$438)+(H89&lt;2/24)),1,0),0)</f>
        <v>0</v>
      </c>
      <c r="AI88" s="6">
        <f>IF((I88&lt;&gt;"")*(I92=""),IF((I88&lt;=$B$438)*((I89&gt;=$C$438)+(I89&lt;2/24)),1,0),0)</f>
        <v>0</v>
      </c>
      <c r="AJ88" s="6">
        <f>IF((J88&lt;&gt;"")*(J92=""),IF((J88&lt;=$B$438)*((J89&gt;=$C$438)+(J89&lt;2/24)),1,0),0)</f>
        <v>0</v>
      </c>
    </row>
    <row r="89" spans="1:36" ht="13.5" hidden="1" thickBot="1" x14ac:dyDescent="0.25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  <c r="L89" s="6"/>
      <c r="M89" s="21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D89" s="6">
        <f>IF((D88&lt;&gt;"")*(D92=""),IF((D88&lt;=$B$439)*((D89&gt;=$C$439)+(D89&lt;2/24)),1,0),0)</f>
        <v>0</v>
      </c>
      <c r="AE89" s="6">
        <f>IF((E88&lt;&gt;"")*(E92=""),IF((E88&lt;=$B$439)*((E89&gt;=$C$439)+(E89&lt;2/24)),1,0),0)</f>
        <v>0</v>
      </c>
      <c r="AF89" s="6">
        <f>IF((F88&lt;&gt;"")*(F92=""),IF((F88&lt;=$B$439)*((F89&gt;=$C$439)+(F89&lt;2/24)),1,0),0)</f>
        <v>0</v>
      </c>
      <c r="AG89" s="6">
        <f>IF((G88&lt;&gt;"")*(G92=""),IF((G88&lt;=$B$439)*((G89&gt;=$C$439)+(G89&lt;2/24)),1,0),0)</f>
        <v>0</v>
      </c>
      <c r="AH89" s="6">
        <f>IF((H88&lt;&gt;"")*(H92=""),IF((H88&lt;=$B$439)*((H89&gt;=$C$439)+(H89&lt;2/24)),1,0),0)</f>
        <v>0</v>
      </c>
      <c r="AI89" s="6">
        <f>IF((I88&lt;&gt;"")*(I92=""),IF((I88&lt;=$B$439)*((I89&gt;=$C$439)+(I89&lt;2/24)),1,0),0)</f>
        <v>0</v>
      </c>
      <c r="AJ89" s="6">
        <f>IF((J88&lt;&gt;"")*(J92=""),IF((J88&lt;=$B$439)*((J89&gt;=$C$439)+(J89&lt;2/24)),1,0),0)</f>
        <v>0</v>
      </c>
    </row>
    <row r="90" spans="1:36" ht="13.5" hidden="1" thickBot="1" x14ac:dyDescent="0.25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  <c r="L90" s="6"/>
      <c r="M90" s="21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D90" s="6">
        <f>IF((D88&lt;&gt;"")*(D92=""),IF((D88&lt;=$B$440)*((D89&gt;=$C$440)+(D89&lt;2/24)),1,0),0)</f>
        <v>0</v>
      </c>
      <c r="AE90" s="6">
        <f>IF((E88&lt;&gt;"")*(E92=""),IF((E88&lt;=$B$440)*((E89&gt;=$C$440)+(E89&lt;2/24)),1,0),0)</f>
        <v>0</v>
      </c>
      <c r="AF90" s="6">
        <f>IF((F88&lt;&gt;"")*(F92=""),IF((F88&lt;=$B$440)*((F89&gt;=$C$440)+(F89&lt;2/24)),1,0),0)</f>
        <v>0</v>
      </c>
      <c r="AG90" s="6">
        <f>IF((G88&lt;&gt;"")*(G92=""),IF((G88&lt;=$B$440)*((G89&gt;=$C$440)+(G89&lt;2/24)),1,0),0)</f>
        <v>0</v>
      </c>
      <c r="AH90" s="6">
        <f>IF((H88&lt;&gt;"")*(H92=""),IF((H88&lt;=$B$440)*((H89&gt;=$C$440)+(H89&lt;2/24)),1,0),0)</f>
        <v>0</v>
      </c>
      <c r="AI90" s="6">
        <f>IF((I88&lt;&gt;"")*(I92=""),IF((I88&lt;=$B$440)*((I89&gt;=$C$440)+(I89&lt;2/24)),1,0),0)</f>
        <v>0</v>
      </c>
      <c r="AJ90" s="6">
        <f>IF((J88&lt;&gt;"")*(J92=""),IF((J88&lt;=$B$440)*((J89&gt;=$C$440)+(J89&lt;2/24)),1,0),0)</f>
        <v>0</v>
      </c>
    </row>
    <row r="91" spans="1:36" ht="13.5" hidden="1" thickBot="1" x14ac:dyDescent="0.25">
      <c r="A91" s="39"/>
      <c r="B91" s="40"/>
      <c r="C91" s="15" t="s">
        <v>3</v>
      </c>
      <c r="D91" s="43"/>
      <c r="E91" s="43"/>
      <c r="F91" s="43"/>
      <c r="G91" s="43"/>
      <c r="H91" s="43"/>
      <c r="I91" s="43"/>
      <c r="J91" s="44"/>
      <c r="K91" s="18">
        <f>SUMIF(D92:J92,"",D91:J91)</f>
        <v>0</v>
      </c>
      <c r="L91" s="12">
        <f>SUM(D91:J91)</f>
        <v>0</v>
      </c>
      <c r="M91" s="24"/>
      <c r="N91" s="10">
        <f t="shared" ref="N91:T91" si="28">IF(D92="",D91,0)</f>
        <v>0</v>
      </c>
      <c r="O91" s="10">
        <f t="shared" si="28"/>
        <v>0</v>
      </c>
      <c r="P91" s="10">
        <f t="shared" si="28"/>
        <v>0</v>
      </c>
      <c r="Q91" s="10">
        <f t="shared" si="28"/>
        <v>0</v>
      </c>
      <c r="R91" s="10">
        <f t="shared" si="28"/>
        <v>0</v>
      </c>
      <c r="S91" s="10">
        <f t="shared" si="28"/>
        <v>0</v>
      </c>
      <c r="T91" s="10">
        <f t="shared" si="28"/>
        <v>0</v>
      </c>
      <c r="U91" s="10"/>
      <c r="V91" s="10">
        <f t="shared" ref="V91:AB91" si="29">D91</f>
        <v>0</v>
      </c>
      <c r="W91" s="10">
        <f t="shared" si="29"/>
        <v>0</v>
      </c>
      <c r="X91" s="10">
        <f t="shared" si="29"/>
        <v>0</v>
      </c>
      <c r="Y91" s="10">
        <f t="shared" si="29"/>
        <v>0</v>
      </c>
      <c r="Z91" s="10">
        <f t="shared" si="29"/>
        <v>0</v>
      </c>
      <c r="AA91" s="10">
        <f t="shared" si="29"/>
        <v>0</v>
      </c>
      <c r="AB91" s="10">
        <f t="shared" si="29"/>
        <v>0</v>
      </c>
      <c r="AD91" s="6">
        <f>IF((D88&lt;&gt;"")*(D92=""),IF((D88&lt;=$B$441)*((D89&gt;=$C$441)+(D89&lt;2/24)),1,0),0)</f>
        <v>0</v>
      </c>
      <c r="AE91" s="6">
        <f>IF((E88&lt;&gt;"")*(E92=""),IF((E88&lt;=$B$441)*((E89&gt;=$C$441)+(E89&lt;2/24)),1,0),0)</f>
        <v>0</v>
      </c>
      <c r="AF91" s="6">
        <f>IF((F88&lt;&gt;"")*(F92=""),IF((F88&lt;=$B$441)*((F89&gt;=$C$441)+(F89&lt;2/24)),1,0),0)</f>
        <v>0</v>
      </c>
      <c r="AG91" s="6">
        <f>IF((G88&lt;&gt;"")*(G92=""),IF((G88&lt;=$B$441)*((G89&gt;=$C$441)+(G89&lt;2/24)),1,0),0)</f>
        <v>0</v>
      </c>
      <c r="AH91" s="6">
        <f>IF((H88&lt;&gt;"")*(H92=""),IF((H88&lt;=$B$441)*((H89&gt;=$C$441)+(H89&lt;2/24)),1,0),0)</f>
        <v>0</v>
      </c>
      <c r="AI91" s="6">
        <f>IF((I88&lt;&gt;"")*(I92=""),IF((I88&lt;=$B$441)*((I89&gt;=$C$441)+(I89&lt;2/24)),1,0),0)</f>
        <v>0</v>
      </c>
      <c r="AJ91" s="6">
        <f>IF((J88&lt;&gt;"")*(J92=""),IF((J88&lt;=$B$441)*((J89&gt;=$C$441)+(J89&lt;2/24)),1,0),0)</f>
        <v>0</v>
      </c>
    </row>
    <row r="92" spans="1:36" ht="13.5" hidden="1" thickBot="1" x14ac:dyDescent="0.25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  <c r="N92" s="6"/>
      <c r="O92" s="6"/>
      <c r="P92" s="6"/>
      <c r="Q92" s="6"/>
      <c r="R92" s="6"/>
      <c r="S92" s="6"/>
      <c r="T92" s="6"/>
      <c r="U92" s="6"/>
      <c r="V92" s="20"/>
      <c r="W92" s="20"/>
      <c r="X92" s="20"/>
      <c r="Y92" s="20"/>
      <c r="Z92" s="20"/>
      <c r="AA92" s="20"/>
      <c r="AB92" s="20"/>
      <c r="AD92" s="6">
        <f>IF((D88&lt;&gt;"")*(D92=""),IF((D88&lt;=$B$442)*((D89&gt;=$C$442)+(D89&lt;2/24)),1,0),0)</f>
        <v>0</v>
      </c>
      <c r="AE92" s="6">
        <f>IF((E88&lt;&gt;"")*(E92=""),IF((E88&lt;=$B$442)*((E89&gt;=$C$442)+(E89&lt;2/24)),1,0),0)</f>
        <v>0</v>
      </c>
      <c r="AF92" s="6">
        <f>IF((F88&lt;&gt;"")*(F92=""),IF((F88&lt;=$B$442)*((F89&gt;=$C$442)+(F89&lt;2/24)),1,0),0)</f>
        <v>0</v>
      </c>
      <c r="AG92" s="6">
        <f>IF((G88&lt;&gt;"")*(G92=""),IF((G88&lt;=$B$442)*((G89&gt;=$C$442)+(G89&lt;2/24)),1,0),0)</f>
        <v>0</v>
      </c>
      <c r="AH92" s="6">
        <f>IF((H88&lt;&gt;"")*(H92=""),IF((H88&lt;=$B$442)*((H89&gt;=$C$442)+(H89&lt;2/24)),1,0),0)</f>
        <v>0</v>
      </c>
      <c r="AI92" s="6">
        <f>IF((I88&lt;&gt;"")*(I92=""),IF((I88&lt;=$B$442)*((I89&gt;=$C$442)+(I89&lt;2/24)),1,0),0)</f>
        <v>0</v>
      </c>
      <c r="AJ92" s="6">
        <f>IF((J88&lt;&gt;"")*(J92=""),IF((J88&lt;=$B$442)*((J89&gt;=$C$442)+(J89&lt;2/24)),1,0),0)</f>
        <v>0</v>
      </c>
    </row>
    <row r="93" spans="1:36" ht="13.5" hidden="1" thickBot="1" x14ac:dyDescent="0.25">
      <c r="A93" s="41"/>
      <c r="B93" s="42"/>
      <c r="C93" s="35" t="s">
        <v>28</v>
      </c>
      <c r="D93" s="36"/>
      <c r="E93" s="36"/>
      <c r="F93" s="36"/>
      <c r="G93" s="36"/>
      <c r="H93" s="36"/>
      <c r="I93" s="36"/>
      <c r="J93" s="36"/>
      <c r="K93" s="34"/>
      <c r="L93" s="6"/>
      <c r="M93" s="25"/>
      <c r="N93" s="6"/>
      <c r="O93" s="6"/>
      <c r="P93" s="6"/>
      <c r="Q93" s="6"/>
      <c r="R93" s="6"/>
      <c r="S93" s="6"/>
      <c r="T93" s="6"/>
      <c r="U93" s="6"/>
      <c r="V93" s="20"/>
      <c r="W93" s="20"/>
      <c r="X93" s="20"/>
      <c r="Y93" s="20"/>
      <c r="Z93" s="20"/>
      <c r="AA93" s="20"/>
      <c r="AB93" s="20"/>
      <c r="AD93" s="6"/>
      <c r="AE93" s="6"/>
      <c r="AF93" s="6"/>
      <c r="AG93" s="6"/>
      <c r="AH93" s="6"/>
      <c r="AI93" s="6"/>
      <c r="AJ93" s="6"/>
    </row>
    <row r="94" spans="1:36" ht="13.5" hidden="1" thickBot="1" x14ac:dyDescent="0.25">
      <c r="A94" s="37" t="s">
        <v>29</v>
      </c>
      <c r="B94" s="38" t="s">
        <v>30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  <c r="L94" s="6"/>
      <c r="M94" s="21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D94" s="6">
        <f>IF((D94&lt;&gt;"")*(D98=""),IF((D94&lt;=$B$438)*((D95&gt;=$C$438)+(D95&lt;2/24)),1,0),0)</f>
        <v>0</v>
      </c>
      <c r="AE94" s="6">
        <f>IF((E94&lt;&gt;"")*(E98=""),IF((E94&lt;=$B$438)*((E95&gt;=$C$438)+(E95&lt;2/24)),1,0),0)</f>
        <v>0</v>
      </c>
      <c r="AF94" s="6">
        <f>IF((F94&lt;&gt;"")*(F98=""),IF((F94&lt;=$B$438)*((F95&gt;=$C$438)+(F95&lt;2/24)),1,0),0)</f>
        <v>0</v>
      </c>
      <c r="AG94" s="6">
        <f>IF((G94&lt;&gt;"")*(G98=""),IF((G94&lt;=$B$438)*((G95&gt;=$C$438)+(G95&lt;2/24)),1,0),0)</f>
        <v>0</v>
      </c>
      <c r="AH94" s="6">
        <f>IF((H94&lt;&gt;"")*(H98=""),IF((H94&lt;=$B$438)*((H95&gt;=$C$438)+(H95&lt;2/24)),1,0),0)</f>
        <v>0</v>
      </c>
      <c r="AI94" s="6">
        <f>IF((I94&lt;&gt;"")*(I98=""),IF((I94&lt;=$B$438)*((I95&gt;=$C$438)+(I95&lt;2/24)),1,0),0)</f>
        <v>0</v>
      </c>
      <c r="AJ94" s="6">
        <f>IF((J94&lt;&gt;"")*(J98=""),IF((J94&lt;=$B$438)*((J95&gt;=$C$438)+(J95&lt;2/24)),1,0),0)</f>
        <v>0</v>
      </c>
    </row>
    <row r="95" spans="1:36" ht="13.5" hidden="1" thickBot="1" x14ac:dyDescent="0.25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  <c r="L95" s="6"/>
      <c r="M95" s="21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D95" s="6">
        <f>IF((D94&lt;&gt;"")*(D98=""),IF((D94&lt;=$B$439)*((D95&gt;=$C$439)+(D95&lt;2/24)),1,0),0)</f>
        <v>0</v>
      </c>
      <c r="AE95" s="6">
        <f>IF((E94&lt;&gt;"")*(E98=""),IF((E94&lt;=$B$439)*((E95&gt;=$C$439)+(E95&lt;2/24)),1,0),0)</f>
        <v>0</v>
      </c>
      <c r="AF95" s="6">
        <f>IF((F94&lt;&gt;"")*(F98=""),IF((F94&lt;=$B$439)*((F95&gt;=$C$439)+(F95&lt;2/24)),1,0),0)</f>
        <v>0</v>
      </c>
      <c r="AG95" s="6">
        <f>IF((G94&lt;&gt;"")*(G98=""),IF((G94&lt;=$B$439)*((G95&gt;=$C$439)+(G95&lt;2/24)),1,0),0)</f>
        <v>0</v>
      </c>
      <c r="AH95" s="6">
        <f>IF((H94&lt;&gt;"")*(H98=""),IF((H94&lt;=$B$439)*((H95&gt;=$C$439)+(H95&lt;2/24)),1,0),0)</f>
        <v>0</v>
      </c>
      <c r="AI95" s="6">
        <f>IF((I94&lt;&gt;"")*(I98=""),IF((I94&lt;=$B$439)*((I95&gt;=$C$439)+(I95&lt;2/24)),1,0),0)</f>
        <v>0</v>
      </c>
      <c r="AJ95" s="6">
        <f>IF((J94&lt;&gt;"")*(J98=""),IF((J94&lt;=$B$439)*((J95&gt;=$C$439)+(J95&lt;2/24)),1,0),0)</f>
        <v>0</v>
      </c>
    </row>
    <row r="96" spans="1:36" ht="13.5" hidden="1" thickBot="1" x14ac:dyDescent="0.25">
      <c r="A96" s="39"/>
      <c r="B96" s="40"/>
      <c r="C96" s="15" t="s">
        <v>2</v>
      </c>
      <c r="D96" s="4"/>
      <c r="E96" s="4"/>
      <c r="F96" s="4"/>
      <c r="G96" s="4"/>
      <c r="H96" s="4"/>
      <c r="I96" s="4"/>
      <c r="J96" s="4"/>
      <c r="K96" s="17"/>
      <c r="L96" s="6"/>
      <c r="M96" s="21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D96" s="6">
        <f>IF((D94&lt;&gt;"")*(D98=""),IF((D94&lt;=$B$440)*((D95&gt;=$C$440)+(D95&lt;2/24)),1,0),0)</f>
        <v>0</v>
      </c>
      <c r="AE96" s="6">
        <f>IF((E94&lt;&gt;"")*(E98=""),IF((E94&lt;=$B$440)*((E95&gt;=$C$440)+(E95&lt;2/24)),1,0),0)</f>
        <v>0</v>
      </c>
      <c r="AF96" s="6">
        <f>IF((F94&lt;&gt;"")*(F98=""),IF((F94&lt;=$B$440)*((F95&gt;=$C$440)+(F95&lt;2/24)),1,0),0)</f>
        <v>0</v>
      </c>
      <c r="AG96" s="6">
        <f>IF((G94&lt;&gt;"")*(G98=""),IF((G94&lt;=$B$440)*((G95&gt;=$C$440)+(G95&lt;2/24)),1,0),0)</f>
        <v>0</v>
      </c>
      <c r="AH96" s="6">
        <f>IF((H94&lt;&gt;"")*(H98=""),IF((H94&lt;=$B$440)*((H95&gt;=$C$440)+(H95&lt;2/24)),1,0),0)</f>
        <v>0</v>
      </c>
      <c r="AI96" s="6">
        <f>IF((I94&lt;&gt;"")*(I98=""),IF((I94&lt;=$B$440)*((I95&gt;=$C$440)+(I95&lt;2/24)),1,0),0)</f>
        <v>0</v>
      </c>
      <c r="AJ96" s="6">
        <f>IF((J94&lt;&gt;"")*(J98=""),IF((J94&lt;=$B$440)*((J95&gt;=$C$440)+(J95&lt;2/24)),1,0),0)</f>
        <v>0</v>
      </c>
    </row>
    <row r="97" spans="1:36" ht="13.5" hidden="1" thickBot="1" x14ac:dyDescent="0.25">
      <c r="A97" s="39"/>
      <c r="B97" s="40"/>
      <c r="C97" s="15" t="s">
        <v>3</v>
      </c>
      <c r="D97" s="43"/>
      <c r="E97" s="43"/>
      <c r="F97" s="43"/>
      <c r="G97" s="43"/>
      <c r="H97" s="43"/>
      <c r="I97" s="43"/>
      <c r="J97" s="44"/>
      <c r="K97" s="18">
        <f>SUMIF(D98:J98,"",D97:J97)</f>
        <v>0</v>
      </c>
      <c r="L97" s="12">
        <f>SUM(D97:J97)</f>
        <v>0</v>
      </c>
      <c r="M97" s="24"/>
      <c r="N97" s="10">
        <f t="shared" ref="N97:T97" si="30">IF(D98="",D97,0)</f>
        <v>0</v>
      </c>
      <c r="O97" s="10">
        <f t="shared" si="30"/>
        <v>0</v>
      </c>
      <c r="P97" s="10">
        <f t="shared" si="30"/>
        <v>0</v>
      </c>
      <c r="Q97" s="10">
        <f t="shared" si="30"/>
        <v>0</v>
      </c>
      <c r="R97" s="10">
        <f t="shared" si="30"/>
        <v>0</v>
      </c>
      <c r="S97" s="10">
        <f t="shared" si="30"/>
        <v>0</v>
      </c>
      <c r="T97" s="10">
        <f t="shared" si="30"/>
        <v>0</v>
      </c>
      <c r="U97" s="10"/>
      <c r="V97" s="10">
        <f t="shared" ref="V97:AB97" si="31">D97</f>
        <v>0</v>
      </c>
      <c r="W97" s="10">
        <f t="shared" si="31"/>
        <v>0</v>
      </c>
      <c r="X97" s="10">
        <f t="shared" si="31"/>
        <v>0</v>
      </c>
      <c r="Y97" s="10">
        <f t="shared" si="31"/>
        <v>0</v>
      </c>
      <c r="Z97" s="10">
        <f t="shared" si="31"/>
        <v>0</v>
      </c>
      <c r="AA97" s="10">
        <f t="shared" si="31"/>
        <v>0</v>
      </c>
      <c r="AB97" s="10">
        <f t="shared" si="31"/>
        <v>0</v>
      </c>
      <c r="AD97" s="6">
        <f>IF((D94&lt;&gt;"")*(D98=""),IF((D94&lt;=$B$441)*((D95&gt;=$C$441)+(D95&lt;2/24)),1,0),0)</f>
        <v>0</v>
      </c>
      <c r="AE97" s="6">
        <f>IF((E94&lt;&gt;"")*(E98=""),IF((E94&lt;=$B$441)*((E95&gt;=$C$441)+(E95&lt;2/24)),1,0),0)</f>
        <v>0</v>
      </c>
      <c r="AF97" s="6">
        <f>IF((F94&lt;&gt;"")*(F98=""),IF((F94&lt;=$B$441)*((F95&gt;=$C$441)+(F95&lt;2/24)),1,0),0)</f>
        <v>0</v>
      </c>
      <c r="AG97" s="6">
        <f>IF((G94&lt;&gt;"")*(G98=""),IF((G94&lt;=$B$441)*((G95&gt;=$C$441)+(G95&lt;2/24)),1,0),0)</f>
        <v>0</v>
      </c>
      <c r="AH97" s="6">
        <f>IF((H94&lt;&gt;"")*(H98=""),IF((H94&lt;=$B$441)*((H95&gt;=$C$441)+(H95&lt;2/24)),1,0),0)</f>
        <v>0</v>
      </c>
      <c r="AI97" s="6">
        <f>IF((I94&lt;&gt;"")*(I98=""),IF((I94&lt;=$B$441)*((I95&gt;=$C$441)+(I95&lt;2/24)),1,0),0)</f>
        <v>0</v>
      </c>
      <c r="AJ97" s="6">
        <f>IF((J94&lt;&gt;"")*(J98=""),IF((J94&lt;=$B$441)*((J95&gt;=$C$441)+(J95&lt;2/24)),1,0),0)</f>
        <v>0</v>
      </c>
    </row>
    <row r="98" spans="1:36" ht="13.5" hidden="1" thickBot="1" x14ac:dyDescent="0.25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  <c r="N98" s="6"/>
      <c r="O98" s="6"/>
      <c r="P98" s="6"/>
      <c r="Q98" s="6"/>
      <c r="R98" s="6"/>
      <c r="S98" s="6"/>
      <c r="T98" s="6"/>
      <c r="U98" s="6"/>
      <c r="V98" s="20"/>
      <c r="W98" s="20"/>
      <c r="X98" s="20"/>
      <c r="Y98" s="20"/>
      <c r="Z98" s="20"/>
      <c r="AA98" s="20"/>
      <c r="AB98" s="20"/>
      <c r="AD98" s="6">
        <f>IF((D94&lt;&gt;"")*(D98=""),IF((D94&lt;=$B$442)*((D95&gt;=$C$442)+(D95&lt;2/24)),1,0),0)</f>
        <v>0</v>
      </c>
      <c r="AE98" s="6">
        <f>IF((E94&lt;&gt;"")*(E98=""),IF((E94&lt;=$B$442)*((E95&gt;=$C$442)+(E95&lt;2/24)),1,0),0)</f>
        <v>0</v>
      </c>
      <c r="AF98" s="6">
        <f>IF((F94&lt;&gt;"")*(F98=""),IF((F94&lt;=$B$442)*((F95&gt;=$C$442)+(F95&lt;2/24)),1,0),0)</f>
        <v>0</v>
      </c>
      <c r="AG98" s="6">
        <f>IF((G94&lt;&gt;"")*(G98=""),IF((G94&lt;=$B$442)*((G95&gt;=$C$442)+(G95&lt;2/24)),1,0),0)</f>
        <v>0</v>
      </c>
      <c r="AH98" s="6">
        <f>IF((H94&lt;&gt;"")*(H98=""),IF((H94&lt;=$B$442)*((H95&gt;=$C$442)+(H95&lt;2/24)),1,0),0)</f>
        <v>0</v>
      </c>
      <c r="AI98" s="6">
        <f>IF((I94&lt;&gt;"")*(I98=""),IF((I94&lt;=$B$442)*((I95&gt;=$C$442)+(I95&lt;2/24)),1,0),0)</f>
        <v>0</v>
      </c>
      <c r="AJ98" s="6">
        <f>IF((J94&lt;&gt;"")*(J98=""),IF((J94&lt;=$B$442)*((J95&gt;=$C$442)+(J95&lt;2/24)),1,0),0)</f>
        <v>0</v>
      </c>
    </row>
    <row r="99" spans="1:36" ht="13.5" hidden="1" thickBot="1" x14ac:dyDescent="0.25">
      <c r="A99" s="41"/>
      <c r="B99" s="42"/>
      <c r="C99" s="35" t="s">
        <v>28</v>
      </c>
      <c r="D99" s="36"/>
      <c r="E99" s="36"/>
      <c r="F99" s="36"/>
      <c r="G99" s="36"/>
      <c r="H99" s="36"/>
      <c r="I99" s="36"/>
      <c r="J99" s="36"/>
      <c r="K99" s="34"/>
      <c r="L99" s="6"/>
      <c r="M99" s="25"/>
      <c r="N99" s="6"/>
      <c r="O99" s="6"/>
      <c r="P99" s="6"/>
      <c r="Q99" s="6"/>
      <c r="R99" s="6"/>
      <c r="S99" s="6"/>
      <c r="T99" s="6"/>
      <c r="U99" s="6"/>
      <c r="V99" s="20"/>
      <c r="W99" s="20"/>
      <c r="X99" s="20"/>
      <c r="Y99" s="20"/>
      <c r="Z99" s="20"/>
      <c r="AA99" s="20"/>
      <c r="AB99" s="20"/>
      <c r="AD99" s="6"/>
      <c r="AE99" s="6"/>
      <c r="AF99" s="6"/>
      <c r="AG99" s="6"/>
      <c r="AH99" s="6"/>
      <c r="AI99" s="6"/>
      <c r="AJ99" s="6"/>
    </row>
    <row r="100" spans="1:36" ht="13.5" hidden="1" thickBot="1" x14ac:dyDescent="0.25">
      <c r="A100" s="37" t="s">
        <v>29</v>
      </c>
      <c r="B100" s="38" t="s">
        <v>30</v>
      </c>
      <c r="C100" s="14" t="s">
        <v>0</v>
      </c>
      <c r="D100" s="26"/>
      <c r="E100" s="26"/>
      <c r="F100" s="26"/>
      <c r="G100" s="26"/>
      <c r="H100" s="26"/>
      <c r="I100" s="26"/>
      <c r="J100" s="26"/>
      <c r="K100" s="16"/>
      <c r="L100" s="6"/>
      <c r="M100" s="21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D100" s="6">
        <f>IF((D100&lt;&gt;"")*(D104=""),IF((D100&lt;=$B$438)*((D101&gt;=$C$438)+(D101&lt;2/24)),1,0),0)</f>
        <v>0</v>
      </c>
      <c r="AE100" s="6">
        <f>IF((E100&lt;&gt;"")*(E104=""),IF((E100&lt;=$B$438)*((E101&gt;=$C$438)+(E101&lt;2/24)),1,0),0)</f>
        <v>0</v>
      </c>
      <c r="AF100" s="6">
        <f>IF((F100&lt;&gt;"")*(F104=""),IF((F100&lt;=$B$438)*((F101&gt;=$C$438)+(F101&lt;2/24)),1,0),0)</f>
        <v>0</v>
      </c>
      <c r="AG100" s="6">
        <f>IF((G100&lt;&gt;"")*(G104=""),IF((G100&lt;=$B$438)*((G101&gt;=$C$438)+(G101&lt;2/24)),1,0),0)</f>
        <v>0</v>
      </c>
      <c r="AH100" s="6">
        <f>IF((H100&lt;&gt;"")*(H104=""),IF((H100&lt;=$B$438)*((H101&gt;=$C$438)+(H101&lt;2/24)),1,0),0)</f>
        <v>0</v>
      </c>
      <c r="AI100" s="6">
        <f>IF((I100&lt;&gt;"")*(I104=""),IF((I100&lt;=$B$438)*((I101&gt;=$C$438)+(I101&lt;2/24)),1,0),0)</f>
        <v>0</v>
      </c>
      <c r="AJ100" s="6">
        <f>IF((J100&lt;&gt;"")*(J104=""),IF((J100&lt;=$B$438)*((J101&gt;=$C$438)+(J101&lt;2/24)),1,0),0)</f>
        <v>0</v>
      </c>
    </row>
    <row r="101" spans="1:36" ht="13.5" hidden="1" thickBot="1" x14ac:dyDescent="0.25">
      <c r="A101" s="39"/>
      <c r="B101" s="40"/>
      <c r="C101" s="15" t="s">
        <v>1</v>
      </c>
      <c r="D101" s="27"/>
      <c r="E101" s="27"/>
      <c r="F101" s="27"/>
      <c r="G101" s="27"/>
      <c r="H101" s="27"/>
      <c r="I101" s="27"/>
      <c r="J101" s="27"/>
      <c r="K101" s="17"/>
      <c r="L101" s="6"/>
      <c r="M101" s="21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D101" s="6">
        <f>IF((D100&lt;&gt;"")*(D104=""),IF((D100&lt;=$B$439)*((D101&gt;=$C$439)+(D101&lt;2/24)),1,0),0)</f>
        <v>0</v>
      </c>
      <c r="AE101" s="6">
        <f>IF((E100&lt;&gt;"")*(E104=""),IF((E100&lt;=$B$439)*((E101&gt;=$C$439)+(E101&lt;2/24)),1,0),0)</f>
        <v>0</v>
      </c>
      <c r="AF101" s="6">
        <f>IF((F100&lt;&gt;"")*(F104=""),IF((F100&lt;=$B$439)*((F101&gt;=$C$439)+(F101&lt;2/24)),1,0),0)</f>
        <v>0</v>
      </c>
      <c r="AG101" s="6">
        <f>IF((G100&lt;&gt;"")*(G104=""),IF((G100&lt;=$B$439)*((G101&gt;=$C$439)+(G101&lt;2/24)),1,0),0)</f>
        <v>0</v>
      </c>
      <c r="AH101" s="6">
        <f>IF((H100&lt;&gt;"")*(H104=""),IF((H100&lt;=$B$439)*((H101&gt;=$C$439)+(H101&lt;2/24)),1,0),0)</f>
        <v>0</v>
      </c>
      <c r="AI101" s="6">
        <f>IF((I100&lt;&gt;"")*(I104=""),IF((I100&lt;=$B$439)*((I101&gt;=$C$439)+(I101&lt;2/24)),1,0),0)</f>
        <v>0</v>
      </c>
      <c r="AJ101" s="6">
        <f>IF((J100&lt;&gt;"")*(J104=""),IF((J100&lt;=$B$439)*((J101&gt;=$C$439)+(J101&lt;2/24)),1,0),0)</f>
        <v>0</v>
      </c>
    </row>
    <row r="102" spans="1:36" ht="13.5" hidden="1" thickBot="1" x14ac:dyDescent="0.25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  <c r="L102" s="6"/>
      <c r="M102" s="21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D102" s="6">
        <f>IF((D100&lt;&gt;"")*(D104=""),IF((D100&lt;=$B$440)*((D101&gt;=$C$440)+(D101&lt;2/24)),1,0),0)</f>
        <v>0</v>
      </c>
      <c r="AE102" s="6">
        <f>IF((E100&lt;&gt;"")*(E104=""),IF((E100&lt;=$B$440)*((E101&gt;=$C$440)+(E101&lt;2/24)),1,0),0)</f>
        <v>0</v>
      </c>
      <c r="AF102" s="6">
        <f>IF((F100&lt;&gt;"")*(F104=""),IF((F100&lt;=$B$440)*((F101&gt;=$C$440)+(F101&lt;2/24)),1,0),0)</f>
        <v>0</v>
      </c>
      <c r="AG102" s="6">
        <f>IF((G100&lt;&gt;"")*(G104=""),IF((G100&lt;=$B$440)*((G101&gt;=$C$440)+(G101&lt;2/24)),1,0),0)</f>
        <v>0</v>
      </c>
      <c r="AH102" s="6">
        <f>IF((H100&lt;&gt;"")*(H104=""),IF((H100&lt;=$B$440)*((H101&gt;=$C$440)+(H101&lt;2/24)),1,0),0)</f>
        <v>0</v>
      </c>
      <c r="AI102" s="6">
        <f>IF((I100&lt;&gt;"")*(I104=""),IF((I100&lt;=$B$440)*((I101&gt;=$C$440)+(I101&lt;2/24)),1,0),0)</f>
        <v>0</v>
      </c>
      <c r="AJ102" s="6">
        <f>IF((J100&lt;&gt;"")*(J104=""),IF((J100&lt;=$B$440)*((J101&gt;=$C$440)+(J101&lt;2/24)),1,0),0)</f>
        <v>0</v>
      </c>
    </row>
    <row r="103" spans="1:36" ht="13.5" hidden="1" thickBot="1" x14ac:dyDescent="0.25">
      <c r="A103" s="39"/>
      <c r="B103" s="40"/>
      <c r="C103" s="15" t="s">
        <v>3</v>
      </c>
      <c r="D103" s="43"/>
      <c r="E103" s="43"/>
      <c r="F103" s="43"/>
      <c r="G103" s="43"/>
      <c r="H103" s="43"/>
      <c r="I103" s="43"/>
      <c r="J103" s="44"/>
      <c r="K103" s="18">
        <f>SUMIF(D104:J104,"",D103:J103)</f>
        <v>0</v>
      </c>
      <c r="L103" s="12">
        <f>SUM(D103:J103)</f>
        <v>0</v>
      </c>
      <c r="M103" s="24"/>
      <c r="N103" s="10">
        <f t="shared" ref="N103:T103" si="32">IF(D104="",D103,0)</f>
        <v>0</v>
      </c>
      <c r="O103" s="10">
        <f t="shared" si="32"/>
        <v>0</v>
      </c>
      <c r="P103" s="10">
        <f t="shared" si="32"/>
        <v>0</v>
      </c>
      <c r="Q103" s="10">
        <f t="shared" si="32"/>
        <v>0</v>
      </c>
      <c r="R103" s="10">
        <f t="shared" si="32"/>
        <v>0</v>
      </c>
      <c r="S103" s="10">
        <f t="shared" si="32"/>
        <v>0</v>
      </c>
      <c r="T103" s="10">
        <f t="shared" si="32"/>
        <v>0</v>
      </c>
      <c r="U103" s="10"/>
      <c r="V103" s="10">
        <f t="shared" ref="V103:AB103" si="33">D103</f>
        <v>0</v>
      </c>
      <c r="W103" s="10">
        <f t="shared" si="33"/>
        <v>0</v>
      </c>
      <c r="X103" s="10">
        <f t="shared" si="33"/>
        <v>0</v>
      </c>
      <c r="Y103" s="10">
        <f t="shared" si="33"/>
        <v>0</v>
      </c>
      <c r="Z103" s="10">
        <f t="shared" si="33"/>
        <v>0</v>
      </c>
      <c r="AA103" s="10">
        <f t="shared" si="33"/>
        <v>0</v>
      </c>
      <c r="AB103" s="10">
        <f t="shared" si="33"/>
        <v>0</v>
      </c>
      <c r="AD103" s="6">
        <f>IF((D100&lt;&gt;"")*(D104=""),IF((D100&lt;=$B$441)*((D101&gt;=$C$441)+(D101&lt;2/24)),1,0),0)</f>
        <v>0</v>
      </c>
      <c r="AE103" s="6">
        <f>IF((E100&lt;&gt;"")*(E104=""),IF((E100&lt;=$B$441)*((E101&gt;=$C$441)+(E101&lt;2/24)),1,0),0)</f>
        <v>0</v>
      </c>
      <c r="AF103" s="6">
        <f>IF((F100&lt;&gt;"")*(F104=""),IF((F100&lt;=$B$441)*((F101&gt;=$C$441)+(F101&lt;2/24)),1,0),0)</f>
        <v>0</v>
      </c>
      <c r="AG103" s="6">
        <f>IF((G100&lt;&gt;"")*(G104=""),IF((G100&lt;=$B$441)*((G101&gt;=$C$441)+(G101&lt;2/24)),1,0),0)</f>
        <v>0</v>
      </c>
      <c r="AH103" s="6">
        <f>IF((H100&lt;&gt;"")*(H104=""),IF((H100&lt;=$B$441)*((H101&gt;=$C$441)+(H101&lt;2/24)),1,0),0)</f>
        <v>0</v>
      </c>
      <c r="AI103" s="6">
        <f>IF((I100&lt;&gt;"")*(I104=""),IF((I100&lt;=$B$441)*((I101&gt;=$C$441)+(I101&lt;2/24)),1,0),0)</f>
        <v>0</v>
      </c>
      <c r="AJ103" s="6">
        <f>IF((J100&lt;&gt;"")*(J104=""),IF((J100&lt;=$B$441)*((J101&gt;=$C$441)+(J101&lt;2/24)),1,0),0)</f>
        <v>0</v>
      </c>
    </row>
    <row r="104" spans="1:36" ht="13.5" hidden="1" thickBot="1" x14ac:dyDescent="0.25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  <c r="N104" s="6"/>
      <c r="O104" s="6"/>
      <c r="P104" s="6"/>
      <c r="Q104" s="6"/>
      <c r="R104" s="6"/>
      <c r="S104" s="6"/>
      <c r="T104" s="6"/>
      <c r="U104" s="6"/>
      <c r="V104" s="20"/>
      <c r="W104" s="20"/>
      <c r="X104" s="20"/>
      <c r="Y104" s="20"/>
      <c r="Z104" s="20"/>
      <c r="AA104" s="20"/>
      <c r="AB104" s="20"/>
      <c r="AD104" s="6">
        <f>IF((D100&lt;&gt;"")*(D104=""),IF((D100&lt;=$B$442)*((D101&gt;=$C$442)+(D101&lt;2/24)),1,0),0)</f>
        <v>0</v>
      </c>
      <c r="AE104" s="6">
        <f>IF((E100&lt;&gt;"")*(E104=""),IF((E100&lt;=$B$442)*((E101&gt;=$C$442)+(E101&lt;2/24)),1,0),0)</f>
        <v>0</v>
      </c>
      <c r="AF104" s="6">
        <f>IF((F100&lt;&gt;"")*(F104=""),IF((F100&lt;=$B$442)*((F101&gt;=$C$442)+(F101&lt;2/24)),1,0),0)</f>
        <v>0</v>
      </c>
      <c r="AG104" s="6">
        <f>IF((G100&lt;&gt;"")*(G104=""),IF((G100&lt;=$B$442)*((G101&gt;=$C$442)+(G101&lt;2/24)),1,0),0)</f>
        <v>0</v>
      </c>
      <c r="AH104" s="6">
        <f>IF((H100&lt;&gt;"")*(H104=""),IF((H100&lt;=$B$442)*((H101&gt;=$C$442)+(H101&lt;2/24)),1,0),0)</f>
        <v>0</v>
      </c>
      <c r="AI104" s="6">
        <f>IF((I100&lt;&gt;"")*(I104=""),IF((I100&lt;=$B$442)*((I101&gt;=$C$442)+(I101&lt;2/24)),1,0),0)</f>
        <v>0</v>
      </c>
      <c r="AJ104" s="6">
        <f>IF((J100&lt;&gt;"")*(J104=""),IF((J100&lt;=$B$442)*((J101&gt;=$C$442)+(J101&lt;2/24)),1,0),0)</f>
        <v>0</v>
      </c>
    </row>
    <row r="105" spans="1:36" ht="13.5" hidden="1" thickBot="1" x14ac:dyDescent="0.25">
      <c r="A105" s="41"/>
      <c r="B105" s="42"/>
      <c r="C105" s="35" t="s">
        <v>28</v>
      </c>
      <c r="D105" s="36"/>
      <c r="E105" s="36"/>
      <c r="F105" s="36"/>
      <c r="G105" s="36"/>
      <c r="H105" s="36"/>
      <c r="I105" s="36"/>
      <c r="J105" s="36"/>
      <c r="K105" s="34"/>
      <c r="L105" s="6"/>
      <c r="M105" s="25"/>
      <c r="N105" s="6"/>
      <c r="O105" s="6"/>
      <c r="P105" s="6"/>
      <c r="Q105" s="6"/>
      <c r="R105" s="6"/>
      <c r="S105" s="6"/>
      <c r="T105" s="6"/>
      <c r="U105" s="6"/>
      <c r="V105" s="20"/>
      <c r="W105" s="20"/>
      <c r="X105" s="20"/>
      <c r="Y105" s="20"/>
      <c r="Z105" s="20"/>
      <c r="AA105" s="20"/>
      <c r="AB105" s="20"/>
      <c r="AD105" s="6"/>
      <c r="AE105" s="6"/>
      <c r="AF105" s="6"/>
      <c r="AG105" s="6"/>
      <c r="AH105" s="6"/>
      <c r="AI105" s="6"/>
      <c r="AJ105" s="6"/>
    </row>
    <row r="106" spans="1:36" ht="13.5" hidden="1" thickBot="1" x14ac:dyDescent="0.25">
      <c r="A106" s="37" t="s">
        <v>29</v>
      </c>
      <c r="B106" s="38" t="s">
        <v>30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  <c r="L106" s="6"/>
      <c r="M106" s="21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D106" s="6">
        <f>IF((D106&lt;&gt;"")*(D110=""),IF((D106&lt;=$B$438)*((D107&gt;=$C$438)+(D107&lt;2/24)),1,0),0)</f>
        <v>0</v>
      </c>
      <c r="AE106" s="6">
        <f>IF((E106&lt;&gt;"")*(E110=""),IF((E106&lt;=$B$438)*((E107&gt;=$C$438)+(E107&lt;2/24)),1,0),0)</f>
        <v>0</v>
      </c>
      <c r="AF106" s="6">
        <f>IF((F106&lt;&gt;"")*(F110=""),IF((F106&lt;=$B$438)*((F107&gt;=$C$438)+(F107&lt;2/24)),1,0),0)</f>
        <v>0</v>
      </c>
      <c r="AG106" s="6">
        <f>IF((G106&lt;&gt;"")*(G110=""),IF((G106&lt;=$B$438)*((G107&gt;=$C$438)+(G107&lt;2/24)),1,0),0)</f>
        <v>0</v>
      </c>
      <c r="AH106" s="6">
        <f>IF((H106&lt;&gt;"")*(H110=""),IF((H106&lt;=$B$438)*((H107&gt;=$C$438)+(H107&lt;2/24)),1,0),0)</f>
        <v>0</v>
      </c>
      <c r="AI106" s="6">
        <f>IF((I106&lt;&gt;"")*(I110=""),IF((I106&lt;=$B$438)*((I107&gt;=$C$438)+(I107&lt;2/24)),1,0),0)</f>
        <v>0</v>
      </c>
      <c r="AJ106" s="6">
        <f>IF((J106&lt;&gt;"")*(J110=""),IF((J106&lt;=$B$438)*((J107&gt;=$C$438)+(J107&lt;2/24)),1,0),0)</f>
        <v>0</v>
      </c>
    </row>
    <row r="107" spans="1:36" ht="13.5" hidden="1" thickBot="1" x14ac:dyDescent="0.25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  <c r="L107" s="6"/>
      <c r="M107" s="21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D107" s="6">
        <f>IF((D106&lt;&gt;"")*(D110=""),IF((D106&lt;=$B$439)*((D107&gt;=$C$439)+(D107&lt;2/24)),1,0),0)</f>
        <v>0</v>
      </c>
      <c r="AE107" s="6">
        <f>IF((E106&lt;&gt;"")*(E110=""),IF((E106&lt;=$B$439)*((E107&gt;=$C$439)+(E107&lt;2/24)),1,0),0)</f>
        <v>0</v>
      </c>
      <c r="AF107" s="6">
        <f>IF((F106&lt;&gt;"")*(F110=""),IF((F106&lt;=$B$439)*((F107&gt;=$C$439)+(F107&lt;2/24)),1,0),0)</f>
        <v>0</v>
      </c>
      <c r="AG107" s="6">
        <f>IF((G106&lt;&gt;"")*(G110=""),IF((G106&lt;=$B$439)*((G107&gt;=$C$439)+(G107&lt;2/24)),1,0),0)</f>
        <v>0</v>
      </c>
      <c r="AH107" s="6">
        <f>IF((H106&lt;&gt;"")*(H110=""),IF((H106&lt;=$B$439)*((H107&gt;=$C$439)+(H107&lt;2/24)),1,0),0)</f>
        <v>0</v>
      </c>
      <c r="AI107" s="6">
        <f>IF((I106&lt;&gt;"")*(I110=""),IF((I106&lt;=$B$439)*((I107&gt;=$C$439)+(I107&lt;2/24)),1,0),0)</f>
        <v>0</v>
      </c>
      <c r="AJ107" s="6">
        <f>IF((J106&lt;&gt;"")*(J110=""),IF((J106&lt;=$B$439)*((J107&gt;=$C$439)+(J107&lt;2/24)),1,0),0)</f>
        <v>0</v>
      </c>
    </row>
    <row r="108" spans="1:36" ht="13.5" hidden="1" thickBot="1" x14ac:dyDescent="0.25">
      <c r="A108" s="39"/>
      <c r="B108" s="40"/>
      <c r="C108" s="15" t="s">
        <v>2</v>
      </c>
      <c r="D108" s="4"/>
      <c r="E108" s="4"/>
      <c r="F108" s="4"/>
      <c r="G108" s="4"/>
      <c r="H108" s="4"/>
      <c r="I108" s="4"/>
      <c r="J108" s="4"/>
      <c r="K108" s="17"/>
      <c r="L108" s="6"/>
      <c r="M108" s="21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D108" s="6">
        <f>IF((D106&lt;&gt;"")*(D110=""),IF((D106&lt;=$B$440)*((D107&gt;=$C$440)+(D107&lt;2/24)),1,0),0)</f>
        <v>0</v>
      </c>
      <c r="AE108" s="6">
        <f>IF((E106&lt;&gt;"")*(E110=""),IF((E106&lt;=$B$440)*((E107&gt;=$C$440)+(E107&lt;2/24)),1,0),0)</f>
        <v>0</v>
      </c>
      <c r="AF108" s="6">
        <f>IF((F106&lt;&gt;"")*(F110=""),IF((F106&lt;=$B$440)*((F107&gt;=$C$440)+(F107&lt;2/24)),1,0),0)</f>
        <v>0</v>
      </c>
      <c r="AG108" s="6">
        <f>IF((G106&lt;&gt;"")*(G110=""),IF((G106&lt;=$B$440)*((G107&gt;=$C$440)+(G107&lt;2/24)),1,0),0)</f>
        <v>0</v>
      </c>
      <c r="AH108" s="6">
        <f>IF((H106&lt;&gt;"")*(H110=""),IF((H106&lt;=$B$440)*((H107&gt;=$C$440)+(H107&lt;2/24)),1,0),0)</f>
        <v>0</v>
      </c>
      <c r="AI108" s="6">
        <f>IF((I106&lt;&gt;"")*(I110=""),IF((I106&lt;=$B$440)*((I107&gt;=$C$440)+(I107&lt;2/24)),1,0),0)</f>
        <v>0</v>
      </c>
      <c r="AJ108" s="6">
        <f>IF((J106&lt;&gt;"")*(J110=""),IF((J106&lt;=$B$440)*((J107&gt;=$C$440)+(J107&lt;2/24)),1,0),0)</f>
        <v>0</v>
      </c>
    </row>
    <row r="109" spans="1:36" ht="13.5" hidden="1" thickBot="1" x14ac:dyDescent="0.25">
      <c r="A109" s="39"/>
      <c r="B109" s="40"/>
      <c r="C109" s="15" t="s">
        <v>3</v>
      </c>
      <c r="D109" s="43"/>
      <c r="E109" s="43"/>
      <c r="F109" s="43"/>
      <c r="G109" s="43"/>
      <c r="H109" s="43"/>
      <c r="I109" s="43"/>
      <c r="J109" s="44"/>
      <c r="K109" s="18">
        <f>SUMIF(D110:J110,"",D109:J109)</f>
        <v>0</v>
      </c>
      <c r="L109" s="12">
        <f>SUM(D109:J109)</f>
        <v>0</v>
      </c>
      <c r="M109" s="24"/>
      <c r="N109" s="10">
        <f t="shared" ref="N109:T109" si="34">IF(D110="",D109,0)</f>
        <v>0</v>
      </c>
      <c r="O109" s="10">
        <f t="shared" si="34"/>
        <v>0</v>
      </c>
      <c r="P109" s="10">
        <f t="shared" si="34"/>
        <v>0</v>
      </c>
      <c r="Q109" s="10">
        <f t="shared" si="34"/>
        <v>0</v>
      </c>
      <c r="R109" s="10">
        <f t="shared" si="34"/>
        <v>0</v>
      </c>
      <c r="S109" s="10">
        <f t="shared" si="34"/>
        <v>0</v>
      </c>
      <c r="T109" s="10">
        <f t="shared" si="34"/>
        <v>0</v>
      </c>
      <c r="U109" s="10"/>
      <c r="V109" s="10">
        <f t="shared" ref="V109:AB109" si="35">D109</f>
        <v>0</v>
      </c>
      <c r="W109" s="10">
        <f t="shared" si="35"/>
        <v>0</v>
      </c>
      <c r="X109" s="10">
        <f t="shared" si="35"/>
        <v>0</v>
      </c>
      <c r="Y109" s="10">
        <f t="shared" si="35"/>
        <v>0</v>
      </c>
      <c r="Z109" s="10">
        <f t="shared" si="35"/>
        <v>0</v>
      </c>
      <c r="AA109" s="10">
        <f t="shared" si="35"/>
        <v>0</v>
      </c>
      <c r="AB109" s="10">
        <f t="shared" si="35"/>
        <v>0</v>
      </c>
      <c r="AD109" s="6">
        <f>IF((D106&lt;&gt;"")*(D110=""),IF((D106&lt;=$B$441)*((D107&gt;=$C$441)+(D107&lt;2/24)),1,0),0)</f>
        <v>0</v>
      </c>
      <c r="AE109" s="6">
        <f>IF((E106&lt;&gt;"")*(E110=""),IF((E106&lt;=$B$441)*((E107&gt;=$C$441)+(E107&lt;2/24)),1,0),0)</f>
        <v>0</v>
      </c>
      <c r="AF109" s="6">
        <f>IF((F106&lt;&gt;"")*(F110=""),IF((F106&lt;=$B$441)*((F107&gt;=$C$441)+(F107&lt;2/24)),1,0),0)</f>
        <v>0</v>
      </c>
      <c r="AG109" s="6">
        <f>IF((G106&lt;&gt;"")*(G110=""),IF((G106&lt;=$B$441)*((G107&gt;=$C$441)+(G107&lt;2/24)),1,0),0)</f>
        <v>0</v>
      </c>
      <c r="AH109" s="6">
        <f>IF((H106&lt;&gt;"")*(H110=""),IF((H106&lt;=$B$441)*((H107&gt;=$C$441)+(H107&lt;2/24)),1,0),0)</f>
        <v>0</v>
      </c>
      <c r="AI109" s="6">
        <f>IF((I106&lt;&gt;"")*(I110=""),IF((I106&lt;=$B$441)*((I107&gt;=$C$441)+(I107&lt;2/24)),1,0),0)</f>
        <v>0</v>
      </c>
      <c r="AJ109" s="6">
        <f>IF((J106&lt;&gt;"")*(J110=""),IF((J106&lt;=$B$441)*((J107&gt;=$C$441)+(J107&lt;2/24)),1,0),0)</f>
        <v>0</v>
      </c>
    </row>
    <row r="110" spans="1:36" ht="13.5" hidden="1" thickBot="1" x14ac:dyDescent="0.25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  <c r="N110" s="6"/>
      <c r="O110" s="6"/>
      <c r="P110" s="6"/>
      <c r="Q110" s="6"/>
      <c r="R110" s="6"/>
      <c r="S110" s="6"/>
      <c r="T110" s="6"/>
      <c r="U110" s="6"/>
      <c r="V110" s="20"/>
      <c r="W110" s="20"/>
      <c r="X110" s="20"/>
      <c r="Y110" s="20"/>
      <c r="Z110" s="20"/>
      <c r="AA110" s="20"/>
      <c r="AB110" s="20"/>
      <c r="AD110" s="6">
        <f>IF((D106&lt;&gt;"")*(D110=""),IF((D106&lt;=$B$442)*((D107&gt;=$C$442)+(D107&lt;2/24)),1,0),0)</f>
        <v>0</v>
      </c>
      <c r="AE110" s="6">
        <f>IF((E106&lt;&gt;"")*(E110=""),IF((E106&lt;=$B$442)*((E107&gt;=$C$442)+(E107&lt;2/24)),1,0),0)</f>
        <v>0</v>
      </c>
      <c r="AF110" s="6">
        <f>IF((F106&lt;&gt;"")*(F110=""),IF((F106&lt;=$B$442)*((F107&gt;=$C$442)+(F107&lt;2/24)),1,0),0)</f>
        <v>0</v>
      </c>
      <c r="AG110" s="6">
        <f>IF((G106&lt;&gt;"")*(G110=""),IF((G106&lt;=$B$442)*((G107&gt;=$C$442)+(G107&lt;2/24)),1,0),0)</f>
        <v>0</v>
      </c>
      <c r="AH110" s="6">
        <f>IF((H106&lt;&gt;"")*(H110=""),IF((H106&lt;=$B$442)*((H107&gt;=$C$442)+(H107&lt;2/24)),1,0),0)</f>
        <v>0</v>
      </c>
      <c r="AI110" s="6">
        <f>IF((I106&lt;&gt;"")*(I110=""),IF((I106&lt;=$B$442)*((I107&gt;=$C$442)+(I107&lt;2/24)),1,0),0)</f>
        <v>0</v>
      </c>
      <c r="AJ110" s="6">
        <f>IF((J106&lt;&gt;"")*(J110=""),IF((J106&lt;=$B$442)*((J107&gt;=$C$442)+(J107&lt;2/24)),1,0),0)</f>
        <v>0</v>
      </c>
    </row>
    <row r="111" spans="1:36" ht="13.5" hidden="1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  <c r="L111" s="6"/>
      <c r="M111" s="25"/>
      <c r="N111" s="6"/>
      <c r="O111" s="6"/>
      <c r="P111" s="6"/>
      <c r="Q111" s="6"/>
      <c r="R111" s="6"/>
      <c r="S111" s="6"/>
      <c r="T111" s="6"/>
      <c r="U111" s="6"/>
      <c r="V111" s="20"/>
      <c r="W111" s="20"/>
      <c r="X111" s="20"/>
      <c r="Y111" s="20"/>
      <c r="Z111" s="20"/>
      <c r="AA111" s="20"/>
      <c r="AB111" s="20"/>
      <c r="AD111" s="6"/>
      <c r="AE111" s="6"/>
      <c r="AF111" s="6"/>
      <c r="AG111" s="6"/>
      <c r="AH111" s="6"/>
      <c r="AI111" s="6"/>
      <c r="AJ111" s="6"/>
    </row>
    <row r="112" spans="1:36" ht="13.5" hidden="1" thickBot="1" x14ac:dyDescent="0.25">
      <c r="A112" s="37" t="s">
        <v>29</v>
      </c>
      <c r="B112" s="38" t="s">
        <v>30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D112" s="6">
        <f>IF((D112&lt;&gt;"")*(D116=""),IF((D112&lt;=$B$438)*((D113&gt;=$C$438)+(D113&lt;2/24)),1,0),0)</f>
        <v>0</v>
      </c>
      <c r="AE112" s="6">
        <f>IF((E112&lt;&gt;"")*(E116=""),IF((E112&lt;=$B$438)*((E113&gt;=$C$438)+(E113&lt;2/24)),1,0),0)</f>
        <v>0</v>
      </c>
      <c r="AF112" s="6">
        <f>IF((F112&lt;&gt;"")*(F116=""),IF((F112&lt;=$B$438)*((F113&gt;=$C$438)+(F113&lt;2/24)),1,0),0)</f>
        <v>0</v>
      </c>
      <c r="AG112" s="6">
        <f>IF((G112&lt;&gt;"")*(G116=""),IF((G112&lt;=$B$438)*((G113&gt;=$C$438)+(G113&lt;2/24)),1,0),0)</f>
        <v>0</v>
      </c>
      <c r="AH112" s="6">
        <f>IF((H112&lt;&gt;"")*(H116=""),IF((H112&lt;=$B$438)*((H113&gt;=$C$438)+(H113&lt;2/24)),1,0),0)</f>
        <v>0</v>
      </c>
      <c r="AI112" s="6">
        <f>IF((I112&lt;&gt;"")*(I116=""),IF((I112&lt;=$B$438)*((I113&gt;=$C$438)+(I113&lt;2/24)),1,0),0)</f>
        <v>0</v>
      </c>
      <c r="AJ112" s="6">
        <f>IF((J112&lt;&gt;"")*(J116=""),IF((J112&lt;=$B$438)*((J113&gt;=$C$438)+(J113&lt;2/24)),1,0),0)</f>
        <v>0</v>
      </c>
    </row>
    <row r="113" spans="1:36" ht="13.5" hidden="1" thickBot="1" x14ac:dyDescent="0.25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D113" s="6">
        <f>IF((D112&lt;&gt;"")*(D116=""),IF((D112&lt;=$B$439)*((D113&gt;=$C$439)+(D113&lt;2/24)),1,0),0)</f>
        <v>0</v>
      </c>
      <c r="AE113" s="6">
        <f>IF((E112&lt;&gt;"")*(E116=""),IF((E112&lt;=$B$439)*((E113&gt;=$C$439)+(E113&lt;2/24)),1,0),0)</f>
        <v>0</v>
      </c>
      <c r="AF113" s="6">
        <f>IF((F112&lt;&gt;"")*(F116=""),IF((F112&lt;=$B$439)*((F113&gt;=$C$439)+(F113&lt;2/24)),1,0),0)</f>
        <v>0</v>
      </c>
      <c r="AG113" s="6">
        <f>IF((G112&lt;&gt;"")*(G116=""),IF((G112&lt;=$B$439)*((G113&gt;=$C$439)+(G113&lt;2/24)),1,0),0)</f>
        <v>0</v>
      </c>
      <c r="AH113" s="6">
        <f>IF((H112&lt;&gt;"")*(H116=""),IF((H112&lt;=$B$439)*((H113&gt;=$C$439)+(H113&lt;2/24)),1,0),0)</f>
        <v>0</v>
      </c>
      <c r="AI113" s="6">
        <f>IF((I112&lt;&gt;"")*(I116=""),IF((I112&lt;=$B$439)*((I113&gt;=$C$439)+(I113&lt;2/24)),1,0),0)</f>
        <v>0</v>
      </c>
      <c r="AJ113" s="6">
        <f>IF((J112&lt;&gt;"")*(J116=""),IF((J112&lt;=$B$439)*((J113&gt;=$C$439)+(J113&lt;2/24)),1,0),0)</f>
        <v>0</v>
      </c>
    </row>
    <row r="114" spans="1:36" ht="13.5" hidden="1" thickBot="1" x14ac:dyDescent="0.25">
      <c r="A114" s="39"/>
      <c r="B114" s="40"/>
      <c r="C114" s="15" t="s">
        <v>2</v>
      </c>
      <c r="D114" s="4"/>
      <c r="E114" s="4"/>
      <c r="F114" s="4"/>
      <c r="G114" s="4"/>
      <c r="H114" s="4"/>
      <c r="I114" s="4"/>
      <c r="J114" s="4"/>
      <c r="K114" s="17"/>
      <c r="L114" s="6"/>
      <c r="M114" s="21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D114" s="6">
        <f>IF((D112&lt;&gt;"")*(D116=""),IF((D112&lt;=$B$440)*((D113&gt;=$C$440)+(D113&lt;2/24)),1,0),0)</f>
        <v>0</v>
      </c>
      <c r="AE114" s="6">
        <f>IF((E112&lt;&gt;"")*(E116=""),IF((E112&lt;=$B$440)*((E113&gt;=$C$440)+(E113&lt;2/24)),1,0),0)</f>
        <v>0</v>
      </c>
      <c r="AF114" s="6">
        <f>IF((F112&lt;&gt;"")*(F116=""),IF((F112&lt;=$B$440)*((F113&gt;=$C$440)+(F113&lt;2/24)),1,0),0)</f>
        <v>0</v>
      </c>
      <c r="AG114" s="6">
        <f>IF((G112&lt;&gt;"")*(G116=""),IF((G112&lt;=$B$440)*((G113&gt;=$C$440)+(G113&lt;2/24)),1,0),0)</f>
        <v>0</v>
      </c>
      <c r="AH114" s="6">
        <f>IF((H112&lt;&gt;"")*(H116=""),IF((H112&lt;=$B$440)*((H113&gt;=$C$440)+(H113&lt;2/24)),1,0),0)</f>
        <v>0</v>
      </c>
      <c r="AI114" s="6">
        <f>IF((I112&lt;&gt;"")*(I116=""),IF((I112&lt;=$B$440)*((I113&gt;=$C$440)+(I113&lt;2/24)),1,0),0)</f>
        <v>0</v>
      </c>
      <c r="AJ114" s="6">
        <f>IF((J112&lt;&gt;"")*(J116=""),IF((J112&lt;=$B$440)*((J113&gt;=$C$440)+(J113&lt;2/24)),1,0),0)</f>
        <v>0</v>
      </c>
    </row>
    <row r="115" spans="1:36" ht="13.5" hidden="1" thickBot="1" x14ac:dyDescent="0.25">
      <c r="A115" s="39"/>
      <c r="B115" s="40"/>
      <c r="C115" s="15" t="s">
        <v>3</v>
      </c>
      <c r="D115" s="43"/>
      <c r="E115" s="43"/>
      <c r="F115" s="43"/>
      <c r="G115" s="43"/>
      <c r="H115" s="43"/>
      <c r="I115" s="43"/>
      <c r="J115" s="44"/>
      <c r="K115" s="18">
        <f>SUMIF(D116:J116,"",D115:J115)</f>
        <v>0</v>
      </c>
      <c r="L115" s="12">
        <f>SUM(D115:J115)</f>
        <v>0</v>
      </c>
      <c r="M115" s="24"/>
      <c r="N115" s="10">
        <f t="shared" ref="N115:T115" si="36">IF(D116="",D115,0)</f>
        <v>0</v>
      </c>
      <c r="O115" s="10">
        <f t="shared" si="36"/>
        <v>0</v>
      </c>
      <c r="P115" s="10">
        <f t="shared" si="36"/>
        <v>0</v>
      </c>
      <c r="Q115" s="10">
        <f t="shared" si="36"/>
        <v>0</v>
      </c>
      <c r="R115" s="10">
        <f t="shared" si="36"/>
        <v>0</v>
      </c>
      <c r="S115" s="10">
        <f t="shared" si="36"/>
        <v>0</v>
      </c>
      <c r="T115" s="10">
        <f t="shared" si="36"/>
        <v>0</v>
      </c>
      <c r="U115" s="10"/>
      <c r="V115" s="10">
        <f t="shared" ref="V115:AB115" si="37">D115</f>
        <v>0</v>
      </c>
      <c r="W115" s="10">
        <f t="shared" si="37"/>
        <v>0</v>
      </c>
      <c r="X115" s="10">
        <f t="shared" si="37"/>
        <v>0</v>
      </c>
      <c r="Y115" s="10">
        <f t="shared" si="37"/>
        <v>0</v>
      </c>
      <c r="Z115" s="10">
        <f t="shared" si="37"/>
        <v>0</v>
      </c>
      <c r="AA115" s="10">
        <f t="shared" si="37"/>
        <v>0</v>
      </c>
      <c r="AB115" s="10">
        <f t="shared" si="37"/>
        <v>0</v>
      </c>
      <c r="AD115" s="6">
        <f>IF((D112&lt;&gt;"")*(D116=""),IF((D112&lt;=$B$441)*((D113&gt;=$C$441)+(D113&lt;2/24)),1,0),0)</f>
        <v>0</v>
      </c>
      <c r="AE115" s="6">
        <f>IF((E112&lt;&gt;"")*(E116=""),IF((E112&lt;=$B$441)*((E113&gt;=$C$441)+(E113&lt;2/24)),1,0),0)</f>
        <v>0</v>
      </c>
      <c r="AF115" s="6">
        <f>IF((F112&lt;&gt;"")*(F116=""),IF((F112&lt;=$B$441)*((F113&gt;=$C$441)+(F113&lt;2/24)),1,0),0)</f>
        <v>0</v>
      </c>
      <c r="AG115" s="6">
        <f>IF((G112&lt;&gt;"")*(G116=""),IF((G112&lt;=$B$441)*((G113&gt;=$C$441)+(G113&lt;2/24)),1,0),0)</f>
        <v>0</v>
      </c>
      <c r="AH115" s="6">
        <f>IF((H112&lt;&gt;"")*(H116=""),IF((H112&lt;=$B$441)*((H113&gt;=$C$441)+(H113&lt;2/24)),1,0),0)</f>
        <v>0</v>
      </c>
      <c r="AI115" s="6">
        <f>IF((I112&lt;&gt;"")*(I116=""),IF((I112&lt;=$B$441)*((I113&gt;=$C$441)+(I113&lt;2/24)),1,0),0)</f>
        <v>0</v>
      </c>
      <c r="AJ115" s="6">
        <f>IF((J112&lt;&gt;"")*(J116=""),IF((J112&lt;=$B$441)*((J113&gt;=$C$441)+(J113&lt;2/24)),1,0),0)</f>
        <v>0</v>
      </c>
    </row>
    <row r="116" spans="1:36" ht="13.5" hidden="1" thickBot="1" x14ac:dyDescent="0.25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  <c r="N116" s="6"/>
      <c r="O116" s="6"/>
      <c r="P116" s="6"/>
      <c r="Q116" s="6"/>
      <c r="R116" s="6"/>
      <c r="S116" s="6"/>
      <c r="T116" s="6"/>
      <c r="U116" s="6"/>
      <c r="V116" s="20"/>
      <c r="W116" s="20"/>
      <c r="X116" s="20"/>
      <c r="Y116" s="20"/>
      <c r="Z116" s="20"/>
      <c r="AA116" s="20"/>
      <c r="AB116" s="20"/>
      <c r="AD116" s="6">
        <f>IF((D112&lt;&gt;"")*(D116=""),IF((D112&lt;=$B$442)*((D113&gt;=$C$442)+(D113&lt;2/24)),1,0),0)</f>
        <v>0</v>
      </c>
      <c r="AE116" s="6">
        <f>IF((E112&lt;&gt;"")*(E116=""),IF((E112&lt;=$B$442)*((E113&gt;=$C$442)+(E113&lt;2/24)),1,0),0)</f>
        <v>0</v>
      </c>
      <c r="AF116" s="6">
        <f>IF((F112&lt;&gt;"")*(F116=""),IF((F112&lt;=$B$442)*((F113&gt;=$C$442)+(F113&lt;2/24)),1,0),0)</f>
        <v>0</v>
      </c>
      <c r="AG116" s="6">
        <f>IF((G112&lt;&gt;"")*(G116=""),IF((G112&lt;=$B$442)*((G113&gt;=$C$442)+(G113&lt;2/24)),1,0),0)</f>
        <v>0</v>
      </c>
      <c r="AH116" s="6">
        <f>IF((H112&lt;&gt;"")*(H116=""),IF((H112&lt;=$B$442)*((H113&gt;=$C$442)+(H113&lt;2/24)),1,0),0)</f>
        <v>0</v>
      </c>
      <c r="AI116" s="6">
        <f>IF((I112&lt;&gt;"")*(I116=""),IF((I112&lt;=$B$442)*((I113&gt;=$C$442)+(I113&lt;2/24)),1,0),0)</f>
        <v>0</v>
      </c>
      <c r="AJ116" s="6">
        <f>IF((J112&lt;&gt;"")*(J116=""),IF((J112&lt;=$B$442)*((J113&gt;=$C$442)+(J113&lt;2/24)),1,0),0)</f>
        <v>0</v>
      </c>
    </row>
    <row r="117" spans="1:36" ht="13.5" hidden="1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  <c r="N117" s="6"/>
      <c r="O117" s="6"/>
      <c r="P117" s="6"/>
      <c r="Q117" s="6"/>
      <c r="R117" s="6"/>
      <c r="S117" s="6"/>
      <c r="T117" s="6"/>
      <c r="U117" s="6"/>
      <c r="V117" s="20"/>
      <c r="W117" s="20"/>
      <c r="X117" s="20"/>
      <c r="Y117" s="20"/>
      <c r="Z117" s="20"/>
      <c r="AA117" s="20"/>
      <c r="AB117" s="20"/>
      <c r="AD117" s="6"/>
      <c r="AE117" s="6"/>
      <c r="AF117" s="6"/>
      <c r="AG117" s="6"/>
      <c r="AH117" s="6"/>
      <c r="AI117" s="6"/>
      <c r="AJ117" s="6"/>
    </row>
    <row r="118" spans="1:36" ht="13.5" hidden="1" thickBot="1" x14ac:dyDescent="0.25">
      <c r="A118" s="37" t="s">
        <v>29</v>
      </c>
      <c r="B118" s="38" t="s">
        <v>30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  <c r="L118" s="6"/>
      <c r="M118" s="21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D118" s="6">
        <f>IF((D118&lt;&gt;"")*(D122=""),IF((D118&lt;=$B$438)*((D119&gt;=$C$438)+(D119&lt;2/24)),1,0),0)</f>
        <v>0</v>
      </c>
      <c r="AE118" s="6">
        <f>IF((E118&lt;&gt;"")*(E122=""),IF((E118&lt;=$B$438)*((E119&gt;=$C$438)+(E119&lt;2/24)),1,0),0)</f>
        <v>0</v>
      </c>
      <c r="AF118" s="6">
        <f>IF((F118&lt;&gt;"")*(F122=""),IF((F118&lt;=$B$438)*((F119&gt;=$C$438)+(F119&lt;2/24)),1,0),0)</f>
        <v>0</v>
      </c>
      <c r="AG118" s="6">
        <f>IF((G118&lt;&gt;"")*(G122=""),IF((G118&lt;=$B$438)*((G119&gt;=$C$438)+(G119&lt;2/24)),1,0),0)</f>
        <v>0</v>
      </c>
      <c r="AH118" s="6">
        <f>IF((H118&lt;&gt;"")*(H122=""),IF((H118&lt;=$B$438)*((H119&gt;=$C$438)+(H119&lt;2/24)),1,0),0)</f>
        <v>0</v>
      </c>
      <c r="AI118" s="6">
        <f>IF((I118&lt;&gt;"")*(I122=""),IF((I118&lt;=$B$438)*((I119&gt;=$C$438)+(I119&lt;2/24)),1,0),0)</f>
        <v>0</v>
      </c>
      <c r="AJ118" s="6">
        <f>IF((J118&lt;&gt;"")*(J122=""),IF((J118&lt;=$B$438)*((J119&gt;=$C$438)+(J119&lt;2/24)),1,0),0)</f>
        <v>0</v>
      </c>
    </row>
    <row r="119" spans="1:36" ht="13.5" hidden="1" thickBot="1" x14ac:dyDescent="0.25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  <c r="L119" s="6"/>
      <c r="M119" s="21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D119" s="6">
        <f>IF((D118&lt;&gt;"")*(D122=""),IF((D118&lt;=$B$439)*((D119&gt;=$C$439)+(D119&lt;2/24)),1,0),0)</f>
        <v>0</v>
      </c>
      <c r="AE119" s="6">
        <f>IF((E118&lt;&gt;"")*(E122=""),IF((E118&lt;=$B$439)*((E119&gt;=$C$439)+(E119&lt;2/24)),1,0),0)</f>
        <v>0</v>
      </c>
      <c r="AF119" s="6">
        <f>IF((F118&lt;&gt;"")*(F122=""),IF((F118&lt;=$B$439)*((F119&gt;=$C$439)+(F119&lt;2/24)),1,0),0)</f>
        <v>0</v>
      </c>
      <c r="AG119" s="6">
        <f>IF((G118&lt;&gt;"")*(G122=""),IF((G118&lt;=$B$439)*((G119&gt;=$C$439)+(G119&lt;2/24)),1,0),0)</f>
        <v>0</v>
      </c>
      <c r="AH119" s="6">
        <f>IF((H118&lt;&gt;"")*(H122=""),IF((H118&lt;=$B$439)*((H119&gt;=$C$439)+(H119&lt;2/24)),1,0),0)</f>
        <v>0</v>
      </c>
      <c r="AI119" s="6">
        <f>IF((I118&lt;&gt;"")*(I122=""),IF((I118&lt;=$B$439)*((I119&gt;=$C$439)+(I119&lt;2/24)),1,0),0)</f>
        <v>0</v>
      </c>
      <c r="AJ119" s="6">
        <f>IF((J118&lt;&gt;"")*(J122=""),IF((J118&lt;=$B$439)*((J119&gt;=$C$439)+(J119&lt;2/24)),1,0),0)</f>
        <v>0</v>
      </c>
    </row>
    <row r="120" spans="1:36" ht="13.5" hidden="1" thickBot="1" x14ac:dyDescent="0.25">
      <c r="A120" s="39"/>
      <c r="B120" s="40"/>
      <c r="C120" s="15" t="s">
        <v>2</v>
      </c>
      <c r="D120" s="4"/>
      <c r="E120" s="4"/>
      <c r="F120" s="4"/>
      <c r="G120" s="4"/>
      <c r="H120" s="4"/>
      <c r="I120" s="4"/>
      <c r="J120" s="4"/>
      <c r="K120" s="17"/>
      <c r="L120" s="6"/>
      <c r="M120" s="21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D120" s="6">
        <f>IF((D118&lt;&gt;"")*(D122=""),IF((D118&lt;=$B$440)*((D119&gt;=$C$440)+(D119&lt;2/24)),1,0),0)</f>
        <v>0</v>
      </c>
      <c r="AE120" s="6">
        <f>IF((E118&lt;&gt;"")*(E122=""),IF((E118&lt;=$B$440)*((E119&gt;=$C$440)+(E119&lt;2/24)),1,0),0)</f>
        <v>0</v>
      </c>
      <c r="AF120" s="6">
        <f>IF((F118&lt;&gt;"")*(F122=""),IF((F118&lt;=$B$440)*((F119&gt;=$C$440)+(F119&lt;2/24)),1,0),0)</f>
        <v>0</v>
      </c>
      <c r="AG120" s="6">
        <f>IF((G118&lt;&gt;"")*(G122=""),IF((G118&lt;=$B$440)*((G119&gt;=$C$440)+(G119&lt;2/24)),1,0),0)</f>
        <v>0</v>
      </c>
      <c r="AH120" s="6">
        <f>IF((H118&lt;&gt;"")*(H122=""),IF((H118&lt;=$B$440)*((H119&gt;=$C$440)+(H119&lt;2/24)),1,0),0)</f>
        <v>0</v>
      </c>
      <c r="AI120" s="6">
        <f>IF((I118&lt;&gt;"")*(I122=""),IF((I118&lt;=$B$440)*((I119&gt;=$C$440)+(I119&lt;2/24)),1,0),0)</f>
        <v>0</v>
      </c>
      <c r="AJ120" s="6">
        <f>IF((J118&lt;&gt;"")*(J122=""),IF((J118&lt;=$B$440)*((J119&gt;=$C$440)+(J119&lt;2/24)),1,0),0)</f>
        <v>0</v>
      </c>
    </row>
    <row r="121" spans="1:36" ht="13.5" hidden="1" thickBot="1" x14ac:dyDescent="0.25">
      <c r="A121" s="39"/>
      <c r="B121" s="40"/>
      <c r="C121" s="15" t="s">
        <v>3</v>
      </c>
      <c r="D121" s="43"/>
      <c r="E121" s="43"/>
      <c r="F121" s="43"/>
      <c r="G121" s="43"/>
      <c r="H121" s="43"/>
      <c r="I121" s="43"/>
      <c r="J121" s="44"/>
      <c r="K121" s="18">
        <f>SUMIF(D122:J122,"",D121:J121)</f>
        <v>0</v>
      </c>
      <c r="L121" s="12">
        <f>SUM(D121:J121)</f>
        <v>0</v>
      </c>
      <c r="M121" s="24"/>
      <c r="N121" s="10">
        <f t="shared" ref="N121:T121" si="38">IF(D122="",D121,0)</f>
        <v>0</v>
      </c>
      <c r="O121" s="10">
        <f t="shared" si="38"/>
        <v>0</v>
      </c>
      <c r="P121" s="10">
        <f t="shared" si="38"/>
        <v>0</v>
      </c>
      <c r="Q121" s="10">
        <f t="shared" si="38"/>
        <v>0</v>
      </c>
      <c r="R121" s="10">
        <f t="shared" si="38"/>
        <v>0</v>
      </c>
      <c r="S121" s="10">
        <f t="shared" si="38"/>
        <v>0</v>
      </c>
      <c r="T121" s="10">
        <f t="shared" si="38"/>
        <v>0</v>
      </c>
      <c r="U121" s="10"/>
      <c r="V121" s="10">
        <f t="shared" ref="V121:AB121" si="39">D121</f>
        <v>0</v>
      </c>
      <c r="W121" s="10">
        <f t="shared" si="39"/>
        <v>0</v>
      </c>
      <c r="X121" s="10">
        <f t="shared" si="39"/>
        <v>0</v>
      </c>
      <c r="Y121" s="10">
        <f t="shared" si="39"/>
        <v>0</v>
      </c>
      <c r="Z121" s="10">
        <f t="shared" si="39"/>
        <v>0</v>
      </c>
      <c r="AA121" s="10">
        <f t="shared" si="39"/>
        <v>0</v>
      </c>
      <c r="AB121" s="10">
        <f t="shared" si="39"/>
        <v>0</v>
      </c>
      <c r="AD121" s="6">
        <f>IF((D118&lt;&gt;"")*(D122=""),IF((D118&lt;=$B$441)*((D119&gt;=$C$441)+(D119&lt;2/24)),1,0),0)</f>
        <v>0</v>
      </c>
      <c r="AE121" s="6">
        <f>IF((E118&lt;&gt;"")*(E122=""),IF((E118&lt;=$B$441)*((E119&gt;=$C$441)+(E119&lt;2/24)),1,0),0)</f>
        <v>0</v>
      </c>
      <c r="AF121" s="6">
        <f>IF((F118&lt;&gt;"")*(F122=""),IF((F118&lt;=$B$441)*((F119&gt;=$C$441)+(F119&lt;2/24)),1,0),0)</f>
        <v>0</v>
      </c>
      <c r="AG121" s="6">
        <f>IF((G118&lt;&gt;"")*(G122=""),IF((G118&lt;=$B$441)*((G119&gt;=$C$441)+(G119&lt;2/24)),1,0),0)</f>
        <v>0</v>
      </c>
      <c r="AH121" s="6">
        <f>IF((H118&lt;&gt;"")*(H122=""),IF((H118&lt;=$B$441)*((H119&gt;=$C$441)+(H119&lt;2/24)),1,0),0)</f>
        <v>0</v>
      </c>
      <c r="AI121" s="6">
        <f>IF((I118&lt;&gt;"")*(I122=""),IF((I118&lt;=$B$441)*((I119&gt;=$C$441)+(I119&lt;2/24)),1,0),0)</f>
        <v>0</v>
      </c>
      <c r="AJ121" s="6">
        <f>IF((J118&lt;&gt;"")*(J122=""),IF((J118&lt;=$B$441)*((J119&gt;=$C$441)+(J119&lt;2/24)),1,0),0)</f>
        <v>0</v>
      </c>
    </row>
    <row r="122" spans="1:36" ht="13.5" hidden="1" thickBot="1" x14ac:dyDescent="0.25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  <c r="N122" s="6"/>
      <c r="O122" s="6"/>
      <c r="P122" s="6"/>
      <c r="Q122" s="6"/>
      <c r="R122" s="6"/>
      <c r="S122" s="6"/>
      <c r="T122" s="6"/>
      <c r="U122" s="6"/>
      <c r="V122" s="20"/>
      <c r="W122" s="20"/>
      <c r="X122" s="20"/>
      <c r="Y122" s="20"/>
      <c r="Z122" s="20"/>
      <c r="AA122" s="20"/>
      <c r="AB122" s="20"/>
      <c r="AD122" s="6">
        <f>IF((D118&lt;&gt;"")*(D122=""),IF((D118&lt;=$B$442)*((D119&gt;=$C$442)+(D119&lt;2/24)),1,0),0)</f>
        <v>0</v>
      </c>
      <c r="AE122" s="6">
        <f>IF((E118&lt;&gt;"")*(E122=""),IF((E118&lt;=$B$442)*((E119&gt;=$C$442)+(E119&lt;2/24)),1,0),0)</f>
        <v>0</v>
      </c>
      <c r="AF122" s="6">
        <f>IF((F118&lt;&gt;"")*(F122=""),IF((F118&lt;=$B$442)*((F119&gt;=$C$442)+(F119&lt;2/24)),1,0),0)</f>
        <v>0</v>
      </c>
      <c r="AG122" s="6">
        <f>IF((G118&lt;&gt;"")*(G122=""),IF((G118&lt;=$B$442)*((G119&gt;=$C$442)+(G119&lt;2/24)),1,0),0)</f>
        <v>0</v>
      </c>
      <c r="AH122" s="6">
        <f>IF((H118&lt;&gt;"")*(H122=""),IF((H118&lt;=$B$442)*((H119&gt;=$C$442)+(H119&lt;2/24)),1,0),0)</f>
        <v>0</v>
      </c>
      <c r="AI122" s="6">
        <f>IF((I118&lt;&gt;"")*(I122=""),IF((I118&lt;=$B$442)*((I119&gt;=$C$442)+(I119&lt;2/24)),1,0),0)</f>
        <v>0</v>
      </c>
      <c r="AJ122" s="6">
        <f>IF((J118&lt;&gt;"")*(J122=""),IF((J118&lt;=$B$442)*((J119&gt;=$C$442)+(J119&lt;2/24)),1,0),0)</f>
        <v>0</v>
      </c>
    </row>
    <row r="123" spans="1:36" ht="13.5" hidden="1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  <c r="L123" s="6"/>
      <c r="M123" s="25"/>
      <c r="N123" s="6"/>
      <c r="O123" s="6"/>
      <c r="P123" s="6"/>
      <c r="Q123" s="6"/>
      <c r="R123" s="6"/>
      <c r="S123" s="6"/>
      <c r="T123" s="6"/>
      <c r="U123" s="6"/>
      <c r="V123" s="20"/>
      <c r="W123" s="20"/>
      <c r="X123" s="20"/>
      <c r="Y123" s="20"/>
      <c r="Z123" s="20"/>
      <c r="AA123" s="20"/>
      <c r="AB123" s="20"/>
      <c r="AD123" s="6"/>
      <c r="AE123" s="6"/>
      <c r="AF123" s="6"/>
      <c r="AG123" s="6"/>
      <c r="AH123" s="6"/>
      <c r="AI123" s="6"/>
      <c r="AJ123" s="6"/>
    </row>
    <row r="124" spans="1:36" ht="13.5" hidden="1" thickBot="1" x14ac:dyDescent="0.25">
      <c r="A124" s="37" t="s">
        <v>29</v>
      </c>
      <c r="B124" s="38" t="s">
        <v>30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  <c r="L124" s="6"/>
      <c r="M124" s="21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D124" s="6">
        <f>IF((D124&lt;&gt;"")*(D128=""),IF((D124&lt;=$B$438)*((D125&gt;=$C$438)+(D125&lt;2/24)),1,0),0)</f>
        <v>0</v>
      </c>
      <c r="AE124" s="6">
        <f>IF((E124&lt;&gt;"")*(E128=""),IF((E124&lt;=$B$438)*((E125&gt;=$C$438)+(E125&lt;2/24)),1,0),0)</f>
        <v>0</v>
      </c>
      <c r="AF124" s="6">
        <f>IF((F124&lt;&gt;"")*(F128=""),IF((F124&lt;=$B$438)*((F125&gt;=$C$438)+(F125&lt;2/24)),1,0),0)</f>
        <v>0</v>
      </c>
      <c r="AG124" s="6">
        <f>IF((G124&lt;&gt;"")*(G128=""),IF((G124&lt;=$B$438)*((G125&gt;=$C$438)+(G125&lt;2/24)),1,0),0)</f>
        <v>0</v>
      </c>
      <c r="AH124" s="6">
        <f>IF((H124&lt;&gt;"")*(H128=""),IF((H124&lt;=$B$438)*((H125&gt;=$C$438)+(H125&lt;2/24)),1,0),0)</f>
        <v>0</v>
      </c>
      <c r="AI124" s="6">
        <f>IF((I124&lt;&gt;"")*(I128=""),IF((I124&lt;=$B$438)*((I125&gt;=$C$438)+(I125&lt;2/24)),1,0),0)</f>
        <v>0</v>
      </c>
      <c r="AJ124" s="6">
        <f>IF((J124&lt;&gt;"")*(J128=""),IF((J124&lt;=$B$438)*((J125&gt;=$C$438)+(J125&lt;2/24)),1,0),0)</f>
        <v>0</v>
      </c>
    </row>
    <row r="125" spans="1:36" ht="13.5" hidden="1" thickBot="1" x14ac:dyDescent="0.25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  <c r="L125" s="6"/>
      <c r="M125" s="21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D125" s="6">
        <f>IF((D124&lt;&gt;"")*(D128=""),IF((D124&lt;=$B$439)*((D125&gt;=$C$439)+(D125&lt;2/24)),1,0),0)</f>
        <v>0</v>
      </c>
      <c r="AE125" s="6">
        <f>IF((E124&lt;&gt;"")*(E128=""),IF((E124&lt;=$B$439)*((E125&gt;=$C$439)+(E125&lt;2/24)),1,0),0)</f>
        <v>0</v>
      </c>
      <c r="AF125" s="6">
        <f>IF((F124&lt;&gt;"")*(F128=""),IF((F124&lt;=$B$439)*((F125&gt;=$C$439)+(F125&lt;2/24)),1,0),0)</f>
        <v>0</v>
      </c>
      <c r="AG125" s="6">
        <f>IF((G124&lt;&gt;"")*(G128=""),IF((G124&lt;=$B$439)*((G125&gt;=$C$439)+(G125&lt;2/24)),1,0),0)</f>
        <v>0</v>
      </c>
      <c r="AH125" s="6">
        <f>IF((H124&lt;&gt;"")*(H128=""),IF((H124&lt;=$B$439)*((H125&gt;=$C$439)+(H125&lt;2/24)),1,0),0)</f>
        <v>0</v>
      </c>
      <c r="AI125" s="6">
        <f>IF((I124&lt;&gt;"")*(I128=""),IF((I124&lt;=$B$439)*((I125&gt;=$C$439)+(I125&lt;2/24)),1,0),0)</f>
        <v>0</v>
      </c>
      <c r="AJ125" s="6">
        <f>IF((J124&lt;&gt;"")*(J128=""),IF((J124&lt;=$B$439)*((J125&gt;=$C$439)+(J125&lt;2/24)),1,0),0)</f>
        <v>0</v>
      </c>
    </row>
    <row r="126" spans="1:36" ht="13.5" hidden="1" thickBot="1" x14ac:dyDescent="0.25">
      <c r="A126" s="39"/>
      <c r="B126" s="40"/>
      <c r="C126" s="15" t="s">
        <v>2</v>
      </c>
      <c r="D126" s="4"/>
      <c r="E126" s="4"/>
      <c r="F126" s="4"/>
      <c r="G126" s="4"/>
      <c r="H126" s="4"/>
      <c r="I126" s="4"/>
      <c r="J126" s="4"/>
      <c r="K126" s="17"/>
      <c r="L126" s="6"/>
      <c r="M126" s="21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D126" s="6">
        <f>IF((D124&lt;&gt;"")*(D128=""),IF((D124&lt;=$B$440)*((D125&gt;=$C$440)+(D125&lt;2/24)),1,0),0)</f>
        <v>0</v>
      </c>
      <c r="AE126" s="6">
        <f>IF((E124&lt;&gt;"")*(E128=""),IF((E124&lt;=$B$440)*((E125&gt;=$C$440)+(E125&lt;2/24)),1,0),0)</f>
        <v>0</v>
      </c>
      <c r="AF126" s="6">
        <f>IF((F124&lt;&gt;"")*(F128=""),IF((F124&lt;=$B$440)*((F125&gt;=$C$440)+(F125&lt;2/24)),1,0),0)</f>
        <v>0</v>
      </c>
      <c r="AG126" s="6">
        <f>IF((G124&lt;&gt;"")*(G128=""),IF((G124&lt;=$B$440)*((G125&gt;=$C$440)+(G125&lt;2/24)),1,0),0)</f>
        <v>0</v>
      </c>
      <c r="AH126" s="6">
        <f>IF((H124&lt;&gt;"")*(H128=""),IF((H124&lt;=$B$440)*((H125&gt;=$C$440)+(H125&lt;2/24)),1,0),0)</f>
        <v>0</v>
      </c>
      <c r="AI126" s="6">
        <f>IF((I124&lt;&gt;"")*(I128=""),IF((I124&lt;=$B$440)*((I125&gt;=$C$440)+(I125&lt;2/24)),1,0),0)</f>
        <v>0</v>
      </c>
      <c r="AJ126" s="6">
        <f>IF((J124&lt;&gt;"")*(J128=""),IF((J124&lt;=$B$440)*((J125&gt;=$C$440)+(J125&lt;2/24)),1,0),0)</f>
        <v>0</v>
      </c>
    </row>
    <row r="127" spans="1:36" ht="13.5" hidden="1" thickBot="1" x14ac:dyDescent="0.25">
      <c r="A127" s="39"/>
      <c r="B127" s="40"/>
      <c r="C127" s="15" t="s">
        <v>3</v>
      </c>
      <c r="D127" s="43"/>
      <c r="E127" s="43"/>
      <c r="F127" s="43"/>
      <c r="G127" s="43"/>
      <c r="H127" s="43"/>
      <c r="I127" s="43"/>
      <c r="J127" s="44"/>
      <c r="K127" s="18">
        <f>SUMIF(D128:J128,"",D127:J127)</f>
        <v>0</v>
      </c>
      <c r="L127" s="12">
        <f>SUM(D127:J127)</f>
        <v>0</v>
      </c>
      <c r="M127" s="24"/>
      <c r="N127" s="10">
        <f t="shared" ref="N127:T127" si="40">IF(D128="",D127,0)</f>
        <v>0</v>
      </c>
      <c r="O127" s="10">
        <f t="shared" si="40"/>
        <v>0</v>
      </c>
      <c r="P127" s="10">
        <f t="shared" si="40"/>
        <v>0</v>
      </c>
      <c r="Q127" s="10">
        <f t="shared" si="40"/>
        <v>0</v>
      </c>
      <c r="R127" s="10">
        <f t="shared" si="40"/>
        <v>0</v>
      </c>
      <c r="S127" s="10">
        <f t="shared" si="40"/>
        <v>0</v>
      </c>
      <c r="T127" s="10">
        <f t="shared" si="40"/>
        <v>0</v>
      </c>
      <c r="U127" s="10"/>
      <c r="V127" s="10">
        <f t="shared" ref="V127:AB127" si="41">D127</f>
        <v>0</v>
      </c>
      <c r="W127" s="10">
        <f t="shared" si="41"/>
        <v>0</v>
      </c>
      <c r="X127" s="10">
        <f t="shared" si="41"/>
        <v>0</v>
      </c>
      <c r="Y127" s="10">
        <f t="shared" si="41"/>
        <v>0</v>
      </c>
      <c r="Z127" s="10">
        <f t="shared" si="41"/>
        <v>0</v>
      </c>
      <c r="AA127" s="10">
        <f t="shared" si="41"/>
        <v>0</v>
      </c>
      <c r="AB127" s="10">
        <f t="shared" si="41"/>
        <v>0</v>
      </c>
      <c r="AD127" s="6">
        <f>IF((D124&lt;&gt;"")*(D128=""),IF((D124&lt;=$B$441)*((D125&gt;=$C$441)+(D125&lt;2/24)),1,0),0)</f>
        <v>0</v>
      </c>
      <c r="AE127" s="6">
        <f>IF((E124&lt;&gt;"")*(E128=""),IF((E124&lt;=$B$441)*((E125&gt;=$C$441)+(E125&lt;2/24)),1,0),0)</f>
        <v>0</v>
      </c>
      <c r="AF127" s="6">
        <f>IF((F124&lt;&gt;"")*(F128=""),IF((F124&lt;=$B$441)*((F125&gt;=$C$441)+(F125&lt;2/24)),1,0),0)</f>
        <v>0</v>
      </c>
      <c r="AG127" s="6">
        <f>IF((G124&lt;&gt;"")*(G128=""),IF((G124&lt;=$B$441)*((G125&gt;=$C$441)+(G125&lt;2/24)),1,0),0)</f>
        <v>0</v>
      </c>
      <c r="AH127" s="6">
        <f>IF((H124&lt;&gt;"")*(H128=""),IF((H124&lt;=$B$441)*((H125&gt;=$C$441)+(H125&lt;2/24)),1,0),0)</f>
        <v>0</v>
      </c>
      <c r="AI127" s="6">
        <f>IF((I124&lt;&gt;"")*(I128=""),IF((I124&lt;=$B$441)*((I125&gt;=$C$441)+(I125&lt;2/24)),1,0),0)</f>
        <v>0</v>
      </c>
      <c r="AJ127" s="6">
        <f>IF((J124&lt;&gt;"")*(J128=""),IF((J124&lt;=$B$441)*((J125&gt;=$C$441)+(J125&lt;2/24)),1,0),0)</f>
        <v>0</v>
      </c>
    </row>
    <row r="128" spans="1:36" ht="13.5" hidden="1" thickBot="1" x14ac:dyDescent="0.25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  <c r="N128" s="6"/>
      <c r="O128" s="6"/>
      <c r="P128" s="6"/>
      <c r="Q128" s="6"/>
      <c r="R128" s="6"/>
      <c r="S128" s="6"/>
      <c r="T128" s="6"/>
      <c r="U128" s="6"/>
      <c r="V128" s="20"/>
      <c r="W128" s="20"/>
      <c r="X128" s="20"/>
      <c r="Y128" s="20"/>
      <c r="Z128" s="20"/>
      <c r="AA128" s="20"/>
      <c r="AB128" s="20"/>
      <c r="AD128" s="6">
        <f>IF((D124&lt;&gt;"")*(D128=""),IF((D124&lt;=$B$442)*((D125&gt;=$C$442)+(D125&lt;2/24)),1,0),0)</f>
        <v>0</v>
      </c>
      <c r="AE128" s="6">
        <f>IF((E124&lt;&gt;"")*(E128=""),IF((E124&lt;=$B$442)*((E125&gt;=$C$442)+(E125&lt;2/24)),1,0),0)</f>
        <v>0</v>
      </c>
      <c r="AF128" s="6">
        <f>IF((F124&lt;&gt;"")*(F128=""),IF((F124&lt;=$B$442)*((F125&gt;=$C$442)+(F125&lt;2/24)),1,0),0)</f>
        <v>0</v>
      </c>
      <c r="AG128" s="6">
        <f>IF((G124&lt;&gt;"")*(G128=""),IF((G124&lt;=$B$442)*((G125&gt;=$C$442)+(G125&lt;2/24)),1,0),0)</f>
        <v>0</v>
      </c>
      <c r="AH128" s="6">
        <f>IF((H124&lt;&gt;"")*(H128=""),IF((H124&lt;=$B$442)*((H125&gt;=$C$442)+(H125&lt;2/24)),1,0),0)</f>
        <v>0</v>
      </c>
      <c r="AI128" s="6">
        <f>IF((I124&lt;&gt;"")*(I128=""),IF((I124&lt;=$B$442)*((I125&gt;=$C$442)+(I125&lt;2/24)),1,0),0)</f>
        <v>0</v>
      </c>
      <c r="AJ128" s="6">
        <f>IF((J124&lt;&gt;"")*(J128=""),IF((J124&lt;=$B$442)*((J125&gt;=$C$442)+(J125&lt;2/24)),1,0),0)</f>
        <v>0</v>
      </c>
    </row>
    <row r="129" spans="1:36" ht="13.5" hidden="1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  <c r="L129" s="6"/>
      <c r="M129" s="25"/>
      <c r="N129" s="6"/>
      <c r="O129" s="6"/>
      <c r="P129" s="6"/>
      <c r="Q129" s="6"/>
      <c r="R129" s="6"/>
      <c r="S129" s="6"/>
      <c r="T129" s="6"/>
      <c r="U129" s="6"/>
      <c r="V129" s="20"/>
      <c r="W129" s="20"/>
      <c r="X129" s="20"/>
      <c r="Y129" s="20"/>
      <c r="Z129" s="20"/>
      <c r="AA129" s="20"/>
      <c r="AB129" s="20"/>
      <c r="AD129" s="6"/>
      <c r="AE129" s="6"/>
      <c r="AF129" s="6"/>
      <c r="AG129" s="6"/>
      <c r="AH129" s="6"/>
      <c r="AI129" s="6"/>
      <c r="AJ129" s="6"/>
    </row>
    <row r="130" spans="1:36" ht="13.5" hidden="1" thickBot="1" x14ac:dyDescent="0.25">
      <c r="A130" s="37" t="s">
        <v>29</v>
      </c>
      <c r="B130" s="38" t="s">
        <v>30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D130" s="6">
        <f>IF((D130&lt;&gt;"")*(D134=""),IF((D130&lt;=$B$438)*((D131&gt;=$C$438)+(D131&lt;2/24)),1,0),0)</f>
        <v>0</v>
      </c>
      <c r="AE130" s="6">
        <f>IF((E130&lt;&gt;"")*(E134=""),IF((E130&lt;=$B$438)*((E131&gt;=$C$438)+(E131&lt;2/24)),1,0),0)</f>
        <v>0</v>
      </c>
      <c r="AF130" s="6">
        <f>IF((F130&lt;&gt;"")*(F134=""),IF((F130&lt;=$B$438)*((F131&gt;=$C$438)+(F131&lt;2/24)),1,0),0)</f>
        <v>0</v>
      </c>
      <c r="AG130" s="6">
        <f>IF((G130&lt;&gt;"")*(G134=""),IF((G130&lt;=$B$438)*((G131&gt;=$C$438)+(G131&lt;2/24)),1,0),0)</f>
        <v>0</v>
      </c>
      <c r="AH130" s="6">
        <f>IF((H130&lt;&gt;"")*(H134=""),IF((H130&lt;=$B$438)*((H131&gt;=$C$438)+(H131&lt;2/24)),1,0),0)</f>
        <v>0</v>
      </c>
      <c r="AI130" s="6">
        <f>IF((I130&lt;&gt;"")*(I134=""),IF((I130&lt;=$B$438)*((I131&gt;=$C$438)+(I131&lt;2/24)),1,0),0)</f>
        <v>0</v>
      </c>
      <c r="AJ130" s="6">
        <f>IF((J130&lt;&gt;"")*(J134=""),IF((J130&lt;=$B$438)*((J131&gt;=$C$438)+(J131&lt;2/24)),1,0),0)</f>
        <v>0</v>
      </c>
    </row>
    <row r="131" spans="1:36" ht="13.5" hidden="1" thickBot="1" x14ac:dyDescent="0.25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D131" s="6">
        <f>IF((D130&lt;&gt;"")*(D134=""),IF((D130&lt;=$B$439)*((D131&gt;=$C$439)+(D131&lt;2/24)),1,0),0)</f>
        <v>0</v>
      </c>
      <c r="AE131" s="6">
        <f>IF((E130&lt;&gt;"")*(E134=""),IF((E130&lt;=$B$439)*((E131&gt;=$C$439)+(E131&lt;2/24)),1,0),0)</f>
        <v>0</v>
      </c>
      <c r="AF131" s="6">
        <f>IF((F130&lt;&gt;"")*(F134=""),IF((F130&lt;=$B$439)*((F131&gt;=$C$439)+(F131&lt;2/24)),1,0),0)</f>
        <v>0</v>
      </c>
      <c r="AG131" s="6">
        <f>IF((G130&lt;&gt;"")*(G134=""),IF((G130&lt;=$B$439)*((G131&gt;=$C$439)+(G131&lt;2/24)),1,0),0)</f>
        <v>0</v>
      </c>
      <c r="AH131" s="6">
        <f>IF((H130&lt;&gt;"")*(H134=""),IF((H130&lt;=$B$439)*((H131&gt;=$C$439)+(H131&lt;2/24)),1,0),0)</f>
        <v>0</v>
      </c>
      <c r="AI131" s="6">
        <f>IF((I130&lt;&gt;"")*(I134=""),IF((I130&lt;=$B$439)*((I131&gt;=$C$439)+(I131&lt;2/24)),1,0),0)</f>
        <v>0</v>
      </c>
      <c r="AJ131" s="6">
        <f>IF((J130&lt;&gt;"")*(J134=""),IF((J130&lt;=$B$439)*((J131&gt;=$C$439)+(J131&lt;2/24)),1,0),0)</f>
        <v>0</v>
      </c>
    </row>
    <row r="132" spans="1:36" ht="13.5" hidden="1" thickBot="1" x14ac:dyDescent="0.25">
      <c r="A132" s="39"/>
      <c r="B132" s="40"/>
      <c r="C132" s="15" t="s">
        <v>2</v>
      </c>
      <c r="D132" s="4"/>
      <c r="E132" s="4"/>
      <c r="F132" s="4"/>
      <c r="G132" s="4"/>
      <c r="H132" s="4"/>
      <c r="I132" s="4"/>
      <c r="J132" s="4"/>
      <c r="K132" s="17"/>
      <c r="L132" s="6"/>
      <c r="M132" s="21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D132" s="6">
        <f>IF((D130&lt;&gt;"")*(D134=""),IF((D130&lt;=$B$440)*((D131&gt;=$C$440)+(D131&lt;2/24)),1,0),0)</f>
        <v>0</v>
      </c>
      <c r="AE132" s="6">
        <f>IF((E130&lt;&gt;"")*(E134=""),IF((E130&lt;=$B$440)*((E131&gt;=$C$440)+(E131&lt;2/24)),1,0),0)</f>
        <v>0</v>
      </c>
      <c r="AF132" s="6">
        <f>IF((F130&lt;&gt;"")*(F134=""),IF((F130&lt;=$B$440)*((F131&gt;=$C$440)+(F131&lt;2/24)),1,0),0)</f>
        <v>0</v>
      </c>
      <c r="AG132" s="6">
        <f>IF((G130&lt;&gt;"")*(G134=""),IF((G130&lt;=$B$440)*((G131&gt;=$C$440)+(G131&lt;2/24)),1,0),0)</f>
        <v>0</v>
      </c>
      <c r="AH132" s="6">
        <f>IF((H130&lt;&gt;"")*(H134=""),IF((H130&lt;=$B$440)*((H131&gt;=$C$440)+(H131&lt;2/24)),1,0),0)</f>
        <v>0</v>
      </c>
      <c r="AI132" s="6">
        <f>IF((I130&lt;&gt;"")*(I134=""),IF((I130&lt;=$B$440)*((I131&gt;=$C$440)+(I131&lt;2/24)),1,0),0)</f>
        <v>0</v>
      </c>
      <c r="AJ132" s="6">
        <f>IF((J130&lt;&gt;"")*(J134=""),IF((J130&lt;=$B$440)*((J131&gt;=$C$440)+(J131&lt;2/24)),1,0),0)</f>
        <v>0</v>
      </c>
    </row>
    <row r="133" spans="1:36" ht="13.5" hidden="1" thickBot="1" x14ac:dyDescent="0.25">
      <c r="A133" s="39"/>
      <c r="B133" s="40"/>
      <c r="C133" s="15" t="s">
        <v>3</v>
      </c>
      <c r="D133" s="43"/>
      <c r="E133" s="43"/>
      <c r="F133" s="43"/>
      <c r="G133" s="43"/>
      <c r="H133" s="43"/>
      <c r="I133" s="43"/>
      <c r="J133" s="44"/>
      <c r="K133" s="18">
        <f>SUMIF(D134:J134,"",D133:J133)</f>
        <v>0</v>
      </c>
      <c r="L133" s="12">
        <f>SUM(D133:J133)</f>
        <v>0</v>
      </c>
      <c r="M133" s="24"/>
      <c r="N133" s="10">
        <f t="shared" ref="N133:T133" si="42">IF(D134="",D133,0)</f>
        <v>0</v>
      </c>
      <c r="O133" s="10">
        <f t="shared" si="42"/>
        <v>0</v>
      </c>
      <c r="P133" s="10">
        <f t="shared" si="42"/>
        <v>0</v>
      </c>
      <c r="Q133" s="10">
        <f t="shared" si="42"/>
        <v>0</v>
      </c>
      <c r="R133" s="10">
        <f t="shared" si="42"/>
        <v>0</v>
      </c>
      <c r="S133" s="10">
        <f t="shared" si="42"/>
        <v>0</v>
      </c>
      <c r="T133" s="10">
        <f t="shared" si="42"/>
        <v>0</v>
      </c>
      <c r="U133" s="10"/>
      <c r="V133" s="10">
        <f t="shared" ref="V133:AB133" si="43">D133</f>
        <v>0</v>
      </c>
      <c r="W133" s="10">
        <f t="shared" si="43"/>
        <v>0</v>
      </c>
      <c r="X133" s="10">
        <f t="shared" si="43"/>
        <v>0</v>
      </c>
      <c r="Y133" s="10">
        <f t="shared" si="43"/>
        <v>0</v>
      </c>
      <c r="Z133" s="10">
        <f t="shared" si="43"/>
        <v>0</v>
      </c>
      <c r="AA133" s="10">
        <f t="shared" si="43"/>
        <v>0</v>
      </c>
      <c r="AB133" s="10">
        <f t="shared" si="43"/>
        <v>0</v>
      </c>
      <c r="AD133" s="6">
        <f>IF((D130&lt;&gt;"")*(D134=""),IF((D130&lt;=$B$441)*((D131&gt;=$C$441)+(D131&lt;2/24)),1,0),0)</f>
        <v>0</v>
      </c>
      <c r="AE133" s="6">
        <f>IF((E130&lt;&gt;"")*(E134=""),IF((E130&lt;=$B$441)*((E131&gt;=$C$441)+(E131&lt;2/24)),1,0),0)</f>
        <v>0</v>
      </c>
      <c r="AF133" s="6">
        <f>IF((F130&lt;&gt;"")*(F134=""),IF((F130&lt;=$B$441)*((F131&gt;=$C$441)+(F131&lt;2/24)),1,0),0)</f>
        <v>0</v>
      </c>
      <c r="AG133" s="6">
        <f>IF((G130&lt;&gt;"")*(G134=""),IF((G130&lt;=$B$441)*((G131&gt;=$C$441)+(G131&lt;2/24)),1,0),0)</f>
        <v>0</v>
      </c>
      <c r="AH133" s="6">
        <f>IF((H130&lt;&gt;"")*(H134=""),IF((H130&lt;=$B$441)*((H131&gt;=$C$441)+(H131&lt;2/24)),1,0),0)</f>
        <v>0</v>
      </c>
      <c r="AI133" s="6">
        <f>IF((I130&lt;&gt;"")*(I134=""),IF((I130&lt;=$B$441)*((I131&gt;=$C$441)+(I131&lt;2/24)),1,0),0)</f>
        <v>0</v>
      </c>
      <c r="AJ133" s="6">
        <f>IF((J130&lt;&gt;"")*(J134=""),IF((J130&lt;=$B$441)*((J131&gt;=$C$441)+(J131&lt;2/24)),1,0),0)</f>
        <v>0</v>
      </c>
    </row>
    <row r="134" spans="1:36" ht="13.5" hidden="1" thickBot="1" x14ac:dyDescent="0.25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  <c r="N134" s="6"/>
      <c r="O134" s="6"/>
      <c r="P134" s="6"/>
      <c r="Q134" s="6"/>
      <c r="R134" s="6"/>
      <c r="S134" s="6"/>
      <c r="T134" s="6"/>
      <c r="U134" s="6"/>
      <c r="V134" s="20"/>
      <c r="W134" s="20"/>
      <c r="X134" s="20"/>
      <c r="Y134" s="20"/>
      <c r="Z134" s="20"/>
      <c r="AA134" s="20"/>
      <c r="AB134" s="20"/>
      <c r="AD134" s="6">
        <f>IF((D130&lt;&gt;"")*(D134=""),IF((D130&lt;=$B$442)*((D131&gt;=$C$442)+(D131&lt;2/24)),1,0),0)</f>
        <v>0</v>
      </c>
      <c r="AE134" s="6">
        <f>IF((E130&lt;&gt;"")*(E134=""),IF((E130&lt;=$B$442)*((E131&gt;=$C$442)+(E131&lt;2/24)),1,0),0)</f>
        <v>0</v>
      </c>
      <c r="AF134" s="6">
        <f>IF((F130&lt;&gt;"")*(F134=""),IF((F130&lt;=$B$442)*((F131&gt;=$C$442)+(F131&lt;2/24)),1,0),0)</f>
        <v>0</v>
      </c>
      <c r="AG134" s="6">
        <f>IF((G130&lt;&gt;"")*(G134=""),IF((G130&lt;=$B$442)*((G131&gt;=$C$442)+(G131&lt;2/24)),1,0),0)</f>
        <v>0</v>
      </c>
      <c r="AH134" s="6">
        <f>IF((H130&lt;&gt;"")*(H134=""),IF((H130&lt;=$B$442)*((H131&gt;=$C$442)+(H131&lt;2/24)),1,0),0)</f>
        <v>0</v>
      </c>
      <c r="AI134" s="6">
        <f>IF((I130&lt;&gt;"")*(I134=""),IF((I130&lt;=$B$442)*((I131&gt;=$C$442)+(I131&lt;2/24)),1,0),0)</f>
        <v>0</v>
      </c>
      <c r="AJ134" s="6">
        <f>IF((J130&lt;&gt;"")*(J134=""),IF((J130&lt;=$B$442)*((J131&gt;=$C$442)+(J131&lt;2/24)),1,0),0)</f>
        <v>0</v>
      </c>
    </row>
    <row r="135" spans="1:36" ht="13.5" hidden="1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  <c r="N135" s="6"/>
      <c r="O135" s="6"/>
      <c r="P135" s="6"/>
      <c r="Q135" s="6"/>
      <c r="R135" s="6"/>
      <c r="S135" s="6"/>
      <c r="T135" s="6"/>
      <c r="U135" s="6"/>
      <c r="V135" s="20"/>
      <c r="W135" s="20"/>
      <c r="X135" s="20"/>
      <c r="Y135" s="20"/>
      <c r="Z135" s="20"/>
      <c r="AA135" s="20"/>
      <c r="AB135" s="20"/>
      <c r="AD135" s="6"/>
      <c r="AE135" s="6"/>
      <c r="AF135" s="6"/>
      <c r="AG135" s="6"/>
      <c r="AH135" s="6"/>
      <c r="AI135" s="6"/>
      <c r="AJ135" s="6"/>
    </row>
    <row r="136" spans="1:36" ht="13.5" hidden="1" thickBot="1" x14ac:dyDescent="0.25">
      <c r="A136" s="37" t="s">
        <v>29</v>
      </c>
      <c r="B136" s="38" t="s">
        <v>30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  <c r="L136" s="6"/>
      <c r="M136" s="21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D136" s="6">
        <f>IF((D136&lt;&gt;"")*(D140=""),IF((D136&lt;=$B$438)*((D137&gt;=$C$438)+(D137&lt;2/24)),1,0),0)</f>
        <v>0</v>
      </c>
      <c r="AE136" s="6">
        <f>IF((E136&lt;&gt;"")*(E140=""),IF((E136&lt;=$B$438)*((E137&gt;=$C$438)+(E137&lt;2/24)),1,0),0)</f>
        <v>0</v>
      </c>
      <c r="AF136" s="6">
        <f>IF((F136&lt;&gt;"")*(F140=""),IF((F136&lt;=$B$438)*((F137&gt;=$C$438)+(F137&lt;2/24)),1,0),0)</f>
        <v>0</v>
      </c>
      <c r="AG136" s="6">
        <f>IF((G136&lt;&gt;"")*(G140=""),IF((G136&lt;=$B$438)*((G137&gt;=$C$438)+(G137&lt;2/24)),1,0),0)</f>
        <v>0</v>
      </c>
      <c r="AH136" s="6">
        <f>IF((H136&lt;&gt;"")*(H140=""),IF((H136&lt;=$B$438)*((H137&gt;=$C$438)+(H137&lt;2/24)),1,0),0)</f>
        <v>0</v>
      </c>
      <c r="AI136" s="6">
        <f>IF((I136&lt;&gt;"")*(I140=""),IF((I136&lt;=$B$438)*((I137&gt;=$C$438)+(I137&lt;2/24)),1,0),0)</f>
        <v>0</v>
      </c>
      <c r="AJ136" s="6">
        <f>IF((J136&lt;&gt;"")*(J140=""),IF((J136&lt;=$B$438)*((J137&gt;=$C$438)+(J137&lt;2/24)),1,0),0)</f>
        <v>0</v>
      </c>
    </row>
    <row r="137" spans="1:36" ht="13.5" hidden="1" thickBot="1" x14ac:dyDescent="0.25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  <c r="L137" s="6"/>
      <c r="M137" s="21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D137" s="6">
        <f>IF((D136&lt;&gt;"")*(D140=""),IF((D136&lt;=$B$439)*((D137&gt;=$C$439)+(D137&lt;2/24)),1,0),0)</f>
        <v>0</v>
      </c>
      <c r="AE137" s="6">
        <f>IF((E136&lt;&gt;"")*(E140=""),IF((E136&lt;=$B$439)*((E137&gt;=$C$439)+(E137&lt;2/24)),1,0),0)</f>
        <v>0</v>
      </c>
      <c r="AF137" s="6">
        <f>IF((F136&lt;&gt;"")*(F140=""),IF((F136&lt;=$B$439)*((F137&gt;=$C$439)+(F137&lt;2/24)),1,0),0)</f>
        <v>0</v>
      </c>
      <c r="AG137" s="6">
        <f>IF((G136&lt;&gt;"")*(G140=""),IF((G136&lt;=$B$439)*((G137&gt;=$C$439)+(G137&lt;2/24)),1,0),0)</f>
        <v>0</v>
      </c>
      <c r="AH137" s="6">
        <f>IF((H136&lt;&gt;"")*(H140=""),IF((H136&lt;=$B$439)*((H137&gt;=$C$439)+(H137&lt;2/24)),1,0),0)</f>
        <v>0</v>
      </c>
      <c r="AI137" s="6">
        <f>IF((I136&lt;&gt;"")*(I140=""),IF((I136&lt;=$B$439)*((I137&gt;=$C$439)+(I137&lt;2/24)),1,0),0)</f>
        <v>0</v>
      </c>
      <c r="AJ137" s="6">
        <f>IF((J136&lt;&gt;"")*(J140=""),IF((J136&lt;=$B$439)*((J137&gt;=$C$439)+(J137&lt;2/24)),1,0),0)</f>
        <v>0</v>
      </c>
    </row>
    <row r="138" spans="1:36" ht="13.5" hidden="1" thickBot="1" x14ac:dyDescent="0.25">
      <c r="A138" s="39"/>
      <c r="B138" s="40"/>
      <c r="C138" s="15" t="s">
        <v>2</v>
      </c>
      <c r="D138" s="4"/>
      <c r="E138" s="4"/>
      <c r="F138" s="4"/>
      <c r="G138" s="4"/>
      <c r="H138" s="4"/>
      <c r="I138" s="4"/>
      <c r="J138" s="4"/>
      <c r="K138" s="17"/>
      <c r="L138" s="6"/>
      <c r="M138" s="21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D138" s="6">
        <f>IF((D136&lt;&gt;"")*(D140=""),IF((D136&lt;=$B$440)*((D137&gt;=$C$440)+(D137&lt;2/24)),1,0),0)</f>
        <v>0</v>
      </c>
      <c r="AE138" s="6">
        <f>IF((E136&lt;&gt;"")*(E140=""),IF((E136&lt;=$B$440)*((E137&gt;=$C$440)+(E137&lt;2/24)),1,0),0)</f>
        <v>0</v>
      </c>
      <c r="AF138" s="6">
        <f>IF((F136&lt;&gt;"")*(F140=""),IF((F136&lt;=$B$440)*((F137&gt;=$C$440)+(F137&lt;2/24)),1,0),0)</f>
        <v>0</v>
      </c>
      <c r="AG138" s="6">
        <f>IF((G136&lt;&gt;"")*(G140=""),IF((G136&lt;=$B$440)*((G137&gt;=$C$440)+(G137&lt;2/24)),1,0),0)</f>
        <v>0</v>
      </c>
      <c r="AH138" s="6">
        <f>IF((H136&lt;&gt;"")*(H140=""),IF((H136&lt;=$B$440)*((H137&gt;=$C$440)+(H137&lt;2/24)),1,0),0)</f>
        <v>0</v>
      </c>
      <c r="AI138" s="6">
        <f>IF((I136&lt;&gt;"")*(I140=""),IF((I136&lt;=$B$440)*((I137&gt;=$C$440)+(I137&lt;2/24)),1,0),0)</f>
        <v>0</v>
      </c>
      <c r="AJ138" s="6">
        <f>IF((J136&lt;&gt;"")*(J140=""),IF((J136&lt;=$B$440)*((J137&gt;=$C$440)+(J137&lt;2/24)),1,0),0)</f>
        <v>0</v>
      </c>
    </row>
    <row r="139" spans="1:36" ht="13.5" hidden="1" thickBot="1" x14ac:dyDescent="0.25">
      <c r="A139" s="39"/>
      <c r="B139" s="40"/>
      <c r="C139" s="15" t="s">
        <v>3</v>
      </c>
      <c r="D139" s="43"/>
      <c r="E139" s="43"/>
      <c r="F139" s="43"/>
      <c r="G139" s="43"/>
      <c r="H139" s="43"/>
      <c r="I139" s="43"/>
      <c r="J139" s="44"/>
      <c r="K139" s="18">
        <f>SUMIF(D140:J140,"",D139:J139)</f>
        <v>0</v>
      </c>
      <c r="L139" s="12">
        <f>SUM(D139:J139)</f>
        <v>0</v>
      </c>
      <c r="M139" s="24"/>
      <c r="N139" s="10">
        <f t="shared" ref="N139:T139" si="44">IF(D140="",D139,0)</f>
        <v>0</v>
      </c>
      <c r="O139" s="10">
        <f t="shared" si="44"/>
        <v>0</v>
      </c>
      <c r="P139" s="10">
        <f t="shared" si="44"/>
        <v>0</v>
      </c>
      <c r="Q139" s="10">
        <f t="shared" si="44"/>
        <v>0</v>
      </c>
      <c r="R139" s="10">
        <f t="shared" si="44"/>
        <v>0</v>
      </c>
      <c r="S139" s="10">
        <f t="shared" si="44"/>
        <v>0</v>
      </c>
      <c r="T139" s="10">
        <f t="shared" si="44"/>
        <v>0</v>
      </c>
      <c r="U139" s="10"/>
      <c r="V139" s="10">
        <f t="shared" ref="V139:AB139" si="45">D139</f>
        <v>0</v>
      </c>
      <c r="W139" s="10">
        <f t="shared" si="45"/>
        <v>0</v>
      </c>
      <c r="X139" s="10">
        <f t="shared" si="45"/>
        <v>0</v>
      </c>
      <c r="Y139" s="10">
        <f t="shared" si="45"/>
        <v>0</v>
      </c>
      <c r="Z139" s="10">
        <f t="shared" si="45"/>
        <v>0</v>
      </c>
      <c r="AA139" s="10">
        <f t="shared" si="45"/>
        <v>0</v>
      </c>
      <c r="AB139" s="10">
        <f t="shared" si="45"/>
        <v>0</v>
      </c>
      <c r="AD139" s="6">
        <f>IF((D136&lt;&gt;"")*(D140=""),IF((D136&lt;=$B$441)*((D137&gt;=$C$441)+(D137&lt;2/24)),1,0),0)</f>
        <v>0</v>
      </c>
      <c r="AE139" s="6">
        <f>IF((E136&lt;&gt;"")*(E140=""),IF((E136&lt;=$B$441)*((E137&gt;=$C$441)+(E137&lt;2/24)),1,0),0)</f>
        <v>0</v>
      </c>
      <c r="AF139" s="6">
        <f>IF((F136&lt;&gt;"")*(F140=""),IF((F136&lt;=$B$441)*((F137&gt;=$C$441)+(F137&lt;2/24)),1,0),0)</f>
        <v>0</v>
      </c>
      <c r="AG139" s="6">
        <f>IF((G136&lt;&gt;"")*(G140=""),IF((G136&lt;=$B$441)*((G137&gt;=$C$441)+(G137&lt;2/24)),1,0),0)</f>
        <v>0</v>
      </c>
      <c r="AH139" s="6">
        <f>IF((H136&lt;&gt;"")*(H140=""),IF((H136&lt;=$B$441)*((H137&gt;=$C$441)+(H137&lt;2/24)),1,0),0)</f>
        <v>0</v>
      </c>
      <c r="AI139" s="6">
        <f>IF((I136&lt;&gt;"")*(I140=""),IF((I136&lt;=$B$441)*((I137&gt;=$C$441)+(I137&lt;2/24)),1,0),0)</f>
        <v>0</v>
      </c>
      <c r="AJ139" s="6">
        <f>IF((J136&lt;&gt;"")*(J140=""),IF((J136&lt;=$B$441)*((J137&gt;=$C$441)+(J137&lt;2/24)),1,0),0)</f>
        <v>0</v>
      </c>
    </row>
    <row r="140" spans="1:36" ht="13.5" hidden="1" thickBot="1" x14ac:dyDescent="0.25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  <c r="N140" s="6"/>
      <c r="O140" s="6"/>
      <c r="P140" s="6"/>
      <c r="Q140" s="6"/>
      <c r="R140" s="6"/>
      <c r="S140" s="6"/>
      <c r="T140" s="6"/>
      <c r="U140" s="6"/>
      <c r="V140" s="20"/>
      <c r="W140" s="20"/>
      <c r="X140" s="20"/>
      <c r="Y140" s="20"/>
      <c r="Z140" s="20"/>
      <c r="AA140" s="20"/>
      <c r="AB140" s="20"/>
      <c r="AD140" s="6">
        <f>IF((D136&lt;&gt;"")*(D140=""),IF((D136&lt;=$B$442)*((D137&gt;=$C$442)+(D137&lt;2/24)),1,0),0)</f>
        <v>0</v>
      </c>
      <c r="AE140" s="6">
        <f>IF((E136&lt;&gt;"")*(E140=""),IF((E136&lt;=$B$442)*((E137&gt;=$C$442)+(E137&lt;2/24)),1,0),0)</f>
        <v>0</v>
      </c>
      <c r="AF140" s="6">
        <f>IF((F136&lt;&gt;"")*(F140=""),IF((F136&lt;=$B$442)*((F137&gt;=$C$442)+(F137&lt;2/24)),1,0),0)</f>
        <v>0</v>
      </c>
      <c r="AG140" s="6">
        <f>IF((G136&lt;&gt;"")*(G140=""),IF((G136&lt;=$B$442)*((G137&gt;=$C$442)+(G137&lt;2/24)),1,0),0)</f>
        <v>0</v>
      </c>
      <c r="AH140" s="6">
        <f>IF((H136&lt;&gt;"")*(H140=""),IF((H136&lt;=$B$442)*((H137&gt;=$C$442)+(H137&lt;2/24)),1,0),0)</f>
        <v>0</v>
      </c>
      <c r="AI140" s="6">
        <f>IF((I136&lt;&gt;"")*(I140=""),IF((I136&lt;=$B$442)*((I137&gt;=$C$442)+(I137&lt;2/24)),1,0),0)</f>
        <v>0</v>
      </c>
      <c r="AJ140" s="6">
        <f>IF((J136&lt;&gt;"")*(J140=""),IF((J136&lt;=$B$442)*((J137&gt;=$C$442)+(J137&lt;2/24)),1,0),0)</f>
        <v>0</v>
      </c>
    </row>
    <row r="141" spans="1:36" ht="13.5" hidden="1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  <c r="N141" s="6"/>
      <c r="O141" s="6"/>
      <c r="P141" s="6"/>
      <c r="Q141" s="6"/>
      <c r="R141" s="6"/>
      <c r="S141" s="6"/>
      <c r="T141" s="6"/>
      <c r="U141" s="6"/>
      <c r="V141" s="20"/>
      <c r="W141" s="20"/>
      <c r="X141" s="20"/>
      <c r="Y141" s="20"/>
      <c r="Z141" s="20"/>
      <c r="AA141" s="20"/>
      <c r="AB141" s="20"/>
      <c r="AD141" s="6"/>
      <c r="AE141" s="6"/>
      <c r="AF141" s="6"/>
      <c r="AG141" s="6"/>
      <c r="AH141" s="6"/>
      <c r="AI141" s="6"/>
      <c r="AJ141" s="6"/>
    </row>
    <row r="142" spans="1:36" ht="13.5" hidden="1" thickBot="1" x14ac:dyDescent="0.25">
      <c r="A142" s="37" t="s">
        <v>29</v>
      </c>
      <c r="B142" s="38" t="s">
        <v>30</v>
      </c>
      <c r="C142" s="14" t="s">
        <v>0</v>
      </c>
      <c r="D142" s="26"/>
      <c r="E142" s="26"/>
      <c r="F142" s="26"/>
      <c r="G142" s="26"/>
      <c r="H142" s="26"/>
      <c r="I142" s="26"/>
      <c r="J142" s="26"/>
      <c r="K142" s="16"/>
      <c r="L142" s="6"/>
      <c r="M142" s="21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D142" s="6">
        <f>IF((D142&lt;&gt;"")*(D146=""),IF((D142&lt;=$B$438)*((D143&gt;=$C$438)+(D143&lt;2/24)),1,0),0)</f>
        <v>0</v>
      </c>
      <c r="AE142" s="6">
        <f>IF((E142&lt;&gt;"")*(E146=""),IF((E142&lt;=$B$438)*((E143&gt;=$C$438)+(E143&lt;2/24)),1,0),0)</f>
        <v>0</v>
      </c>
      <c r="AF142" s="6">
        <f>IF((F142&lt;&gt;"")*(F146=""),IF((F142&lt;=$B$438)*((F143&gt;=$C$438)+(F143&lt;2/24)),1,0),0)</f>
        <v>0</v>
      </c>
      <c r="AG142" s="6">
        <f>IF((G142&lt;&gt;"")*(G146=""),IF((G142&lt;=$B$438)*((G143&gt;=$C$438)+(G143&lt;2/24)),1,0),0)</f>
        <v>0</v>
      </c>
      <c r="AH142" s="6">
        <f>IF((H142&lt;&gt;"")*(H146=""),IF((H142&lt;=$B$438)*((H143&gt;=$C$438)+(H143&lt;2/24)),1,0),0)</f>
        <v>0</v>
      </c>
      <c r="AI142" s="6">
        <f>IF((I142&lt;&gt;"")*(I146=""),IF((I142&lt;=$B$438)*((I143&gt;=$C$438)+(I143&lt;2/24)),1,0),0)</f>
        <v>0</v>
      </c>
      <c r="AJ142" s="6">
        <f>IF((J142&lt;&gt;"")*(J146=""),IF((J142&lt;=$B$438)*((J143&gt;=$C$438)+(J143&lt;2/24)),1,0),0)</f>
        <v>0</v>
      </c>
    </row>
    <row r="143" spans="1:36" ht="13.5" hidden="1" thickBot="1" x14ac:dyDescent="0.25">
      <c r="A143" s="39"/>
      <c r="B143" s="40"/>
      <c r="C143" s="15" t="s">
        <v>1</v>
      </c>
      <c r="D143" s="27"/>
      <c r="E143" s="27"/>
      <c r="F143" s="27"/>
      <c r="G143" s="27"/>
      <c r="H143" s="27"/>
      <c r="I143" s="27"/>
      <c r="J143" s="27"/>
      <c r="K143" s="17"/>
      <c r="L143" s="6"/>
      <c r="M143" s="21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D143" s="6">
        <f>IF((D142&lt;&gt;"")*(D146=""),IF((D142&lt;=$B$439)*((D143&gt;=$C$439)+(D143&lt;2/24)),1,0),0)</f>
        <v>0</v>
      </c>
      <c r="AE143" s="6">
        <f>IF((E142&lt;&gt;"")*(E146=""),IF((E142&lt;=$B$439)*((E143&gt;=$C$439)+(E143&lt;2/24)),1,0),0)</f>
        <v>0</v>
      </c>
      <c r="AF143" s="6">
        <f>IF((F142&lt;&gt;"")*(F146=""),IF((F142&lt;=$B$439)*((F143&gt;=$C$439)+(F143&lt;2/24)),1,0),0)</f>
        <v>0</v>
      </c>
      <c r="AG143" s="6">
        <f>IF((G142&lt;&gt;"")*(G146=""),IF((G142&lt;=$B$439)*((G143&gt;=$C$439)+(G143&lt;2/24)),1,0),0)</f>
        <v>0</v>
      </c>
      <c r="AH143" s="6">
        <f>IF((H142&lt;&gt;"")*(H146=""),IF((H142&lt;=$B$439)*((H143&gt;=$C$439)+(H143&lt;2/24)),1,0),0)</f>
        <v>0</v>
      </c>
      <c r="AI143" s="6">
        <f>IF((I142&lt;&gt;"")*(I146=""),IF((I142&lt;=$B$439)*((I143&gt;=$C$439)+(I143&lt;2/24)),1,0),0)</f>
        <v>0</v>
      </c>
      <c r="AJ143" s="6">
        <f>IF((J142&lt;&gt;"")*(J146=""),IF((J142&lt;=$B$439)*((J143&gt;=$C$439)+(J143&lt;2/24)),1,0),0)</f>
        <v>0</v>
      </c>
    </row>
    <row r="144" spans="1:36" ht="13.5" hidden="1" thickBot="1" x14ac:dyDescent="0.25">
      <c r="A144" s="39"/>
      <c r="B144" s="40"/>
      <c r="C144" s="15" t="s">
        <v>2</v>
      </c>
      <c r="D144" s="4"/>
      <c r="E144" s="4"/>
      <c r="F144" s="4"/>
      <c r="G144" s="4"/>
      <c r="H144" s="4"/>
      <c r="I144" s="4"/>
      <c r="J144" s="4"/>
      <c r="K144" s="17"/>
      <c r="L144" s="6"/>
      <c r="M144" s="21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D144" s="6">
        <f>IF((D142&lt;&gt;"")*(D146=""),IF((D142&lt;=$B$440)*((D143&gt;=$C$440)+(D143&lt;2/24)),1,0),0)</f>
        <v>0</v>
      </c>
      <c r="AE144" s="6">
        <f>IF((E142&lt;&gt;"")*(E146=""),IF((E142&lt;=$B$440)*((E143&gt;=$C$440)+(E143&lt;2/24)),1,0),0)</f>
        <v>0</v>
      </c>
      <c r="AF144" s="6">
        <f>IF((F142&lt;&gt;"")*(F146=""),IF((F142&lt;=$B$440)*((F143&gt;=$C$440)+(F143&lt;2/24)),1,0),0)</f>
        <v>0</v>
      </c>
      <c r="AG144" s="6">
        <f>IF((G142&lt;&gt;"")*(G146=""),IF((G142&lt;=$B$440)*((G143&gt;=$C$440)+(G143&lt;2/24)),1,0),0)</f>
        <v>0</v>
      </c>
      <c r="AH144" s="6">
        <f>IF((H142&lt;&gt;"")*(H146=""),IF((H142&lt;=$B$440)*((H143&gt;=$C$440)+(H143&lt;2/24)),1,0),0)</f>
        <v>0</v>
      </c>
      <c r="AI144" s="6">
        <f>IF((I142&lt;&gt;"")*(I146=""),IF((I142&lt;=$B$440)*((I143&gt;=$C$440)+(I143&lt;2/24)),1,0),0)</f>
        <v>0</v>
      </c>
      <c r="AJ144" s="6">
        <f>IF((J142&lt;&gt;"")*(J146=""),IF((J142&lt;=$B$440)*((J143&gt;=$C$440)+(J143&lt;2/24)),1,0),0)</f>
        <v>0</v>
      </c>
    </row>
    <row r="145" spans="1:36" ht="13.5" hidden="1" thickBot="1" x14ac:dyDescent="0.25">
      <c r="A145" s="39"/>
      <c r="B145" s="40"/>
      <c r="C145" s="15" t="s">
        <v>3</v>
      </c>
      <c r="D145" s="43"/>
      <c r="E145" s="43"/>
      <c r="F145" s="43"/>
      <c r="G145" s="43"/>
      <c r="H145" s="43"/>
      <c r="I145" s="43"/>
      <c r="J145" s="44"/>
      <c r="K145" s="18">
        <f>SUMIF(D146:J146,"",D145:J145)</f>
        <v>0</v>
      </c>
      <c r="L145" s="12">
        <f>SUM(D145:J145)</f>
        <v>0</v>
      </c>
      <c r="M145" s="24"/>
      <c r="N145" s="10">
        <f t="shared" ref="N145:T145" si="46">IF(D146="",D145,0)</f>
        <v>0</v>
      </c>
      <c r="O145" s="10">
        <f t="shared" si="46"/>
        <v>0</v>
      </c>
      <c r="P145" s="10">
        <f t="shared" si="46"/>
        <v>0</v>
      </c>
      <c r="Q145" s="10">
        <f t="shared" si="46"/>
        <v>0</v>
      </c>
      <c r="R145" s="10">
        <f t="shared" si="46"/>
        <v>0</v>
      </c>
      <c r="S145" s="10">
        <f t="shared" si="46"/>
        <v>0</v>
      </c>
      <c r="T145" s="10">
        <f t="shared" si="46"/>
        <v>0</v>
      </c>
      <c r="U145" s="10"/>
      <c r="V145" s="10">
        <f t="shared" ref="V145:AB145" si="47">D145</f>
        <v>0</v>
      </c>
      <c r="W145" s="10">
        <f t="shared" si="47"/>
        <v>0</v>
      </c>
      <c r="X145" s="10">
        <f t="shared" si="47"/>
        <v>0</v>
      </c>
      <c r="Y145" s="10">
        <f t="shared" si="47"/>
        <v>0</v>
      </c>
      <c r="Z145" s="10">
        <f t="shared" si="47"/>
        <v>0</v>
      </c>
      <c r="AA145" s="10">
        <f t="shared" si="47"/>
        <v>0</v>
      </c>
      <c r="AB145" s="10">
        <f t="shared" si="47"/>
        <v>0</v>
      </c>
      <c r="AD145" s="6">
        <f>IF((D142&lt;&gt;"")*(D146=""),IF((D142&lt;=$B$441)*((D143&gt;=$C$441)+(D143&lt;2/24)),1,0),0)</f>
        <v>0</v>
      </c>
      <c r="AE145" s="6">
        <f>IF((E142&lt;&gt;"")*(E146=""),IF((E142&lt;=$B$441)*((E143&gt;=$C$441)+(E143&lt;2/24)),1,0),0)</f>
        <v>0</v>
      </c>
      <c r="AF145" s="6">
        <f>IF((F142&lt;&gt;"")*(F146=""),IF((F142&lt;=$B$441)*((F143&gt;=$C$441)+(F143&lt;2/24)),1,0),0)</f>
        <v>0</v>
      </c>
      <c r="AG145" s="6">
        <f>IF((G142&lt;&gt;"")*(G146=""),IF((G142&lt;=$B$441)*((G143&gt;=$C$441)+(G143&lt;2/24)),1,0),0)</f>
        <v>0</v>
      </c>
      <c r="AH145" s="6">
        <f>IF((H142&lt;&gt;"")*(H146=""),IF((H142&lt;=$B$441)*((H143&gt;=$C$441)+(H143&lt;2/24)),1,0),0)</f>
        <v>0</v>
      </c>
      <c r="AI145" s="6">
        <f>IF((I142&lt;&gt;"")*(I146=""),IF((I142&lt;=$B$441)*((I143&gt;=$C$441)+(I143&lt;2/24)),1,0),0)</f>
        <v>0</v>
      </c>
      <c r="AJ145" s="6">
        <f>IF((J142&lt;&gt;"")*(J146=""),IF((J142&lt;=$B$441)*((J143&gt;=$C$441)+(J143&lt;2/24)),1,0),0)</f>
        <v>0</v>
      </c>
    </row>
    <row r="146" spans="1:36" ht="13.5" hidden="1" thickBot="1" x14ac:dyDescent="0.25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  <c r="N146" s="6"/>
      <c r="O146" s="6"/>
      <c r="P146" s="6"/>
      <c r="Q146" s="6"/>
      <c r="R146" s="6"/>
      <c r="S146" s="6"/>
      <c r="T146" s="6"/>
      <c r="U146" s="6"/>
      <c r="V146" s="20"/>
      <c r="W146" s="20"/>
      <c r="X146" s="20"/>
      <c r="Y146" s="20"/>
      <c r="Z146" s="20"/>
      <c r="AA146" s="20"/>
      <c r="AB146" s="20"/>
      <c r="AD146" s="6">
        <f>IF((D142&lt;&gt;"")*(D146=""),IF((D142&lt;=$B$442)*((D143&gt;=$C$442)+(D143&lt;2/24)),1,0),0)</f>
        <v>0</v>
      </c>
      <c r="AE146" s="6">
        <f>IF((E142&lt;&gt;"")*(E146=""),IF((E142&lt;=$B$442)*((E143&gt;=$C$442)+(E143&lt;2/24)),1,0),0)</f>
        <v>0</v>
      </c>
      <c r="AF146" s="6">
        <f>IF((F142&lt;&gt;"")*(F146=""),IF((F142&lt;=$B$442)*((F143&gt;=$C$442)+(F143&lt;2/24)),1,0),0)</f>
        <v>0</v>
      </c>
      <c r="AG146" s="6">
        <f>IF((G142&lt;&gt;"")*(G146=""),IF((G142&lt;=$B$442)*((G143&gt;=$C$442)+(G143&lt;2/24)),1,0),0)</f>
        <v>0</v>
      </c>
      <c r="AH146" s="6">
        <f>IF((H142&lt;&gt;"")*(H146=""),IF((H142&lt;=$B$442)*((H143&gt;=$C$442)+(H143&lt;2/24)),1,0),0)</f>
        <v>0</v>
      </c>
      <c r="AI146" s="6">
        <f>IF((I142&lt;&gt;"")*(I146=""),IF((I142&lt;=$B$442)*((I143&gt;=$C$442)+(I143&lt;2/24)),1,0),0)</f>
        <v>0</v>
      </c>
      <c r="AJ146" s="6">
        <f>IF((J142&lt;&gt;"")*(J146=""),IF((J142&lt;=$B$442)*((J143&gt;=$C$442)+(J143&lt;2/24)),1,0),0)</f>
        <v>0</v>
      </c>
    </row>
    <row r="147" spans="1:36" ht="13.5" hidden="1" thickBot="1" x14ac:dyDescent="0.25">
      <c r="A147" s="41"/>
      <c r="B147" s="42"/>
      <c r="C147" s="35" t="s">
        <v>28</v>
      </c>
      <c r="D147" s="36"/>
      <c r="E147" s="36"/>
      <c r="F147" s="36"/>
      <c r="G147" s="36"/>
      <c r="H147" s="36"/>
      <c r="I147" s="36"/>
      <c r="J147" s="36"/>
      <c r="K147" s="34"/>
      <c r="L147" s="6"/>
      <c r="M147" s="25"/>
      <c r="N147" s="6"/>
      <c r="O147" s="6"/>
      <c r="P147" s="6"/>
      <c r="Q147" s="6"/>
      <c r="R147" s="6"/>
      <c r="S147" s="6"/>
      <c r="T147" s="6"/>
      <c r="U147" s="6"/>
      <c r="V147" s="20"/>
      <c r="W147" s="20"/>
      <c r="X147" s="20"/>
      <c r="Y147" s="20"/>
      <c r="Z147" s="20"/>
      <c r="AA147" s="20"/>
      <c r="AB147" s="20"/>
      <c r="AD147" s="6"/>
      <c r="AE147" s="6"/>
      <c r="AF147" s="6"/>
      <c r="AG147" s="6"/>
      <c r="AH147" s="6"/>
      <c r="AI147" s="6"/>
      <c r="AJ147" s="6"/>
    </row>
    <row r="148" spans="1:36" ht="13.5" hidden="1" thickBot="1" x14ac:dyDescent="0.25">
      <c r="A148" s="37" t="s">
        <v>29</v>
      </c>
      <c r="B148" s="38" t="s">
        <v>30</v>
      </c>
      <c r="C148" s="14" t="s">
        <v>0</v>
      </c>
      <c r="D148" s="26"/>
      <c r="E148" s="26"/>
      <c r="F148" s="26"/>
      <c r="G148" s="26"/>
      <c r="H148" s="26"/>
      <c r="I148" s="26"/>
      <c r="J148" s="26"/>
      <c r="K148" s="16"/>
      <c r="L148" s="6"/>
      <c r="M148" s="21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D148" s="6">
        <f>IF((D148&lt;&gt;"")*(D152=""),IF((D148&lt;=$B$438)*((D149&gt;=$C$438)+(D149&lt;2/24)),1,0),0)</f>
        <v>0</v>
      </c>
      <c r="AE148" s="6">
        <f>IF((E148&lt;&gt;"")*(E152=""),IF((E148&lt;=$B$438)*((E149&gt;=$C$438)+(E149&lt;2/24)),1,0),0)</f>
        <v>0</v>
      </c>
      <c r="AF148" s="6">
        <f>IF((F148&lt;&gt;"")*(F152=""),IF((F148&lt;=$B$438)*((F149&gt;=$C$438)+(F149&lt;2/24)),1,0),0)</f>
        <v>0</v>
      </c>
      <c r="AG148" s="6">
        <f>IF((G148&lt;&gt;"")*(G152=""),IF((G148&lt;=$B$438)*((G149&gt;=$C$438)+(G149&lt;2/24)),1,0),0)</f>
        <v>0</v>
      </c>
      <c r="AH148" s="6">
        <f>IF((H148&lt;&gt;"")*(H152=""),IF((H148&lt;=$B$438)*((H149&gt;=$C$438)+(H149&lt;2/24)),1,0),0)</f>
        <v>0</v>
      </c>
      <c r="AI148" s="6">
        <f>IF((I148&lt;&gt;"")*(I152=""),IF((I148&lt;=$B$438)*((I149&gt;=$C$438)+(I149&lt;2/24)),1,0),0)</f>
        <v>0</v>
      </c>
      <c r="AJ148" s="6">
        <f>IF((J148&lt;&gt;"")*(J152=""),IF((J148&lt;=$B$438)*((J149&gt;=$C$438)+(J149&lt;2/24)),1,0),0)</f>
        <v>0</v>
      </c>
    </row>
    <row r="149" spans="1:36" ht="13.5" hidden="1" thickBot="1" x14ac:dyDescent="0.25">
      <c r="A149" s="39"/>
      <c r="B149" s="40"/>
      <c r="C149" s="15" t="s">
        <v>1</v>
      </c>
      <c r="D149" s="27"/>
      <c r="E149" s="27"/>
      <c r="F149" s="27"/>
      <c r="G149" s="27"/>
      <c r="H149" s="27"/>
      <c r="I149" s="27"/>
      <c r="J149" s="27"/>
      <c r="K149" s="17"/>
      <c r="L149" s="6"/>
      <c r="M149" s="21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D149" s="6">
        <f>IF((D148&lt;&gt;"")*(D152=""),IF((D148&lt;=$B$439)*((D149&gt;=$C$439)+(D149&lt;2/24)),1,0),0)</f>
        <v>0</v>
      </c>
      <c r="AE149" s="6">
        <f>IF((E148&lt;&gt;"")*(E152=""),IF((E148&lt;=$B$439)*((E149&gt;=$C$439)+(E149&lt;2/24)),1,0),0)</f>
        <v>0</v>
      </c>
      <c r="AF149" s="6">
        <f>IF((F148&lt;&gt;"")*(F152=""),IF((F148&lt;=$B$439)*((F149&gt;=$C$439)+(F149&lt;2/24)),1,0),0)</f>
        <v>0</v>
      </c>
      <c r="AG149" s="6">
        <f>IF((G148&lt;&gt;"")*(G152=""),IF((G148&lt;=$B$439)*((G149&gt;=$C$439)+(G149&lt;2/24)),1,0),0)</f>
        <v>0</v>
      </c>
      <c r="AH149" s="6">
        <f>IF((H148&lt;&gt;"")*(H152=""),IF((H148&lt;=$B$439)*((H149&gt;=$C$439)+(H149&lt;2/24)),1,0),0)</f>
        <v>0</v>
      </c>
      <c r="AI149" s="6">
        <f>IF((I148&lt;&gt;"")*(I152=""),IF((I148&lt;=$B$439)*((I149&gt;=$C$439)+(I149&lt;2/24)),1,0),0)</f>
        <v>0</v>
      </c>
      <c r="AJ149" s="6">
        <f>IF((J148&lt;&gt;"")*(J152=""),IF((J148&lt;=$B$439)*((J149&gt;=$C$439)+(J149&lt;2/24)),1,0),0)</f>
        <v>0</v>
      </c>
    </row>
    <row r="150" spans="1:36" ht="13.5" hidden="1" thickBot="1" x14ac:dyDescent="0.25">
      <c r="A150" s="39"/>
      <c r="B150" s="40"/>
      <c r="C150" s="15" t="s">
        <v>2</v>
      </c>
      <c r="D150" s="4"/>
      <c r="E150" s="4"/>
      <c r="F150" s="4"/>
      <c r="G150" s="4"/>
      <c r="H150" s="4"/>
      <c r="I150" s="4"/>
      <c r="J150" s="4"/>
      <c r="K150" s="17"/>
      <c r="L150" s="6"/>
      <c r="M150" s="21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D150" s="6">
        <f>IF((D148&lt;&gt;"")*(D152=""),IF((D148&lt;=$B$440)*((D149&gt;=$C$440)+(D149&lt;2/24)),1,0),0)</f>
        <v>0</v>
      </c>
      <c r="AE150" s="6">
        <f>IF((E148&lt;&gt;"")*(E152=""),IF((E148&lt;=$B$440)*((E149&gt;=$C$440)+(E149&lt;2/24)),1,0),0)</f>
        <v>0</v>
      </c>
      <c r="AF150" s="6">
        <f>IF((F148&lt;&gt;"")*(F152=""),IF((F148&lt;=$B$440)*((F149&gt;=$C$440)+(F149&lt;2/24)),1,0),0)</f>
        <v>0</v>
      </c>
      <c r="AG150" s="6">
        <f>IF((G148&lt;&gt;"")*(G152=""),IF((G148&lt;=$B$440)*((G149&gt;=$C$440)+(G149&lt;2/24)),1,0),0)</f>
        <v>0</v>
      </c>
      <c r="AH150" s="6">
        <f>IF((H148&lt;&gt;"")*(H152=""),IF((H148&lt;=$B$440)*((H149&gt;=$C$440)+(H149&lt;2/24)),1,0),0)</f>
        <v>0</v>
      </c>
      <c r="AI150" s="6">
        <f>IF((I148&lt;&gt;"")*(I152=""),IF((I148&lt;=$B$440)*((I149&gt;=$C$440)+(I149&lt;2/24)),1,0),0)</f>
        <v>0</v>
      </c>
      <c r="AJ150" s="6">
        <f>IF((J148&lt;&gt;"")*(J152=""),IF((J148&lt;=$B$440)*((J149&gt;=$C$440)+(J149&lt;2/24)),1,0),0)</f>
        <v>0</v>
      </c>
    </row>
    <row r="151" spans="1:36" ht="13.5" hidden="1" thickBot="1" x14ac:dyDescent="0.25">
      <c r="A151" s="39"/>
      <c r="B151" s="40"/>
      <c r="C151" s="15" t="s">
        <v>3</v>
      </c>
      <c r="D151" s="43"/>
      <c r="E151" s="43"/>
      <c r="F151" s="43"/>
      <c r="G151" s="43"/>
      <c r="H151" s="43"/>
      <c r="I151" s="43"/>
      <c r="J151" s="44"/>
      <c r="K151" s="18">
        <f>SUMIF(D152:J152,"",D151:J151)</f>
        <v>0</v>
      </c>
      <c r="L151" s="12">
        <f>SUM(D151:J151)</f>
        <v>0</v>
      </c>
      <c r="M151" s="24"/>
      <c r="N151" s="10">
        <f t="shared" ref="N151:T151" si="48">IF(D152="",D151,0)</f>
        <v>0</v>
      </c>
      <c r="O151" s="10">
        <f t="shared" si="48"/>
        <v>0</v>
      </c>
      <c r="P151" s="10">
        <f t="shared" si="48"/>
        <v>0</v>
      </c>
      <c r="Q151" s="10">
        <f t="shared" si="48"/>
        <v>0</v>
      </c>
      <c r="R151" s="10">
        <f t="shared" si="48"/>
        <v>0</v>
      </c>
      <c r="S151" s="10">
        <f t="shared" si="48"/>
        <v>0</v>
      </c>
      <c r="T151" s="10">
        <f t="shared" si="48"/>
        <v>0</v>
      </c>
      <c r="U151" s="10"/>
      <c r="V151" s="10">
        <f t="shared" ref="V151:AB151" si="49">D151</f>
        <v>0</v>
      </c>
      <c r="W151" s="10">
        <f t="shared" si="49"/>
        <v>0</v>
      </c>
      <c r="X151" s="10">
        <f t="shared" si="49"/>
        <v>0</v>
      </c>
      <c r="Y151" s="10">
        <f t="shared" si="49"/>
        <v>0</v>
      </c>
      <c r="Z151" s="10">
        <f t="shared" si="49"/>
        <v>0</v>
      </c>
      <c r="AA151" s="10">
        <f t="shared" si="49"/>
        <v>0</v>
      </c>
      <c r="AB151" s="10">
        <f t="shared" si="49"/>
        <v>0</v>
      </c>
      <c r="AD151" s="6">
        <f>IF((D148&lt;&gt;"")*(D152=""),IF((D148&lt;=$B$441)*((D149&gt;=$C$441)+(D149&lt;2/24)),1,0),0)</f>
        <v>0</v>
      </c>
      <c r="AE151" s="6">
        <f>IF((E148&lt;&gt;"")*(E152=""),IF((E148&lt;=$B$441)*((E149&gt;=$C$441)+(E149&lt;2/24)),1,0),0)</f>
        <v>0</v>
      </c>
      <c r="AF151" s="6">
        <f>IF((F148&lt;&gt;"")*(F152=""),IF((F148&lt;=$B$441)*((F149&gt;=$C$441)+(F149&lt;2/24)),1,0),0)</f>
        <v>0</v>
      </c>
      <c r="AG151" s="6">
        <f>IF((G148&lt;&gt;"")*(G152=""),IF((G148&lt;=$B$441)*((G149&gt;=$C$441)+(G149&lt;2/24)),1,0),0)</f>
        <v>0</v>
      </c>
      <c r="AH151" s="6">
        <f>IF((H148&lt;&gt;"")*(H152=""),IF((H148&lt;=$B$441)*((H149&gt;=$C$441)+(H149&lt;2/24)),1,0),0)</f>
        <v>0</v>
      </c>
      <c r="AI151" s="6">
        <f>IF((I148&lt;&gt;"")*(I152=""),IF((I148&lt;=$B$441)*((I149&gt;=$C$441)+(I149&lt;2/24)),1,0),0)</f>
        <v>0</v>
      </c>
      <c r="AJ151" s="6">
        <f>IF((J148&lt;&gt;"")*(J152=""),IF((J148&lt;=$B$441)*((J149&gt;=$C$441)+(J149&lt;2/24)),1,0),0)</f>
        <v>0</v>
      </c>
    </row>
    <row r="152" spans="1:36" ht="13.5" hidden="1" thickBot="1" x14ac:dyDescent="0.25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  <c r="N152" s="6"/>
      <c r="O152" s="6"/>
      <c r="P152" s="6"/>
      <c r="Q152" s="6"/>
      <c r="R152" s="6"/>
      <c r="S152" s="6"/>
      <c r="T152" s="6"/>
      <c r="U152" s="6"/>
      <c r="V152" s="20"/>
      <c r="W152" s="20"/>
      <c r="X152" s="20"/>
      <c r="Y152" s="20"/>
      <c r="Z152" s="20"/>
      <c r="AA152" s="20"/>
      <c r="AB152" s="20"/>
      <c r="AD152" s="6">
        <f>IF((D148&lt;&gt;"")*(D152=""),IF((D148&lt;=$B$442)*((D149&gt;=$C$442)+(D149&lt;2/24)),1,0),0)</f>
        <v>0</v>
      </c>
      <c r="AE152" s="6">
        <f>IF((E148&lt;&gt;"")*(E152=""),IF((E148&lt;=$B$442)*((E149&gt;=$C$442)+(E149&lt;2/24)),1,0),0)</f>
        <v>0</v>
      </c>
      <c r="AF152" s="6">
        <f>IF((F148&lt;&gt;"")*(F152=""),IF((F148&lt;=$B$442)*((F149&gt;=$C$442)+(F149&lt;2/24)),1,0),0)</f>
        <v>0</v>
      </c>
      <c r="AG152" s="6">
        <f>IF((G148&lt;&gt;"")*(G152=""),IF((G148&lt;=$B$442)*((G149&gt;=$C$442)+(G149&lt;2/24)),1,0),0)</f>
        <v>0</v>
      </c>
      <c r="AH152" s="6">
        <f>IF((H148&lt;&gt;"")*(H152=""),IF((H148&lt;=$B$442)*((H149&gt;=$C$442)+(H149&lt;2/24)),1,0),0)</f>
        <v>0</v>
      </c>
      <c r="AI152" s="6">
        <f>IF((I148&lt;&gt;"")*(I152=""),IF((I148&lt;=$B$442)*((I149&gt;=$C$442)+(I149&lt;2/24)),1,0),0)</f>
        <v>0</v>
      </c>
      <c r="AJ152" s="6">
        <f>IF((J148&lt;&gt;"")*(J152=""),IF((J148&lt;=$B$442)*((J149&gt;=$C$442)+(J149&lt;2/24)),1,0),0)</f>
        <v>0</v>
      </c>
    </row>
    <row r="153" spans="1:36" ht="13.5" hidden="1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  <c r="N153" s="6"/>
      <c r="O153" s="6"/>
      <c r="P153" s="6"/>
      <c r="Q153" s="6"/>
      <c r="R153" s="6"/>
      <c r="S153" s="6"/>
      <c r="T153" s="6"/>
      <c r="U153" s="6"/>
      <c r="V153" s="20"/>
      <c r="W153" s="20"/>
      <c r="X153" s="20"/>
      <c r="Y153" s="20"/>
      <c r="Z153" s="20"/>
      <c r="AA153" s="20"/>
      <c r="AB153" s="20"/>
      <c r="AD153" s="6"/>
      <c r="AE153" s="6"/>
      <c r="AF153" s="6"/>
      <c r="AG153" s="6"/>
      <c r="AH153" s="6"/>
      <c r="AI153" s="6"/>
      <c r="AJ153" s="6"/>
    </row>
    <row r="154" spans="1:36" ht="13.5" hidden="1" thickBot="1" x14ac:dyDescent="0.25">
      <c r="A154" s="37" t="s">
        <v>29</v>
      </c>
      <c r="B154" s="38" t="s">
        <v>30</v>
      </c>
      <c r="C154" s="14" t="s">
        <v>0</v>
      </c>
      <c r="D154" s="26"/>
      <c r="E154" s="26"/>
      <c r="F154" s="26"/>
      <c r="G154" s="26"/>
      <c r="H154" s="26"/>
      <c r="I154" s="26"/>
      <c r="J154" s="26"/>
      <c r="K154" s="16"/>
      <c r="L154" s="6"/>
      <c r="M154" s="21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D154" s="6">
        <f>IF((D154&lt;&gt;"")*(D158=""),IF((D154&lt;=$B$438)*((D155&gt;=$C$438)+(D155&lt;2/24)),1,0),0)</f>
        <v>0</v>
      </c>
      <c r="AE154" s="6">
        <f>IF((E154&lt;&gt;"")*(E158=""),IF((E154&lt;=$B$438)*((E155&gt;=$C$438)+(E155&lt;2/24)),1,0),0)</f>
        <v>0</v>
      </c>
      <c r="AF154" s="6">
        <f>IF((F154&lt;&gt;"")*(F158=""),IF((F154&lt;=$B$438)*((F155&gt;=$C$438)+(F155&lt;2/24)),1,0),0)</f>
        <v>0</v>
      </c>
      <c r="AG154" s="6">
        <f>IF((G154&lt;&gt;"")*(G158=""),IF((G154&lt;=$B$438)*((G155&gt;=$C$438)+(G155&lt;2/24)),1,0),0)</f>
        <v>0</v>
      </c>
      <c r="AH154" s="6">
        <f>IF((H154&lt;&gt;"")*(H158=""),IF((H154&lt;=$B$438)*((H155&gt;=$C$438)+(H155&lt;2/24)),1,0),0)</f>
        <v>0</v>
      </c>
      <c r="AI154" s="6">
        <f>IF((I154&lt;&gt;"")*(I158=""),IF((I154&lt;=$B$438)*((I155&gt;=$C$438)+(I155&lt;2/24)),1,0),0)</f>
        <v>0</v>
      </c>
      <c r="AJ154" s="6">
        <f>IF((J154&lt;&gt;"")*(J158=""),IF((J154&lt;=$B$438)*((J155&gt;=$C$438)+(J155&lt;2/24)),1,0),0)</f>
        <v>0</v>
      </c>
    </row>
    <row r="155" spans="1:36" ht="13.5" hidden="1" thickBot="1" x14ac:dyDescent="0.25">
      <c r="A155" s="39"/>
      <c r="B155" s="40"/>
      <c r="C155" s="15" t="s">
        <v>1</v>
      </c>
      <c r="D155" s="27"/>
      <c r="E155" s="27"/>
      <c r="F155" s="27"/>
      <c r="G155" s="27"/>
      <c r="H155" s="27"/>
      <c r="I155" s="27"/>
      <c r="J155" s="27"/>
      <c r="K155" s="17"/>
      <c r="L155" s="6"/>
      <c r="M155" s="21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D155" s="6">
        <f>IF((D154&lt;&gt;"")*(D158=""),IF((D154&lt;=$B$439)*((D155&gt;=$C$439)+(D155&lt;2/24)),1,0),0)</f>
        <v>0</v>
      </c>
      <c r="AE155" s="6">
        <f>IF((E154&lt;&gt;"")*(E158=""),IF((E154&lt;=$B$439)*((E155&gt;=$C$439)+(E155&lt;2/24)),1,0),0)</f>
        <v>0</v>
      </c>
      <c r="AF155" s="6">
        <f>IF((F154&lt;&gt;"")*(F158=""),IF((F154&lt;=$B$439)*((F155&gt;=$C$439)+(F155&lt;2/24)),1,0),0)</f>
        <v>0</v>
      </c>
      <c r="AG155" s="6">
        <f>IF((G154&lt;&gt;"")*(G158=""),IF((G154&lt;=$B$439)*((G155&gt;=$C$439)+(G155&lt;2/24)),1,0),0)</f>
        <v>0</v>
      </c>
      <c r="AH155" s="6">
        <f>IF((H154&lt;&gt;"")*(H158=""),IF((H154&lt;=$B$439)*((H155&gt;=$C$439)+(H155&lt;2/24)),1,0),0)</f>
        <v>0</v>
      </c>
      <c r="AI155" s="6">
        <f>IF((I154&lt;&gt;"")*(I158=""),IF((I154&lt;=$B$439)*((I155&gt;=$C$439)+(I155&lt;2/24)),1,0),0)</f>
        <v>0</v>
      </c>
      <c r="AJ155" s="6">
        <f>IF((J154&lt;&gt;"")*(J158=""),IF((J154&lt;=$B$439)*((J155&gt;=$C$439)+(J155&lt;2/24)),1,0),0)</f>
        <v>0</v>
      </c>
    </row>
    <row r="156" spans="1:36" ht="13.5" hidden="1" thickBot="1" x14ac:dyDescent="0.25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  <c r="L156" s="6"/>
      <c r="M156" s="21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D156" s="6">
        <f>IF((D154&lt;&gt;"")*(D158=""),IF((D154&lt;=$B$440)*((D155&gt;=$C$440)+(D155&lt;2/24)),1,0),0)</f>
        <v>0</v>
      </c>
      <c r="AE156" s="6">
        <f>IF((E154&lt;&gt;"")*(E158=""),IF((E154&lt;=$B$440)*((E155&gt;=$C$440)+(E155&lt;2/24)),1,0),0)</f>
        <v>0</v>
      </c>
      <c r="AF156" s="6">
        <f>IF((F154&lt;&gt;"")*(F158=""),IF((F154&lt;=$B$440)*((F155&gt;=$C$440)+(F155&lt;2/24)),1,0),0)</f>
        <v>0</v>
      </c>
      <c r="AG156" s="6">
        <f>IF((G154&lt;&gt;"")*(G158=""),IF((G154&lt;=$B$440)*((G155&gt;=$C$440)+(G155&lt;2/24)),1,0),0)</f>
        <v>0</v>
      </c>
      <c r="AH156" s="6">
        <f>IF((H154&lt;&gt;"")*(H158=""),IF((H154&lt;=$B$440)*((H155&gt;=$C$440)+(H155&lt;2/24)),1,0),0)</f>
        <v>0</v>
      </c>
      <c r="AI156" s="6">
        <f>IF((I154&lt;&gt;"")*(I158=""),IF((I154&lt;=$B$440)*((I155&gt;=$C$440)+(I155&lt;2/24)),1,0),0)</f>
        <v>0</v>
      </c>
      <c r="AJ156" s="6">
        <f>IF((J154&lt;&gt;"")*(J158=""),IF((J154&lt;=$B$440)*((J155&gt;=$C$440)+(J155&lt;2/24)),1,0),0)</f>
        <v>0</v>
      </c>
    </row>
    <row r="157" spans="1:36" ht="13.5" hidden="1" thickBot="1" x14ac:dyDescent="0.25">
      <c r="A157" s="39"/>
      <c r="B157" s="40"/>
      <c r="C157" s="15" t="s">
        <v>3</v>
      </c>
      <c r="D157" s="43"/>
      <c r="E157" s="43"/>
      <c r="F157" s="43"/>
      <c r="G157" s="43"/>
      <c r="H157" s="43"/>
      <c r="I157" s="43"/>
      <c r="J157" s="44"/>
      <c r="K157" s="18">
        <f>SUMIF(D158:J158,"",D157:J157)</f>
        <v>0</v>
      </c>
      <c r="L157" s="12">
        <f>SUM(D157:J157)</f>
        <v>0</v>
      </c>
      <c r="M157" s="24"/>
      <c r="N157" s="10">
        <f t="shared" ref="N157:T157" si="50">IF(D158="",D157,0)</f>
        <v>0</v>
      </c>
      <c r="O157" s="10">
        <f t="shared" si="50"/>
        <v>0</v>
      </c>
      <c r="P157" s="10">
        <f t="shared" si="50"/>
        <v>0</v>
      </c>
      <c r="Q157" s="10">
        <f t="shared" si="50"/>
        <v>0</v>
      </c>
      <c r="R157" s="10">
        <f t="shared" si="50"/>
        <v>0</v>
      </c>
      <c r="S157" s="10">
        <f t="shared" si="50"/>
        <v>0</v>
      </c>
      <c r="T157" s="10">
        <f t="shared" si="50"/>
        <v>0</v>
      </c>
      <c r="U157" s="10"/>
      <c r="V157" s="10">
        <f t="shared" ref="V157:AB157" si="51">D157</f>
        <v>0</v>
      </c>
      <c r="W157" s="10">
        <f t="shared" si="51"/>
        <v>0</v>
      </c>
      <c r="X157" s="10">
        <f t="shared" si="51"/>
        <v>0</v>
      </c>
      <c r="Y157" s="10">
        <f t="shared" si="51"/>
        <v>0</v>
      </c>
      <c r="Z157" s="10">
        <f t="shared" si="51"/>
        <v>0</v>
      </c>
      <c r="AA157" s="10">
        <f t="shared" si="51"/>
        <v>0</v>
      </c>
      <c r="AB157" s="10">
        <f t="shared" si="51"/>
        <v>0</v>
      </c>
      <c r="AD157" s="6">
        <f>IF((D154&lt;&gt;"")*(D158=""),IF((D154&lt;=$B$441)*((D155&gt;=$C$441)+(D155&lt;2/24)),1,0),0)</f>
        <v>0</v>
      </c>
      <c r="AE157" s="6">
        <f>IF((E154&lt;&gt;"")*(E158=""),IF((E154&lt;=$B$441)*((E155&gt;=$C$441)+(E155&lt;2/24)),1,0),0)</f>
        <v>0</v>
      </c>
      <c r="AF157" s="6">
        <f>IF((F154&lt;&gt;"")*(F158=""),IF((F154&lt;=$B$441)*((F155&gt;=$C$441)+(F155&lt;2/24)),1,0),0)</f>
        <v>0</v>
      </c>
      <c r="AG157" s="6">
        <f>IF((G154&lt;&gt;"")*(G158=""),IF((G154&lt;=$B$441)*((G155&gt;=$C$441)+(G155&lt;2/24)),1,0),0)</f>
        <v>0</v>
      </c>
      <c r="AH157" s="6">
        <f>IF((H154&lt;&gt;"")*(H158=""),IF((H154&lt;=$B$441)*((H155&gt;=$C$441)+(H155&lt;2/24)),1,0),0)</f>
        <v>0</v>
      </c>
      <c r="AI157" s="6">
        <f>IF((I154&lt;&gt;"")*(I158=""),IF((I154&lt;=$B$441)*((I155&gt;=$C$441)+(I155&lt;2/24)),1,0),0)</f>
        <v>0</v>
      </c>
      <c r="AJ157" s="6">
        <f>IF((J154&lt;&gt;"")*(J158=""),IF((J154&lt;=$B$441)*((J155&gt;=$C$441)+(J155&lt;2/24)),1,0),0)</f>
        <v>0</v>
      </c>
    </row>
    <row r="158" spans="1:36" ht="13.5" hidden="1" thickBot="1" x14ac:dyDescent="0.25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  <c r="N158" s="6"/>
      <c r="O158" s="6"/>
      <c r="P158" s="6"/>
      <c r="Q158" s="6"/>
      <c r="R158" s="6"/>
      <c r="S158" s="6"/>
      <c r="T158" s="6"/>
      <c r="U158" s="6"/>
      <c r="V158" s="20"/>
      <c r="W158" s="20"/>
      <c r="X158" s="20"/>
      <c r="Y158" s="20"/>
      <c r="Z158" s="20"/>
      <c r="AA158" s="20"/>
      <c r="AB158" s="20"/>
      <c r="AD158" s="6">
        <f>IF((D154&lt;&gt;"")*(D158=""),IF((D154&lt;=$B$442)*((D155&gt;=$C$442)+(D155&lt;2/24)),1,0),0)</f>
        <v>0</v>
      </c>
      <c r="AE158" s="6">
        <f>IF((E154&lt;&gt;"")*(E158=""),IF((E154&lt;=$B$442)*((E155&gt;=$C$442)+(E155&lt;2/24)),1,0),0)</f>
        <v>0</v>
      </c>
      <c r="AF158" s="6">
        <f>IF((F154&lt;&gt;"")*(F158=""),IF((F154&lt;=$B$442)*((F155&gt;=$C$442)+(F155&lt;2/24)),1,0),0)</f>
        <v>0</v>
      </c>
      <c r="AG158" s="6">
        <f>IF((G154&lt;&gt;"")*(G158=""),IF((G154&lt;=$B$442)*((G155&gt;=$C$442)+(G155&lt;2/24)),1,0),0)</f>
        <v>0</v>
      </c>
      <c r="AH158" s="6">
        <f>IF((H154&lt;&gt;"")*(H158=""),IF((H154&lt;=$B$442)*((H155&gt;=$C$442)+(H155&lt;2/24)),1,0),0)</f>
        <v>0</v>
      </c>
      <c r="AI158" s="6">
        <f>IF((I154&lt;&gt;"")*(I158=""),IF((I154&lt;=$B$442)*((I155&gt;=$C$442)+(I155&lt;2/24)),1,0),0)</f>
        <v>0</v>
      </c>
      <c r="AJ158" s="6">
        <f>IF((J154&lt;&gt;"")*(J158=""),IF((J154&lt;=$B$442)*((J155&gt;=$C$442)+(J155&lt;2/24)),1,0),0)</f>
        <v>0</v>
      </c>
    </row>
    <row r="159" spans="1:36" ht="13.5" hidden="1" thickBot="1" x14ac:dyDescent="0.25">
      <c r="A159" s="41"/>
      <c r="B159" s="42"/>
      <c r="C159" s="35" t="s">
        <v>28</v>
      </c>
      <c r="D159" s="36"/>
      <c r="E159" s="36"/>
      <c r="F159" s="36"/>
      <c r="G159" s="36"/>
      <c r="H159" s="36"/>
      <c r="I159" s="36"/>
      <c r="J159" s="36"/>
      <c r="K159" s="34"/>
      <c r="L159" s="6"/>
      <c r="M159" s="25"/>
      <c r="N159" s="6"/>
      <c r="O159" s="6"/>
      <c r="P159" s="6"/>
      <c r="Q159" s="6"/>
      <c r="R159" s="6"/>
      <c r="S159" s="6"/>
      <c r="T159" s="6"/>
      <c r="U159" s="6"/>
      <c r="V159" s="20"/>
      <c r="W159" s="20"/>
      <c r="X159" s="20"/>
      <c r="Y159" s="20"/>
      <c r="Z159" s="20"/>
      <c r="AA159" s="20"/>
      <c r="AB159" s="20"/>
      <c r="AD159" s="6"/>
      <c r="AE159" s="6"/>
      <c r="AF159" s="6"/>
      <c r="AG159" s="6"/>
      <c r="AH159" s="6"/>
      <c r="AI159" s="6"/>
      <c r="AJ159" s="6"/>
    </row>
    <row r="160" spans="1:36" ht="13.5" hidden="1" thickBot="1" x14ac:dyDescent="0.25">
      <c r="A160" s="37" t="s">
        <v>29</v>
      </c>
      <c r="B160" s="38" t="s">
        <v>30</v>
      </c>
      <c r="C160" s="14" t="s">
        <v>0</v>
      </c>
      <c r="D160" s="26"/>
      <c r="E160" s="26"/>
      <c r="F160" s="26"/>
      <c r="G160" s="26"/>
      <c r="H160" s="26"/>
      <c r="I160" s="26"/>
      <c r="J160" s="26"/>
      <c r="K160" s="16"/>
      <c r="L160" s="6"/>
      <c r="M160" s="21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D160" s="6">
        <f>IF((D160&lt;&gt;"")*(D164=""),IF((D160&lt;=$B$438)*((D161&gt;=$C$438)+(D161&lt;2/24)),1,0),0)</f>
        <v>0</v>
      </c>
      <c r="AE160" s="6">
        <f>IF((E160&lt;&gt;"")*(E164=""),IF((E160&lt;=$B$438)*((E161&gt;=$C$438)+(E161&lt;2/24)),1,0),0)</f>
        <v>0</v>
      </c>
      <c r="AF160" s="6">
        <f>IF((F160&lt;&gt;"")*(F164=""),IF((F160&lt;=$B$438)*((F161&gt;=$C$438)+(F161&lt;2/24)),1,0),0)</f>
        <v>0</v>
      </c>
      <c r="AG160" s="6">
        <f>IF((G160&lt;&gt;"")*(G164=""),IF((G160&lt;=$B$438)*((G161&gt;=$C$438)+(G161&lt;2/24)),1,0),0)</f>
        <v>0</v>
      </c>
      <c r="AH160" s="6">
        <f>IF((H160&lt;&gt;"")*(H164=""),IF((H160&lt;=$B$438)*((H161&gt;=$C$438)+(H161&lt;2/24)),1,0),0)</f>
        <v>0</v>
      </c>
      <c r="AI160" s="6">
        <f>IF((I160&lt;&gt;"")*(I164=""),IF((I160&lt;=$B$438)*((I161&gt;=$C$438)+(I161&lt;2/24)),1,0),0)</f>
        <v>0</v>
      </c>
      <c r="AJ160" s="6">
        <f>IF((J160&lt;&gt;"")*(J164=""),IF((J160&lt;=$B$438)*((J161&gt;=$C$438)+(J161&lt;2/24)),1,0),0)</f>
        <v>0</v>
      </c>
    </row>
    <row r="161" spans="1:36" ht="13.5" hidden="1" thickBot="1" x14ac:dyDescent="0.25">
      <c r="A161" s="39"/>
      <c r="B161" s="40"/>
      <c r="C161" s="15" t="s">
        <v>1</v>
      </c>
      <c r="D161" s="27"/>
      <c r="E161" s="27"/>
      <c r="F161" s="27"/>
      <c r="G161" s="27"/>
      <c r="H161" s="27"/>
      <c r="I161" s="27"/>
      <c r="J161" s="27"/>
      <c r="K161" s="17"/>
      <c r="L161" s="6"/>
      <c r="M161" s="21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D161" s="6">
        <f>IF((D160&lt;&gt;"")*(D164=""),IF((D160&lt;=$B$439)*((D161&gt;=$C$439)+(D161&lt;2/24)),1,0),0)</f>
        <v>0</v>
      </c>
      <c r="AE161" s="6">
        <f>IF((E160&lt;&gt;"")*(E164=""),IF((E160&lt;=$B$439)*((E161&gt;=$C$439)+(E161&lt;2/24)),1,0),0)</f>
        <v>0</v>
      </c>
      <c r="AF161" s="6">
        <f>IF((F160&lt;&gt;"")*(F164=""),IF((F160&lt;=$B$439)*((F161&gt;=$C$439)+(F161&lt;2/24)),1,0),0)</f>
        <v>0</v>
      </c>
      <c r="AG161" s="6">
        <f>IF((G160&lt;&gt;"")*(G164=""),IF((G160&lt;=$B$439)*((G161&gt;=$C$439)+(G161&lt;2/24)),1,0),0)</f>
        <v>0</v>
      </c>
      <c r="AH161" s="6">
        <f>IF((H160&lt;&gt;"")*(H164=""),IF((H160&lt;=$B$439)*((H161&gt;=$C$439)+(H161&lt;2/24)),1,0),0)</f>
        <v>0</v>
      </c>
      <c r="AI161" s="6">
        <f>IF((I160&lt;&gt;"")*(I164=""),IF((I160&lt;=$B$439)*((I161&gt;=$C$439)+(I161&lt;2/24)),1,0),0)</f>
        <v>0</v>
      </c>
      <c r="AJ161" s="6">
        <f>IF((J160&lt;&gt;"")*(J164=""),IF((J160&lt;=$B$439)*((J161&gt;=$C$439)+(J161&lt;2/24)),1,0),0)</f>
        <v>0</v>
      </c>
    </row>
    <row r="162" spans="1:36" ht="13.5" hidden="1" thickBot="1" x14ac:dyDescent="0.25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  <c r="L162" s="6"/>
      <c r="M162" s="21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D162" s="6">
        <f>IF((D160&lt;&gt;"")*(D164=""),IF((D160&lt;=$B$440)*((D161&gt;=$C$440)+(D161&lt;2/24)),1,0),0)</f>
        <v>0</v>
      </c>
      <c r="AE162" s="6">
        <f>IF((E160&lt;&gt;"")*(E164=""),IF((E160&lt;=$B$440)*((E161&gt;=$C$440)+(E161&lt;2/24)),1,0),0)</f>
        <v>0</v>
      </c>
      <c r="AF162" s="6">
        <f>IF((F160&lt;&gt;"")*(F164=""),IF((F160&lt;=$B$440)*((F161&gt;=$C$440)+(F161&lt;2/24)),1,0),0)</f>
        <v>0</v>
      </c>
      <c r="AG162" s="6">
        <f>IF((G160&lt;&gt;"")*(G164=""),IF((G160&lt;=$B$440)*((G161&gt;=$C$440)+(G161&lt;2/24)),1,0),0)</f>
        <v>0</v>
      </c>
      <c r="AH162" s="6">
        <f>IF((H160&lt;&gt;"")*(H164=""),IF((H160&lt;=$B$440)*((H161&gt;=$C$440)+(H161&lt;2/24)),1,0),0)</f>
        <v>0</v>
      </c>
      <c r="AI162" s="6">
        <f>IF((I160&lt;&gt;"")*(I164=""),IF((I160&lt;=$B$440)*((I161&gt;=$C$440)+(I161&lt;2/24)),1,0),0)</f>
        <v>0</v>
      </c>
      <c r="AJ162" s="6">
        <f>IF((J160&lt;&gt;"")*(J164=""),IF((J160&lt;=$B$440)*((J161&gt;=$C$440)+(J161&lt;2/24)),1,0),0)</f>
        <v>0</v>
      </c>
    </row>
    <row r="163" spans="1:36" ht="13.5" hidden="1" thickBot="1" x14ac:dyDescent="0.25">
      <c r="A163" s="39"/>
      <c r="B163" s="40"/>
      <c r="C163" s="15" t="s">
        <v>3</v>
      </c>
      <c r="D163" s="43"/>
      <c r="E163" s="43"/>
      <c r="F163" s="43"/>
      <c r="G163" s="43"/>
      <c r="H163" s="43"/>
      <c r="I163" s="43"/>
      <c r="J163" s="44"/>
      <c r="K163" s="18">
        <f>SUMIF(D164:J164,"",D163:J163)</f>
        <v>0</v>
      </c>
      <c r="L163" s="12">
        <f>SUM(D163:J163)</f>
        <v>0</v>
      </c>
      <c r="M163" s="24"/>
      <c r="N163" s="10">
        <f t="shared" ref="N163:T163" si="52">IF(D164="",D163,0)</f>
        <v>0</v>
      </c>
      <c r="O163" s="10">
        <f t="shared" si="52"/>
        <v>0</v>
      </c>
      <c r="P163" s="10">
        <f t="shared" si="52"/>
        <v>0</v>
      </c>
      <c r="Q163" s="10">
        <f t="shared" si="52"/>
        <v>0</v>
      </c>
      <c r="R163" s="10">
        <f t="shared" si="52"/>
        <v>0</v>
      </c>
      <c r="S163" s="10">
        <f t="shared" si="52"/>
        <v>0</v>
      </c>
      <c r="T163" s="10">
        <f t="shared" si="52"/>
        <v>0</v>
      </c>
      <c r="U163" s="10"/>
      <c r="V163" s="10">
        <f t="shared" ref="V163:AB163" si="53">D163</f>
        <v>0</v>
      </c>
      <c r="W163" s="10">
        <f t="shared" si="53"/>
        <v>0</v>
      </c>
      <c r="X163" s="10">
        <f t="shared" si="53"/>
        <v>0</v>
      </c>
      <c r="Y163" s="10">
        <f t="shared" si="53"/>
        <v>0</v>
      </c>
      <c r="Z163" s="10">
        <f t="shared" si="53"/>
        <v>0</v>
      </c>
      <c r="AA163" s="10">
        <f t="shared" si="53"/>
        <v>0</v>
      </c>
      <c r="AB163" s="10">
        <f t="shared" si="53"/>
        <v>0</v>
      </c>
      <c r="AD163" s="6">
        <f>IF((D160&lt;&gt;"")*(D164=""),IF((D160&lt;=$B$441)*((D161&gt;=$C$441)+(D161&lt;2/24)),1,0),0)</f>
        <v>0</v>
      </c>
      <c r="AE163" s="6">
        <f>IF((E160&lt;&gt;"")*(E164=""),IF((E160&lt;=$B$441)*((E161&gt;=$C$441)+(E161&lt;2/24)),1,0),0)</f>
        <v>0</v>
      </c>
      <c r="AF163" s="6">
        <f>IF((F160&lt;&gt;"")*(F164=""),IF((F160&lt;=$B$441)*((F161&gt;=$C$441)+(F161&lt;2/24)),1,0),0)</f>
        <v>0</v>
      </c>
      <c r="AG163" s="6">
        <f>IF((G160&lt;&gt;"")*(G164=""),IF((G160&lt;=$B$441)*((G161&gt;=$C$441)+(G161&lt;2/24)),1,0),0)</f>
        <v>0</v>
      </c>
      <c r="AH163" s="6">
        <f>IF((H160&lt;&gt;"")*(H164=""),IF((H160&lt;=$B$441)*((H161&gt;=$C$441)+(H161&lt;2/24)),1,0),0)</f>
        <v>0</v>
      </c>
      <c r="AI163" s="6">
        <f>IF((I160&lt;&gt;"")*(I164=""),IF((I160&lt;=$B$441)*((I161&gt;=$C$441)+(I161&lt;2/24)),1,0),0)</f>
        <v>0</v>
      </c>
      <c r="AJ163" s="6">
        <f>IF((J160&lt;&gt;"")*(J164=""),IF((J160&lt;=$B$441)*((J161&gt;=$C$441)+(J161&lt;2/24)),1,0),0)</f>
        <v>0</v>
      </c>
    </row>
    <row r="164" spans="1:36" ht="13.5" hidden="1" thickBot="1" x14ac:dyDescent="0.25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  <c r="N164" s="6"/>
      <c r="O164" s="6"/>
      <c r="P164" s="6"/>
      <c r="Q164" s="6"/>
      <c r="R164" s="6"/>
      <c r="S164" s="6"/>
      <c r="T164" s="6"/>
      <c r="U164" s="6"/>
      <c r="V164" s="20"/>
      <c r="W164" s="20"/>
      <c r="X164" s="20"/>
      <c r="Y164" s="20"/>
      <c r="Z164" s="20"/>
      <c r="AA164" s="20"/>
      <c r="AB164" s="20"/>
      <c r="AD164" s="6">
        <f>IF((D160&lt;&gt;"")*(D164=""),IF((D160&lt;=$B$442)*((D161&gt;=$C$442)+(D161&lt;2/24)),1,0),0)</f>
        <v>0</v>
      </c>
      <c r="AE164" s="6">
        <f>IF((E160&lt;&gt;"")*(E164=""),IF((E160&lt;=$B$442)*((E161&gt;=$C$442)+(E161&lt;2/24)),1,0),0)</f>
        <v>0</v>
      </c>
      <c r="AF164" s="6">
        <f>IF((F160&lt;&gt;"")*(F164=""),IF((F160&lt;=$B$442)*((F161&gt;=$C$442)+(F161&lt;2/24)),1,0),0)</f>
        <v>0</v>
      </c>
      <c r="AG164" s="6">
        <f>IF((G160&lt;&gt;"")*(G164=""),IF((G160&lt;=$B$442)*((G161&gt;=$C$442)+(G161&lt;2/24)),1,0),0)</f>
        <v>0</v>
      </c>
      <c r="AH164" s="6">
        <f>IF((H160&lt;&gt;"")*(H164=""),IF((H160&lt;=$B$442)*((H161&gt;=$C$442)+(H161&lt;2/24)),1,0),0)</f>
        <v>0</v>
      </c>
      <c r="AI164" s="6">
        <f>IF((I160&lt;&gt;"")*(I164=""),IF((I160&lt;=$B$442)*((I161&gt;=$C$442)+(I161&lt;2/24)),1,0),0)</f>
        <v>0</v>
      </c>
      <c r="AJ164" s="6">
        <f>IF((J160&lt;&gt;"")*(J164=""),IF((J160&lt;=$B$442)*((J161&gt;=$C$442)+(J161&lt;2/24)),1,0),0)</f>
        <v>0</v>
      </c>
    </row>
    <row r="165" spans="1:36" ht="13.5" hidden="1" thickBot="1" x14ac:dyDescent="0.25">
      <c r="A165" s="41"/>
      <c r="B165" s="42"/>
      <c r="C165" s="35" t="s">
        <v>28</v>
      </c>
      <c r="D165" s="36"/>
      <c r="E165" s="36"/>
      <c r="F165" s="36"/>
      <c r="G165" s="36"/>
      <c r="H165" s="36"/>
      <c r="I165" s="36"/>
      <c r="J165" s="36"/>
      <c r="K165" s="34"/>
      <c r="L165" s="6"/>
      <c r="M165" s="25"/>
      <c r="N165" s="6"/>
      <c r="O165" s="6"/>
      <c r="P165" s="6"/>
      <c r="Q165" s="6"/>
      <c r="R165" s="6"/>
      <c r="S165" s="6"/>
      <c r="T165" s="6"/>
      <c r="U165" s="6"/>
      <c r="V165" s="20"/>
      <c r="W165" s="20"/>
      <c r="X165" s="20"/>
      <c r="Y165" s="20"/>
      <c r="Z165" s="20"/>
      <c r="AA165" s="20"/>
      <c r="AB165" s="20"/>
      <c r="AD165" s="6"/>
      <c r="AE165" s="6"/>
      <c r="AF165" s="6"/>
      <c r="AG165" s="6"/>
      <c r="AH165" s="6"/>
      <c r="AI165" s="6"/>
      <c r="AJ165" s="6"/>
    </row>
    <row r="166" spans="1:36" ht="13.5" hidden="1" thickBot="1" x14ac:dyDescent="0.25">
      <c r="A166" s="37" t="s">
        <v>29</v>
      </c>
      <c r="B166" s="38" t="s">
        <v>30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  <c r="L166" s="6"/>
      <c r="M166" s="21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D166" s="6">
        <f>IF((D166&lt;&gt;"")*(D170=""),IF((D166&lt;=$B$438)*((D167&gt;=$C$438)+(D167&lt;2/24)),1,0),0)</f>
        <v>0</v>
      </c>
      <c r="AE166" s="6">
        <f>IF((E166&lt;&gt;"")*(E170=""),IF((E166&lt;=$B$438)*((E167&gt;=$C$438)+(E167&lt;2/24)),1,0),0)</f>
        <v>0</v>
      </c>
      <c r="AF166" s="6">
        <f>IF((F166&lt;&gt;"")*(F170=""),IF((F166&lt;=$B$438)*((F167&gt;=$C$438)+(F167&lt;2/24)),1,0),0)</f>
        <v>0</v>
      </c>
      <c r="AG166" s="6">
        <f>IF((G166&lt;&gt;"")*(G170=""),IF((G166&lt;=$B$438)*((G167&gt;=$C$438)+(G167&lt;2/24)),1,0),0)</f>
        <v>0</v>
      </c>
      <c r="AH166" s="6">
        <f>IF((H166&lt;&gt;"")*(H170=""),IF((H166&lt;=$B$438)*((H167&gt;=$C$438)+(H167&lt;2/24)),1,0),0)</f>
        <v>0</v>
      </c>
      <c r="AI166" s="6">
        <f>IF((I166&lt;&gt;"")*(I170=""),IF((I166&lt;=$B$438)*((I167&gt;=$C$438)+(I167&lt;2/24)),1,0),0)</f>
        <v>0</v>
      </c>
      <c r="AJ166" s="6">
        <f>IF((J166&lt;&gt;"")*(J170=""),IF((J166&lt;=$B$438)*((J167&gt;=$C$438)+(J167&lt;2/24)),1,0),0)</f>
        <v>0</v>
      </c>
    </row>
    <row r="167" spans="1:36" ht="13.5" hidden="1" thickBot="1" x14ac:dyDescent="0.25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  <c r="L167" s="6"/>
      <c r="M167" s="21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D167" s="6">
        <f>IF((D166&lt;&gt;"")*(D170=""),IF((D166&lt;=$B$439)*((D167&gt;=$C$439)+(D167&lt;2/24)),1,0),0)</f>
        <v>0</v>
      </c>
      <c r="AE167" s="6">
        <f>IF((E166&lt;&gt;"")*(E170=""),IF((E166&lt;=$B$439)*((E167&gt;=$C$439)+(E167&lt;2/24)),1,0),0)</f>
        <v>0</v>
      </c>
      <c r="AF167" s="6">
        <f>IF((F166&lt;&gt;"")*(F170=""),IF((F166&lt;=$B$439)*((F167&gt;=$C$439)+(F167&lt;2/24)),1,0),0)</f>
        <v>0</v>
      </c>
      <c r="AG167" s="6">
        <f>IF((G166&lt;&gt;"")*(G170=""),IF((G166&lt;=$B$439)*((G167&gt;=$C$439)+(G167&lt;2/24)),1,0),0)</f>
        <v>0</v>
      </c>
      <c r="AH167" s="6">
        <f>IF((H166&lt;&gt;"")*(H170=""),IF((H166&lt;=$B$439)*((H167&gt;=$C$439)+(H167&lt;2/24)),1,0),0)</f>
        <v>0</v>
      </c>
      <c r="AI167" s="6">
        <f>IF((I166&lt;&gt;"")*(I170=""),IF((I166&lt;=$B$439)*((I167&gt;=$C$439)+(I167&lt;2/24)),1,0),0)</f>
        <v>0</v>
      </c>
      <c r="AJ167" s="6">
        <f>IF((J166&lt;&gt;"")*(J170=""),IF((J166&lt;=$B$439)*((J167&gt;=$C$439)+(J167&lt;2/24)),1,0),0)</f>
        <v>0</v>
      </c>
    </row>
    <row r="168" spans="1:36" ht="13.5" hidden="1" thickBot="1" x14ac:dyDescent="0.25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D168" s="6">
        <f>IF((D166&lt;&gt;"")*(D170=""),IF((D166&lt;=$B$440)*((D167&gt;=$C$440)+(D167&lt;2/24)),1,0),0)</f>
        <v>0</v>
      </c>
      <c r="AE168" s="6">
        <f>IF((E166&lt;&gt;"")*(E170=""),IF((E166&lt;=$B$440)*((E167&gt;=$C$440)+(E167&lt;2/24)),1,0),0)</f>
        <v>0</v>
      </c>
      <c r="AF168" s="6">
        <f>IF((F166&lt;&gt;"")*(F170=""),IF((F166&lt;=$B$440)*((F167&gt;=$C$440)+(F167&lt;2/24)),1,0),0)</f>
        <v>0</v>
      </c>
      <c r="AG168" s="6">
        <f>IF((G166&lt;&gt;"")*(G170=""),IF((G166&lt;=$B$440)*((G167&gt;=$C$440)+(G167&lt;2/24)),1,0),0)</f>
        <v>0</v>
      </c>
      <c r="AH168" s="6">
        <f>IF((H166&lt;&gt;"")*(H170=""),IF((H166&lt;=$B$440)*((H167&gt;=$C$440)+(H167&lt;2/24)),1,0),0)</f>
        <v>0</v>
      </c>
      <c r="AI168" s="6">
        <f>IF((I166&lt;&gt;"")*(I170=""),IF((I166&lt;=$B$440)*((I167&gt;=$C$440)+(I167&lt;2/24)),1,0),0)</f>
        <v>0</v>
      </c>
      <c r="AJ168" s="6">
        <f>IF((J166&lt;&gt;"")*(J170=""),IF((J166&lt;=$B$440)*((J167&gt;=$C$440)+(J167&lt;2/24)),1,0),0)</f>
        <v>0</v>
      </c>
    </row>
    <row r="169" spans="1:36" ht="13.5" hidden="1" thickBot="1" x14ac:dyDescent="0.25">
      <c r="A169" s="39"/>
      <c r="B169" s="40"/>
      <c r="C169" s="15" t="s">
        <v>3</v>
      </c>
      <c r="D169" s="43"/>
      <c r="E169" s="43"/>
      <c r="F169" s="43"/>
      <c r="G169" s="43"/>
      <c r="H169" s="43"/>
      <c r="I169" s="43"/>
      <c r="J169" s="44"/>
      <c r="K169" s="18">
        <f>SUMIF(D170:J170,"",D169:J169)</f>
        <v>0</v>
      </c>
      <c r="L169" s="12">
        <f>SUM(D169:J169)</f>
        <v>0</v>
      </c>
      <c r="M169" s="24"/>
      <c r="N169" s="10">
        <f t="shared" ref="N169:T169" si="54">IF(D170="",D169,0)</f>
        <v>0</v>
      </c>
      <c r="O169" s="10">
        <f t="shared" si="54"/>
        <v>0</v>
      </c>
      <c r="P169" s="10">
        <f t="shared" si="54"/>
        <v>0</v>
      </c>
      <c r="Q169" s="10">
        <f t="shared" si="54"/>
        <v>0</v>
      </c>
      <c r="R169" s="10">
        <f t="shared" si="54"/>
        <v>0</v>
      </c>
      <c r="S169" s="10">
        <f t="shared" si="54"/>
        <v>0</v>
      </c>
      <c r="T169" s="10">
        <f t="shared" si="54"/>
        <v>0</v>
      </c>
      <c r="U169" s="10"/>
      <c r="V169" s="10">
        <f t="shared" ref="V169:AB169" si="55">D169</f>
        <v>0</v>
      </c>
      <c r="W169" s="10">
        <f t="shared" si="55"/>
        <v>0</v>
      </c>
      <c r="X169" s="10">
        <f t="shared" si="55"/>
        <v>0</v>
      </c>
      <c r="Y169" s="10">
        <f t="shared" si="55"/>
        <v>0</v>
      </c>
      <c r="Z169" s="10">
        <f t="shared" si="55"/>
        <v>0</v>
      </c>
      <c r="AA169" s="10">
        <f t="shared" si="55"/>
        <v>0</v>
      </c>
      <c r="AB169" s="10">
        <f t="shared" si="55"/>
        <v>0</v>
      </c>
      <c r="AD169" s="6">
        <f>IF((D166&lt;&gt;"")*(D170=""),IF((D166&lt;=$B$441)*((D167&gt;=$C$441)+(D167&lt;2/24)),1,0),0)</f>
        <v>0</v>
      </c>
      <c r="AE169" s="6">
        <f>IF((E166&lt;&gt;"")*(E170=""),IF((E166&lt;=$B$441)*((E167&gt;=$C$441)+(E167&lt;2/24)),1,0),0)</f>
        <v>0</v>
      </c>
      <c r="AF169" s="6">
        <f>IF((F166&lt;&gt;"")*(F170=""),IF((F166&lt;=$B$441)*((F167&gt;=$C$441)+(F167&lt;2/24)),1,0),0)</f>
        <v>0</v>
      </c>
      <c r="AG169" s="6">
        <f>IF((G166&lt;&gt;"")*(G170=""),IF((G166&lt;=$B$441)*((G167&gt;=$C$441)+(G167&lt;2/24)),1,0),0)</f>
        <v>0</v>
      </c>
      <c r="AH169" s="6">
        <f>IF((H166&lt;&gt;"")*(H170=""),IF((H166&lt;=$B$441)*((H167&gt;=$C$441)+(H167&lt;2/24)),1,0),0)</f>
        <v>0</v>
      </c>
      <c r="AI169" s="6">
        <f>IF((I166&lt;&gt;"")*(I170=""),IF((I166&lt;=$B$441)*((I167&gt;=$C$441)+(I167&lt;2/24)),1,0),0)</f>
        <v>0</v>
      </c>
      <c r="AJ169" s="6">
        <f>IF((J166&lt;&gt;"")*(J170=""),IF((J166&lt;=$B$441)*((J167&gt;=$C$441)+(J167&lt;2/24)),1,0),0)</f>
        <v>0</v>
      </c>
    </row>
    <row r="170" spans="1:36" ht="13.5" hidden="1" thickBot="1" x14ac:dyDescent="0.25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  <c r="N170" s="6"/>
      <c r="O170" s="6"/>
      <c r="P170" s="6"/>
      <c r="Q170" s="6"/>
      <c r="R170" s="6"/>
      <c r="S170" s="6"/>
      <c r="T170" s="6"/>
      <c r="U170" s="6"/>
      <c r="V170" s="20"/>
      <c r="W170" s="20"/>
      <c r="X170" s="20"/>
      <c r="Y170" s="20"/>
      <c r="Z170" s="20"/>
      <c r="AA170" s="20"/>
      <c r="AB170" s="20"/>
      <c r="AD170" s="6">
        <f>IF((D166&lt;&gt;"")*(D170=""),IF((D166&lt;=$B$442)*((D167&gt;=$C$442)+(D167&lt;2/24)),1,0),0)</f>
        <v>0</v>
      </c>
      <c r="AE170" s="6">
        <f>IF((E166&lt;&gt;"")*(E170=""),IF((E166&lt;=$B$442)*((E167&gt;=$C$442)+(E167&lt;2/24)),1,0),0)</f>
        <v>0</v>
      </c>
      <c r="AF170" s="6">
        <f>IF((F166&lt;&gt;"")*(F170=""),IF((F166&lt;=$B$442)*((F167&gt;=$C$442)+(F167&lt;2/24)),1,0),0)</f>
        <v>0</v>
      </c>
      <c r="AG170" s="6">
        <f>IF((G166&lt;&gt;"")*(G170=""),IF((G166&lt;=$B$442)*((G167&gt;=$C$442)+(G167&lt;2/24)),1,0),0)</f>
        <v>0</v>
      </c>
      <c r="AH170" s="6">
        <f>IF((H166&lt;&gt;"")*(H170=""),IF((H166&lt;=$B$442)*((H167&gt;=$C$442)+(H167&lt;2/24)),1,0),0)</f>
        <v>0</v>
      </c>
      <c r="AI170" s="6">
        <f>IF((I166&lt;&gt;"")*(I170=""),IF((I166&lt;=$B$442)*((I167&gt;=$C$442)+(I167&lt;2/24)),1,0),0)</f>
        <v>0</v>
      </c>
      <c r="AJ170" s="6">
        <f>IF((J166&lt;&gt;"")*(J170=""),IF((J166&lt;=$B$442)*((J167&gt;=$C$442)+(J167&lt;2/24)),1,0),0)</f>
        <v>0</v>
      </c>
    </row>
    <row r="171" spans="1:36" ht="13.5" hidden="1" thickBot="1" x14ac:dyDescent="0.25">
      <c r="A171" s="41"/>
      <c r="B171" s="42"/>
      <c r="C171" s="35" t="s">
        <v>28</v>
      </c>
      <c r="D171" s="36"/>
      <c r="E171" s="36"/>
      <c r="F171" s="36"/>
      <c r="G171" s="36"/>
      <c r="H171" s="36"/>
      <c r="I171" s="36"/>
      <c r="J171" s="36"/>
      <c r="K171" s="34"/>
      <c r="L171" s="6"/>
      <c r="M171" s="25"/>
      <c r="N171" s="6"/>
      <c r="O171" s="6"/>
      <c r="P171" s="6"/>
      <c r="Q171" s="6"/>
      <c r="R171" s="6"/>
      <c r="S171" s="6"/>
      <c r="T171" s="6"/>
      <c r="U171" s="6"/>
      <c r="V171" s="20"/>
      <c r="W171" s="20"/>
      <c r="X171" s="20"/>
      <c r="Y171" s="20"/>
      <c r="Z171" s="20"/>
      <c r="AA171" s="20"/>
      <c r="AB171" s="20"/>
      <c r="AD171" s="6"/>
      <c r="AE171" s="6"/>
      <c r="AF171" s="6"/>
      <c r="AG171" s="6"/>
      <c r="AH171" s="6"/>
      <c r="AI171" s="6"/>
      <c r="AJ171" s="6"/>
    </row>
    <row r="172" spans="1:36" ht="13.5" hidden="1" thickBot="1" x14ac:dyDescent="0.25">
      <c r="A172" s="37" t="s">
        <v>29</v>
      </c>
      <c r="B172" s="38" t="s">
        <v>30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  <c r="L172" s="6"/>
      <c r="M172" s="21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D172" s="6">
        <f>IF((D172&lt;&gt;"")*(D176=""),IF((D172&lt;=$B$438)*((D173&gt;=$C$438)+(D173&lt;2/24)),1,0),0)</f>
        <v>0</v>
      </c>
      <c r="AE172" s="6">
        <f>IF((E172&lt;&gt;"")*(E176=""),IF((E172&lt;=$B$438)*((E173&gt;=$C$438)+(E173&lt;2/24)),1,0),0)</f>
        <v>0</v>
      </c>
      <c r="AF172" s="6">
        <f>IF((F172&lt;&gt;"")*(F176=""),IF((F172&lt;=$B$438)*((F173&gt;=$C$438)+(F173&lt;2/24)),1,0),0)</f>
        <v>0</v>
      </c>
      <c r="AG172" s="6">
        <f>IF((G172&lt;&gt;"")*(G176=""),IF((G172&lt;=$B$438)*((G173&gt;=$C$438)+(G173&lt;2/24)),1,0),0)</f>
        <v>0</v>
      </c>
      <c r="AH172" s="6">
        <f>IF((H172&lt;&gt;"")*(H176=""),IF((H172&lt;=$B$438)*((H173&gt;=$C$438)+(H173&lt;2/24)),1,0),0)</f>
        <v>0</v>
      </c>
      <c r="AI172" s="6">
        <f>IF((I172&lt;&gt;"")*(I176=""),IF((I172&lt;=$B$438)*((I173&gt;=$C$438)+(I173&lt;2/24)),1,0),0)</f>
        <v>0</v>
      </c>
      <c r="AJ172" s="6">
        <f>IF((J172&lt;&gt;"")*(J176=""),IF((J172&lt;=$B$438)*((J173&gt;=$C$438)+(J173&lt;2/24)),1,0),0)</f>
        <v>0</v>
      </c>
    </row>
    <row r="173" spans="1:36" ht="13.5" hidden="1" thickBot="1" x14ac:dyDescent="0.25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  <c r="L173" s="6"/>
      <c r="M173" s="21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D173" s="6">
        <f>IF((D172&lt;&gt;"")*(D176=""),IF((D172&lt;=$B$439)*((D173&gt;=$C$439)+(D173&lt;2/24)),1,0),0)</f>
        <v>0</v>
      </c>
      <c r="AE173" s="6">
        <f>IF((E172&lt;&gt;"")*(E176=""),IF((E172&lt;=$B$439)*((E173&gt;=$C$439)+(E173&lt;2/24)),1,0),0)</f>
        <v>0</v>
      </c>
      <c r="AF173" s="6">
        <f>IF((F172&lt;&gt;"")*(F176=""),IF((F172&lt;=$B$439)*((F173&gt;=$C$439)+(F173&lt;2/24)),1,0),0)</f>
        <v>0</v>
      </c>
      <c r="AG173" s="6">
        <f>IF((G172&lt;&gt;"")*(G176=""),IF((G172&lt;=$B$439)*((G173&gt;=$C$439)+(G173&lt;2/24)),1,0),0)</f>
        <v>0</v>
      </c>
      <c r="AH173" s="6">
        <f>IF((H172&lt;&gt;"")*(H176=""),IF((H172&lt;=$B$439)*((H173&gt;=$C$439)+(H173&lt;2/24)),1,0),0)</f>
        <v>0</v>
      </c>
      <c r="AI173" s="6">
        <f>IF((I172&lt;&gt;"")*(I176=""),IF((I172&lt;=$B$439)*((I173&gt;=$C$439)+(I173&lt;2/24)),1,0),0)</f>
        <v>0</v>
      </c>
      <c r="AJ173" s="6">
        <f>IF((J172&lt;&gt;"")*(J176=""),IF((J172&lt;=$B$439)*((J173&gt;=$C$439)+(J173&lt;2/24)),1,0),0)</f>
        <v>0</v>
      </c>
    </row>
    <row r="174" spans="1:36" ht="13.5" hidden="1" thickBot="1" x14ac:dyDescent="0.25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D174" s="6">
        <f>IF((D172&lt;&gt;"")*(D176=""),IF((D172&lt;=$B$440)*((D173&gt;=$C$440)+(D173&lt;2/24)),1,0),0)</f>
        <v>0</v>
      </c>
      <c r="AE174" s="6">
        <f>IF((E172&lt;&gt;"")*(E176=""),IF((E172&lt;=$B$440)*((E173&gt;=$C$440)+(E173&lt;2/24)),1,0),0)</f>
        <v>0</v>
      </c>
      <c r="AF174" s="6">
        <f>IF((F172&lt;&gt;"")*(F176=""),IF((F172&lt;=$B$440)*((F173&gt;=$C$440)+(F173&lt;2/24)),1,0),0)</f>
        <v>0</v>
      </c>
      <c r="AG174" s="6">
        <f>IF((G172&lt;&gt;"")*(G176=""),IF((G172&lt;=$B$440)*((G173&gt;=$C$440)+(G173&lt;2/24)),1,0),0)</f>
        <v>0</v>
      </c>
      <c r="AH174" s="6">
        <f>IF((H172&lt;&gt;"")*(H176=""),IF((H172&lt;=$B$440)*((H173&gt;=$C$440)+(H173&lt;2/24)),1,0),0)</f>
        <v>0</v>
      </c>
      <c r="AI174" s="6">
        <f>IF((I172&lt;&gt;"")*(I176=""),IF((I172&lt;=$B$440)*((I173&gt;=$C$440)+(I173&lt;2/24)),1,0),0)</f>
        <v>0</v>
      </c>
      <c r="AJ174" s="6">
        <f>IF((J172&lt;&gt;"")*(J176=""),IF((J172&lt;=$B$440)*((J173&gt;=$C$440)+(J173&lt;2/24)),1,0),0)</f>
        <v>0</v>
      </c>
    </row>
    <row r="175" spans="1:36" ht="13.5" hidden="1" thickBot="1" x14ac:dyDescent="0.25">
      <c r="A175" s="39"/>
      <c r="B175" s="40"/>
      <c r="C175" s="15" t="s">
        <v>3</v>
      </c>
      <c r="D175" s="43"/>
      <c r="E175" s="43"/>
      <c r="F175" s="43"/>
      <c r="G175" s="43"/>
      <c r="H175" s="43"/>
      <c r="I175" s="43"/>
      <c r="J175" s="44"/>
      <c r="K175" s="18">
        <f>SUMIF(D176:J176,"",D175:J175)</f>
        <v>0</v>
      </c>
      <c r="L175" s="12">
        <f>SUM(D175:J175)</f>
        <v>0</v>
      </c>
      <c r="M175" s="24"/>
      <c r="N175" s="10">
        <f t="shared" ref="N175:T175" si="56">IF(D176="",D175,0)</f>
        <v>0</v>
      </c>
      <c r="O175" s="10">
        <f t="shared" si="56"/>
        <v>0</v>
      </c>
      <c r="P175" s="10">
        <f t="shared" si="56"/>
        <v>0</v>
      </c>
      <c r="Q175" s="10">
        <f t="shared" si="56"/>
        <v>0</v>
      </c>
      <c r="R175" s="10">
        <f t="shared" si="56"/>
        <v>0</v>
      </c>
      <c r="S175" s="10">
        <f t="shared" si="56"/>
        <v>0</v>
      </c>
      <c r="T175" s="10">
        <f t="shared" si="56"/>
        <v>0</v>
      </c>
      <c r="U175" s="10"/>
      <c r="V175" s="10">
        <f t="shared" ref="V175:AB175" si="57">D175</f>
        <v>0</v>
      </c>
      <c r="W175" s="10">
        <f t="shared" si="57"/>
        <v>0</v>
      </c>
      <c r="X175" s="10">
        <f t="shared" si="57"/>
        <v>0</v>
      </c>
      <c r="Y175" s="10">
        <f t="shared" si="57"/>
        <v>0</v>
      </c>
      <c r="Z175" s="10">
        <f t="shared" si="57"/>
        <v>0</v>
      </c>
      <c r="AA175" s="10">
        <f t="shared" si="57"/>
        <v>0</v>
      </c>
      <c r="AB175" s="10">
        <f t="shared" si="57"/>
        <v>0</v>
      </c>
      <c r="AD175" s="6">
        <f>IF((D172&lt;&gt;"")*(D176=""),IF((D172&lt;=$B$441)*((D173&gt;=$C$441)+(D173&lt;2/24)),1,0),0)</f>
        <v>0</v>
      </c>
      <c r="AE175" s="6">
        <f>IF((E172&lt;&gt;"")*(E176=""),IF((E172&lt;=$B$441)*((E173&gt;=$C$441)+(E173&lt;2/24)),1,0),0)</f>
        <v>0</v>
      </c>
      <c r="AF175" s="6">
        <f>IF((F172&lt;&gt;"")*(F176=""),IF((F172&lt;=$B$441)*((F173&gt;=$C$441)+(F173&lt;2/24)),1,0),0)</f>
        <v>0</v>
      </c>
      <c r="AG175" s="6">
        <f>IF((G172&lt;&gt;"")*(G176=""),IF((G172&lt;=$B$441)*((G173&gt;=$C$441)+(G173&lt;2/24)),1,0),0)</f>
        <v>0</v>
      </c>
      <c r="AH175" s="6">
        <f>IF((H172&lt;&gt;"")*(H176=""),IF((H172&lt;=$B$441)*((H173&gt;=$C$441)+(H173&lt;2/24)),1,0),0)</f>
        <v>0</v>
      </c>
      <c r="AI175" s="6">
        <f>IF((I172&lt;&gt;"")*(I176=""),IF((I172&lt;=$B$441)*((I173&gt;=$C$441)+(I173&lt;2/24)),1,0),0)</f>
        <v>0</v>
      </c>
      <c r="AJ175" s="6">
        <f>IF((J172&lt;&gt;"")*(J176=""),IF((J172&lt;=$B$441)*((J173&gt;=$C$441)+(J173&lt;2/24)),1,0),0)</f>
        <v>0</v>
      </c>
    </row>
    <row r="176" spans="1:36" ht="13.5" hidden="1" thickBot="1" x14ac:dyDescent="0.25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  <c r="N176" s="6"/>
      <c r="O176" s="6"/>
      <c r="P176" s="6"/>
      <c r="Q176" s="6"/>
      <c r="R176" s="6"/>
      <c r="S176" s="6"/>
      <c r="T176" s="6"/>
      <c r="U176" s="6"/>
      <c r="V176" s="20"/>
      <c r="W176" s="20"/>
      <c r="X176" s="20"/>
      <c r="Y176" s="20"/>
      <c r="Z176" s="20"/>
      <c r="AA176" s="20"/>
      <c r="AB176" s="20"/>
      <c r="AD176" s="6">
        <f>IF((D172&lt;&gt;"")*(D176=""),IF((D172&lt;=$B$442)*((D173&gt;=$C$442)+(D173&lt;2/24)),1,0),0)</f>
        <v>0</v>
      </c>
      <c r="AE176" s="6">
        <f>IF((E172&lt;&gt;"")*(E176=""),IF((E172&lt;=$B$442)*((E173&gt;=$C$442)+(E173&lt;2/24)),1,0),0)</f>
        <v>0</v>
      </c>
      <c r="AF176" s="6">
        <f>IF((F172&lt;&gt;"")*(F176=""),IF((F172&lt;=$B$442)*((F173&gt;=$C$442)+(F173&lt;2/24)),1,0),0)</f>
        <v>0</v>
      </c>
      <c r="AG176" s="6">
        <f>IF((G172&lt;&gt;"")*(G176=""),IF((G172&lt;=$B$442)*((G173&gt;=$C$442)+(G173&lt;2/24)),1,0),0)</f>
        <v>0</v>
      </c>
      <c r="AH176" s="6">
        <f>IF((H172&lt;&gt;"")*(H176=""),IF((H172&lt;=$B$442)*((H173&gt;=$C$442)+(H173&lt;2/24)),1,0),0)</f>
        <v>0</v>
      </c>
      <c r="AI176" s="6">
        <f>IF((I172&lt;&gt;"")*(I176=""),IF((I172&lt;=$B$442)*((I173&gt;=$C$442)+(I173&lt;2/24)),1,0),0)</f>
        <v>0</v>
      </c>
      <c r="AJ176" s="6">
        <f>IF((J172&lt;&gt;"")*(J176=""),IF((J172&lt;=$B$442)*((J173&gt;=$C$442)+(J173&lt;2/24)),1,0),0)</f>
        <v>0</v>
      </c>
    </row>
    <row r="177" spans="1:36" ht="13.5" hidden="1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36"/>
      <c r="I177" s="36"/>
      <c r="J177" s="36"/>
      <c r="K177" s="34"/>
      <c r="L177" s="6"/>
      <c r="M177" s="25"/>
      <c r="N177" s="6"/>
      <c r="O177" s="6"/>
      <c r="P177" s="6"/>
      <c r="Q177" s="6"/>
      <c r="R177" s="6"/>
      <c r="S177" s="6"/>
      <c r="T177" s="6"/>
      <c r="U177" s="6"/>
      <c r="V177" s="20"/>
      <c r="W177" s="20"/>
      <c r="X177" s="20"/>
      <c r="Y177" s="20"/>
      <c r="Z177" s="20"/>
      <c r="AA177" s="20"/>
      <c r="AB177" s="20"/>
      <c r="AD177" s="6"/>
      <c r="AE177" s="6"/>
      <c r="AF177" s="6"/>
      <c r="AG177" s="6"/>
      <c r="AH177" s="6"/>
      <c r="AI177" s="6"/>
      <c r="AJ177" s="6"/>
    </row>
    <row r="178" spans="1:36" ht="13.5" hidden="1" thickBot="1" x14ac:dyDescent="0.25">
      <c r="A178" s="37" t="s">
        <v>29</v>
      </c>
      <c r="B178" s="38" t="s">
        <v>30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  <c r="L178" s="6"/>
      <c r="M178" s="21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D178" s="6">
        <f>IF((D178&lt;&gt;"")*(D182=""),IF((D178&lt;=$B$438)*((D179&gt;=$C$438)+(D179&lt;2/24)),1,0),0)</f>
        <v>0</v>
      </c>
      <c r="AE178" s="6">
        <f>IF((E178&lt;&gt;"")*(E182=""),IF((E178&lt;=$B$438)*((E179&gt;=$C$438)+(E179&lt;2/24)),1,0),0)</f>
        <v>0</v>
      </c>
      <c r="AF178" s="6">
        <f>IF((F178&lt;&gt;"")*(F182=""),IF((F178&lt;=$B$438)*((F179&gt;=$C$438)+(F179&lt;2/24)),1,0),0)</f>
        <v>0</v>
      </c>
      <c r="AG178" s="6">
        <f>IF((G178&lt;&gt;"")*(G182=""),IF((G178&lt;=$B$438)*((G179&gt;=$C$438)+(G179&lt;2/24)),1,0),0)</f>
        <v>0</v>
      </c>
      <c r="AH178" s="6">
        <f>IF((H178&lt;&gt;"")*(H182=""),IF((H178&lt;=$B$438)*((H179&gt;=$C$438)+(H179&lt;2/24)),1,0),0)</f>
        <v>0</v>
      </c>
      <c r="AI178" s="6">
        <f>IF((I178&lt;&gt;"")*(I182=""),IF((I178&lt;=$B$438)*((I179&gt;=$C$438)+(I179&lt;2/24)),1,0),0)</f>
        <v>0</v>
      </c>
      <c r="AJ178" s="6">
        <f>IF((J178&lt;&gt;"")*(J182=""),IF((J178&lt;=$B$438)*((J179&gt;=$C$438)+(J179&lt;2/24)),1,0),0)</f>
        <v>0</v>
      </c>
    </row>
    <row r="179" spans="1:36" ht="13.5" hidden="1" thickBot="1" x14ac:dyDescent="0.25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  <c r="L179" s="6"/>
      <c r="M179" s="21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D179" s="6">
        <f>IF((D178&lt;&gt;"")*(D182=""),IF((D178&lt;=$B$439)*((D179&gt;=$C$439)+(D179&lt;2/24)),1,0),0)</f>
        <v>0</v>
      </c>
      <c r="AE179" s="6">
        <f>IF((E178&lt;&gt;"")*(E182=""),IF((E178&lt;=$B$439)*((E179&gt;=$C$439)+(E179&lt;2/24)),1,0),0)</f>
        <v>0</v>
      </c>
      <c r="AF179" s="6">
        <f>IF((F178&lt;&gt;"")*(F182=""),IF((F178&lt;=$B$439)*((F179&gt;=$C$439)+(F179&lt;2/24)),1,0),0)</f>
        <v>0</v>
      </c>
      <c r="AG179" s="6">
        <f>IF((G178&lt;&gt;"")*(G182=""),IF((G178&lt;=$B$439)*((G179&gt;=$C$439)+(G179&lt;2/24)),1,0),0)</f>
        <v>0</v>
      </c>
      <c r="AH179" s="6">
        <f>IF((H178&lt;&gt;"")*(H182=""),IF((H178&lt;=$B$439)*((H179&gt;=$C$439)+(H179&lt;2/24)),1,0),0)</f>
        <v>0</v>
      </c>
      <c r="AI179" s="6">
        <f>IF((I178&lt;&gt;"")*(I182=""),IF((I178&lt;=$B$439)*((I179&gt;=$C$439)+(I179&lt;2/24)),1,0),0)</f>
        <v>0</v>
      </c>
      <c r="AJ179" s="6">
        <f>IF((J178&lt;&gt;"")*(J182=""),IF((J178&lt;=$B$439)*((J179&gt;=$C$439)+(J179&lt;2/24)),1,0),0)</f>
        <v>0</v>
      </c>
    </row>
    <row r="180" spans="1:36" ht="13.5" hidden="1" thickBot="1" x14ac:dyDescent="0.25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D180" s="6">
        <f>IF((D178&lt;&gt;"")*(D182=""),IF((D178&lt;=$B$440)*((D179&gt;=$C$440)+(D179&lt;2/24)),1,0),0)</f>
        <v>0</v>
      </c>
      <c r="AE180" s="6">
        <f>IF((E178&lt;&gt;"")*(E182=""),IF((E178&lt;=$B$440)*((E179&gt;=$C$440)+(E179&lt;2/24)),1,0),0)</f>
        <v>0</v>
      </c>
      <c r="AF180" s="6">
        <f>IF((F178&lt;&gt;"")*(F182=""),IF((F178&lt;=$B$440)*((F179&gt;=$C$440)+(F179&lt;2/24)),1,0),0)</f>
        <v>0</v>
      </c>
      <c r="AG180" s="6">
        <f>IF((G178&lt;&gt;"")*(G182=""),IF((G178&lt;=$B$440)*((G179&gt;=$C$440)+(G179&lt;2/24)),1,0),0)</f>
        <v>0</v>
      </c>
      <c r="AH180" s="6">
        <f>IF((H178&lt;&gt;"")*(H182=""),IF((H178&lt;=$B$440)*((H179&gt;=$C$440)+(H179&lt;2/24)),1,0),0)</f>
        <v>0</v>
      </c>
      <c r="AI180" s="6">
        <f>IF((I178&lt;&gt;"")*(I182=""),IF((I178&lt;=$B$440)*((I179&gt;=$C$440)+(I179&lt;2/24)),1,0),0)</f>
        <v>0</v>
      </c>
      <c r="AJ180" s="6">
        <f>IF((J178&lt;&gt;"")*(J182=""),IF((J178&lt;=$B$440)*((J179&gt;=$C$440)+(J179&lt;2/24)),1,0),0)</f>
        <v>0</v>
      </c>
    </row>
    <row r="181" spans="1:36" ht="13.5" hidden="1" thickBot="1" x14ac:dyDescent="0.25">
      <c r="A181" s="39"/>
      <c r="B181" s="40"/>
      <c r="C181" s="15" t="s">
        <v>3</v>
      </c>
      <c r="D181" s="43"/>
      <c r="E181" s="43"/>
      <c r="F181" s="43"/>
      <c r="G181" s="43"/>
      <c r="H181" s="43"/>
      <c r="I181" s="43"/>
      <c r="J181" s="44"/>
      <c r="K181" s="18">
        <f>SUMIF(D182:J182,"",D181:J181)</f>
        <v>0</v>
      </c>
      <c r="L181" s="12">
        <f>SUM(D181:J181)</f>
        <v>0</v>
      </c>
      <c r="M181" s="24"/>
      <c r="N181" s="10">
        <f t="shared" ref="N181:T181" si="58">IF(D182="",D181,0)</f>
        <v>0</v>
      </c>
      <c r="O181" s="10">
        <f t="shared" si="58"/>
        <v>0</v>
      </c>
      <c r="P181" s="10">
        <f t="shared" si="58"/>
        <v>0</v>
      </c>
      <c r="Q181" s="10">
        <f t="shared" si="58"/>
        <v>0</v>
      </c>
      <c r="R181" s="10">
        <f t="shared" si="58"/>
        <v>0</v>
      </c>
      <c r="S181" s="10">
        <f t="shared" si="58"/>
        <v>0</v>
      </c>
      <c r="T181" s="10">
        <f t="shared" si="58"/>
        <v>0</v>
      </c>
      <c r="U181" s="10"/>
      <c r="V181" s="10">
        <f t="shared" ref="V181:AB181" si="59">D181</f>
        <v>0</v>
      </c>
      <c r="W181" s="10">
        <f t="shared" si="59"/>
        <v>0</v>
      </c>
      <c r="X181" s="10">
        <f t="shared" si="59"/>
        <v>0</v>
      </c>
      <c r="Y181" s="10">
        <f t="shared" si="59"/>
        <v>0</v>
      </c>
      <c r="Z181" s="10">
        <f t="shared" si="59"/>
        <v>0</v>
      </c>
      <c r="AA181" s="10">
        <f t="shared" si="59"/>
        <v>0</v>
      </c>
      <c r="AB181" s="10">
        <f t="shared" si="59"/>
        <v>0</v>
      </c>
      <c r="AD181" s="6">
        <f>IF((D178&lt;&gt;"")*(D182=""),IF((D178&lt;=$B$441)*((D179&gt;=$C$441)+(D179&lt;2/24)),1,0),0)</f>
        <v>0</v>
      </c>
      <c r="AE181" s="6">
        <f>IF((E178&lt;&gt;"")*(E182=""),IF((E178&lt;=$B$441)*((E179&gt;=$C$441)+(E179&lt;2/24)),1,0),0)</f>
        <v>0</v>
      </c>
      <c r="AF181" s="6">
        <f>IF((F178&lt;&gt;"")*(F182=""),IF((F178&lt;=$B$441)*((F179&gt;=$C$441)+(F179&lt;2/24)),1,0),0)</f>
        <v>0</v>
      </c>
      <c r="AG181" s="6">
        <f>IF((G178&lt;&gt;"")*(G182=""),IF((G178&lt;=$B$441)*((G179&gt;=$C$441)+(G179&lt;2/24)),1,0),0)</f>
        <v>0</v>
      </c>
      <c r="AH181" s="6">
        <f>IF((H178&lt;&gt;"")*(H182=""),IF((H178&lt;=$B$441)*((H179&gt;=$C$441)+(H179&lt;2/24)),1,0),0)</f>
        <v>0</v>
      </c>
      <c r="AI181" s="6">
        <f>IF((I178&lt;&gt;"")*(I182=""),IF((I178&lt;=$B$441)*((I179&gt;=$C$441)+(I179&lt;2/24)),1,0),0)</f>
        <v>0</v>
      </c>
      <c r="AJ181" s="6">
        <f>IF((J178&lt;&gt;"")*(J182=""),IF((J178&lt;=$B$441)*((J179&gt;=$C$441)+(J179&lt;2/24)),1,0),0)</f>
        <v>0</v>
      </c>
    </row>
    <row r="182" spans="1:36" ht="13.5" hidden="1" thickBot="1" x14ac:dyDescent="0.25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  <c r="N182" s="6"/>
      <c r="O182" s="6"/>
      <c r="P182" s="6"/>
      <c r="Q182" s="6"/>
      <c r="R182" s="6"/>
      <c r="S182" s="6"/>
      <c r="T182" s="6"/>
      <c r="U182" s="6"/>
      <c r="V182" s="20"/>
      <c r="W182" s="20"/>
      <c r="X182" s="20"/>
      <c r="Y182" s="20"/>
      <c r="Z182" s="20"/>
      <c r="AA182" s="20"/>
      <c r="AB182" s="20"/>
      <c r="AD182" s="6">
        <f>IF((D178&lt;&gt;"")*(D182=""),IF((D178&lt;=$B$442)*((D179&gt;=$C$442)+(D179&lt;2/24)),1,0),0)</f>
        <v>0</v>
      </c>
      <c r="AE182" s="6">
        <f>IF((E178&lt;&gt;"")*(E182=""),IF((E178&lt;=$B$442)*((E179&gt;=$C$442)+(E179&lt;2/24)),1,0),0)</f>
        <v>0</v>
      </c>
      <c r="AF182" s="6">
        <f>IF((F178&lt;&gt;"")*(F182=""),IF((F178&lt;=$B$442)*((F179&gt;=$C$442)+(F179&lt;2/24)),1,0),0)</f>
        <v>0</v>
      </c>
      <c r="AG182" s="6">
        <f>IF((G178&lt;&gt;"")*(G182=""),IF((G178&lt;=$B$442)*((G179&gt;=$C$442)+(G179&lt;2/24)),1,0),0)</f>
        <v>0</v>
      </c>
      <c r="AH182" s="6">
        <f>IF((H178&lt;&gt;"")*(H182=""),IF((H178&lt;=$B$442)*((H179&gt;=$C$442)+(H179&lt;2/24)),1,0),0)</f>
        <v>0</v>
      </c>
      <c r="AI182" s="6">
        <f>IF((I178&lt;&gt;"")*(I182=""),IF((I178&lt;=$B$442)*((I179&gt;=$C$442)+(I179&lt;2/24)),1,0),0)</f>
        <v>0</v>
      </c>
      <c r="AJ182" s="6">
        <f>IF((J178&lt;&gt;"")*(J182=""),IF((J178&lt;=$B$442)*((J179&gt;=$C$442)+(J179&lt;2/24)),1,0),0)</f>
        <v>0</v>
      </c>
    </row>
    <row r="183" spans="1:36" ht="13.5" hidden="1" thickBot="1" x14ac:dyDescent="0.25">
      <c r="A183" s="41"/>
      <c r="B183" s="42"/>
      <c r="C183" s="35" t="s">
        <v>28</v>
      </c>
      <c r="D183" s="36"/>
      <c r="E183" s="36"/>
      <c r="F183" s="36"/>
      <c r="G183" s="36"/>
      <c r="H183" s="36"/>
      <c r="I183" s="36"/>
      <c r="J183" s="36"/>
      <c r="K183" s="34"/>
      <c r="L183" s="6"/>
      <c r="M183" s="25"/>
      <c r="N183" s="6"/>
      <c r="O183" s="6"/>
      <c r="P183" s="6"/>
      <c r="Q183" s="6"/>
      <c r="R183" s="6"/>
      <c r="S183" s="6"/>
      <c r="T183" s="6"/>
      <c r="U183" s="6"/>
      <c r="V183" s="20"/>
      <c r="W183" s="20"/>
      <c r="X183" s="20"/>
      <c r="Y183" s="20"/>
      <c r="Z183" s="20"/>
      <c r="AA183" s="20"/>
      <c r="AB183" s="20"/>
      <c r="AD183" s="6"/>
      <c r="AE183" s="6"/>
      <c r="AF183" s="6"/>
      <c r="AG183" s="6"/>
      <c r="AH183" s="6"/>
      <c r="AI183" s="6"/>
      <c r="AJ183" s="6"/>
    </row>
    <row r="184" spans="1:36" ht="13.5" hidden="1" thickBot="1" x14ac:dyDescent="0.25">
      <c r="A184" s="37" t="s">
        <v>29</v>
      </c>
      <c r="B184" s="38" t="s">
        <v>30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  <c r="L184" s="6"/>
      <c r="M184" s="21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D184" s="6">
        <f>IF((D184&lt;&gt;"")*(D188=""),IF((D184&lt;=$B$438)*((D185&gt;=$C$438)+(D185&lt;2/24)),1,0),0)</f>
        <v>0</v>
      </c>
      <c r="AE184" s="6">
        <f>IF((E184&lt;&gt;"")*(E188=""),IF((E184&lt;=$B$438)*((E185&gt;=$C$438)+(E185&lt;2/24)),1,0),0)</f>
        <v>0</v>
      </c>
      <c r="AF184" s="6">
        <f>IF((F184&lt;&gt;"")*(F188=""),IF((F184&lt;=$B$438)*((F185&gt;=$C$438)+(F185&lt;2/24)),1,0),0)</f>
        <v>0</v>
      </c>
      <c r="AG184" s="6">
        <f>IF((G184&lt;&gt;"")*(G188=""),IF((G184&lt;=$B$438)*((G185&gt;=$C$438)+(G185&lt;2/24)),1,0),0)</f>
        <v>0</v>
      </c>
      <c r="AH184" s="6">
        <f>IF((H184&lt;&gt;"")*(H188=""),IF((H184&lt;=$B$438)*((H185&gt;=$C$438)+(H185&lt;2/24)),1,0),0)</f>
        <v>0</v>
      </c>
      <c r="AI184" s="6">
        <f>IF((I184&lt;&gt;"")*(I188=""),IF((I184&lt;=$B$438)*((I185&gt;=$C$438)+(I185&lt;2/24)),1,0),0)</f>
        <v>0</v>
      </c>
      <c r="AJ184" s="6">
        <f>IF((J184&lt;&gt;"")*(J188=""),IF((J184&lt;=$B$438)*((J185&gt;=$C$438)+(J185&lt;2/24)),1,0),0)</f>
        <v>0</v>
      </c>
    </row>
    <row r="185" spans="1:36" ht="13.5" hidden="1" thickBot="1" x14ac:dyDescent="0.25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  <c r="L185" s="6"/>
      <c r="M185" s="21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D185" s="6">
        <f>IF((D184&lt;&gt;"")*(D188=""),IF((D184&lt;=$B$439)*((D185&gt;=$C$439)+(D185&lt;2/24)),1,0),0)</f>
        <v>0</v>
      </c>
      <c r="AE185" s="6">
        <f>IF((E184&lt;&gt;"")*(E188=""),IF((E184&lt;=$B$439)*((E185&gt;=$C$439)+(E185&lt;2/24)),1,0),0)</f>
        <v>0</v>
      </c>
      <c r="AF185" s="6">
        <f>IF((F184&lt;&gt;"")*(F188=""),IF((F184&lt;=$B$439)*((F185&gt;=$C$439)+(F185&lt;2/24)),1,0),0)</f>
        <v>0</v>
      </c>
      <c r="AG185" s="6">
        <f>IF((G184&lt;&gt;"")*(G188=""),IF((G184&lt;=$B$439)*((G185&gt;=$C$439)+(G185&lt;2/24)),1,0),0)</f>
        <v>0</v>
      </c>
      <c r="AH185" s="6">
        <f>IF((H184&lt;&gt;"")*(H188=""),IF((H184&lt;=$B$439)*((H185&gt;=$C$439)+(H185&lt;2/24)),1,0),0)</f>
        <v>0</v>
      </c>
      <c r="AI185" s="6">
        <f>IF((I184&lt;&gt;"")*(I188=""),IF((I184&lt;=$B$439)*((I185&gt;=$C$439)+(I185&lt;2/24)),1,0),0)</f>
        <v>0</v>
      </c>
      <c r="AJ185" s="6">
        <f>IF((J184&lt;&gt;"")*(J188=""),IF((J184&lt;=$B$439)*((J185&gt;=$C$439)+(J185&lt;2/24)),1,0),0)</f>
        <v>0</v>
      </c>
    </row>
    <row r="186" spans="1:36" ht="13.5" hidden="1" thickBot="1" x14ac:dyDescent="0.25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  <c r="L186" s="6"/>
      <c r="M186" s="21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D186" s="6">
        <f>IF((D184&lt;&gt;"")*(D188=""),IF((D184&lt;=$B$440)*((D185&gt;=$C$440)+(D185&lt;2/24)),1,0),0)</f>
        <v>0</v>
      </c>
      <c r="AE186" s="6">
        <f>IF((E184&lt;&gt;"")*(E188=""),IF((E184&lt;=$B$440)*((E185&gt;=$C$440)+(E185&lt;2/24)),1,0),0)</f>
        <v>0</v>
      </c>
      <c r="AF186" s="6">
        <f>IF((F184&lt;&gt;"")*(F188=""),IF((F184&lt;=$B$440)*((F185&gt;=$C$440)+(F185&lt;2/24)),1,0),0)</f>
        <v>0</v>
      </c>
      <c r="AG186" s="6">
        <f>IF((G184&lt;&gt;"")*(G188=""),IF((G184&lt;=$B$440)*((G185&gt;=$C$440)+(G185&lt;2/24)),1,0),0)</f>
        <v>0</v>
      </c>
      <c r="AH186" s="6">
        <f>IF((H184&lt;&gt;"")*(H188=""),IF((H184&lt;=$B$440)*((H185&gt;=$C$440)+(H185&lt;2/24)),1,0),0)</f>
        <v>0</v>
      </c>
      <c r="AI186" s="6">
        <f>IF((I184&lt;&gt;"")*(I188=""),IF((I184&lt;=$B$440)*((I185&gt;=$C$440)+(I185&lt;2/24)),1,0),0)</f>
        <v>0</v>
      </c>
      <c r="AJ186" s="6">
        <f>IF((J184&lt;&gt;"")*(J188=""),IF((J184&lt;=$B$440)*((J185&gt;=$C$440)+(J185&lt;2/24)),1,0),0)</f>
        <v>0</v>
      </c>
    </row>
    <row r="187" spans="1:36" ht="13.5" hidden="1" thickBot="1" x14ac:dyDescent="0.25">
      <c r="A187" s="39"/>
      <c r="B187" s="40"/>
      <c r="C187" s="15" t="s">
        <v>3</v>
      </c>
      <c r="D187" s="43"/>
      <c r="E187" s="43"/>
      <c r="F187" s="43"/>
      <c r="G187" s="43"/>
      <c r="H187" s="43"/>
      <c r="I187" s="43"/>
      <c r="J187" s="44"/>
      <c r="K187" s="18">
        <f>SUMIF(D188:J188,"",D187:J187)</f>
        <v>0</v>
      </c>
      <c r="L187" s="12">
        <f>SUM(D187:J187)</f>
        <v>0</v>
      </c>
      <c r="M187" s="24"/>
      <c r="N187" s="10">
        <f t="shared" ref="N187:T187" si="60">IF(D188="",D187,0)</f>
        <v>0</v>
      </c>
      <c r="O187" s="10">
        <f t="shared" si="60"/>
        <v>0</v>
      </c>
      <c r="P187" s="10">
        <f t="shared" si="60"/>
        <v>0</v>
      </c>
      <c r="Q187" s="10">
        <f t="shared" si="60"/>
        <v>0</v>
      </c>
      <c r="R187" s="10">
        <f t="shared" si="60"/>
        <v>0</v>
      </c>
      <c r="S187" s="10">
        <f t="shared" si="60"/>
        <v>0</v>
      </c>
      <c r="T187" s="10">
        <f t="shared" si="60"/>
        <v>0</v>
      </c>
      <c r="U187" s="10"/>
      <c r="V187" s="10">
        <f t="shared" ref="V187:AB187" si="61">D187</f>
        <v>0</v>
      </c>
      <c r="W187" s="10">
        <f t="shared" si="61"/>
        <v>0</v>
      </c>
      <c r="X187" s="10">
        <f t="shared" si="61"/>
        <v>0</v>
      </c>
      <c r="Y187" s="10">
        <f t="shared" si="61"/>
        <v>0</v>
      </c>
      <c r="Z187" s="10">
        <f t="shared" si="61"/>
        <v>0</v>
      </c>
      <c r="AA187" s="10">
        <f t="shared" si="61"/>
        <v>0</v>
      </c>
      <c r="AB187" s="10">
        <f t="shared" si="61"/>
        <v>0</v>
      </c>
      <c r="AD187" s="6">
        <f>IF((D184&lt;&gt;"")*(D188=""),IF((D184&lt;=$B$441)*((D185&gt;=$C$441)+(D185&lt;2/24)),1,0),0)</f>
        <v>0</v>
      </c>
      <c r="AE187" s="6">
        <f>IF((E184&lt;&gt;"")*(E188=""),IF((E184&lt;=$B$441)*((E185&gt;=$C$441)+(E185&lt;2/24)),1,0),0)</f>
        <v>0</v>
      </c>
      <c r="AF187" s="6">
        <f>IF((F184&lt;&gt;"")*(F188=""),IF((F184&lt;=$B$441)*((F185&gt;=$C$441)+(F185&lt;2/24)),1,0),0)</f>
        <v>0</v>
      </c>
      <c r="AG187" s="6">
        <f>IF((G184&lt;&gt;"")*(G188=""),IF((G184&lt;=$B$441)*((G185&gt;=$C$441)+(G185&lt;2/24)),1,0),0)</f>
        <v>0</v>
      </c>
      <c r="AH187" s="6">
        <f>IF((H184&lt;&gt;"")*(H188=""),IF((H184&lt;=$B$441)*((H185&gt;=$C$441)+(H185&lt;2/24)),1,0),0)</f>
        <v>0</v>
      </c>
      <c r="AI187" s="6">
        <f>IF((I184&lt;&gt;"")*(I188=""),IF((I184&lt;=$B$441)*((I185&gt;=$C$441)+(I185&lt;2/24)),1,0),0)</f>
        <v>0</v>
      </c>
      <c r="AJ187" s="6">
        <f>IF((J184&lt;&gt;"")*(J188=""),IF((J184&lt;=$B$441)*((J185&gt;=$C$441)+(J185&lt;2/24)),1,0),0)</f>
        <v>0</v>
      </c>
    </row>
    <row r="188" spans="1:36" ht="13.5" hidden="1" thickBot="1" x14ac:dyDescent="0.25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  <c r="N188" s="6"/>
      <c r="O188" s="6"/>
      <c r="P188" s="6"/>
      <c r="Q188" s="6"/>
      <c r="R188" s="6"/>
      <c r="S188" s="6"/>
      <c r="T188" s="6"/>
      <c r="U188" s="6"/>
      <c r="V188" s="20"/>
      <c r="W188" s="20"/>
      <c r="X188" s="20"/>
      <c r="Y188" s="20"/>
      <c r="Z188" s="20"/>
      <c r="AA188" s="20"/>
      <c r="AB188" s="20"/>
      <c r="AD188" s="6">
        <f>IF((D184&lt;&gt;"")*(D188=""),IF((D184&lt;=$B$442)*((D185&gt;=$C$442)+(D185&lt;2/24)),1,0),0)</f>
        <v>0</v>
      </c>
      <c r="AE188" s="6">
        <f>IF((E184&lt;&gt;"")*(E188=""),IF((E184&lt;=$B$442)*((E185&gt;=$C$442)+(E185&lt;2/24)),1,0),0)</f>
        <v>0</v>
      </c>
      <c r="AF188" s="6">
        <f>IF((F184&lt;&gt;"")*(F188=""),IF((F184&lt;=$B$442)*((F185&gt;=$C$442)+(F185&lt;2/24)),1,0),0)</f>
        <v>0</v>
      </c>
      <c r="AG188" s="6">
        <f>IF((G184&lt;&gt;"")*(G188=""),IF((G184&lt;=$B$442)*((G185&gt;=$C$442)+(G185&lt;2/24)),1,0),0)</f>
        <v>0</v>
      </c>
      <c r="AH188" s="6">
        <f>IF((H184&lt;&gt;"")*(H188=""),IF((H184&lt;=$B$442)*((H185&gt;=$C$442)+(H185&lt;2/24)),1,0),0)</f>
        <v>0</v>
      </c>
      <c r="AI188" s="6">
        <f>IF((I184&lt;&gt;"")*(I188=""),IF((I184&lt;=$B$442)*((I185&gt;=$C$442)+(I185&lt;2/24)),1,0),0)</f>
        <v>0</v>
      </c>
      <c r="AJ188" s="6">
        <f>IF((J184&lt;&gt;"")*(J188=""),IF((J184&lt;=$B$442)*((J185&gt;=$C$442)+(J185&lt;2/24)),1,0),0)</f>
        <v>0</v>
      </c>
    </row>
    <row r="189" spans="1:36" ht="13.5" hidden="1" thickBot="1" x14ac:dyDescent="0.25">
      <c r="A189" s="41"/>
      <c r="B189" s="42"/>
      <c r="C189" s="35" t="s">
        <v>28</v>
      </c>
      <c r="D189" s="36"/>
      <c r="E189" s="36"/>
      <c r="F189" s="36"/>
      <c r="G189" s="36"/>
      <c r="H189" s="36"/>
      <c r="I189" s="36"/>
      <c r="J189" s="36"/>
      <c r="K189" s="34"/>
      <c r="L189" s="6"/>
      <c r="M189" s="25"/>
      <c r="N189" s="6"/>
      <c r="O189" s="6"/>
      <c r="P189" s="6"/>
      <c r="Q189" s="6"/>
      <c r="R189" s="6"/>
      <c r="S189" s="6"/>
      <c r="T189" s="6"/>
      <c r="U189" s="6"/>
      <c r="V189" s="20"/>
      <c r="W189" s="20"/>
      <c r="X189" s="20"/>
      <c r="Y189" s="20"/>
      <c r="Z189" s="20"/>
      <c r="AA189" s="20"/>
      <c r="AB189" s="20"/>
      <c r="AD189" s="6"/>
      <c r="AE189" s="6"/>
      <c r="AF189" s="6"/>
      <c r="AG189" s="6"/>
      <c r="AH189" s="6"/>
      <c r="AI189" s="6"/>
      <c r="AJ189" s="6"/>
    </row>
    <row r="190" spans="1:36" ht="13.5" hidden="1" thickBot="1" x14ac:dyDescent="0.25">
      <c r="A190" s="37" t="s">
        <v>29</v>
      </c>
      <c r="B190" s="38" t="s">
        <v>30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  <c r="L190" s="6"/>
      <c r="M190" s="21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D190" s="6">
        <f>IF((D190&lt;&gt;"")*(D194=""),IF((D190&lt;=$B$438)*((D191&gt;=$C$438)+(D191&lt;2/24)),1,0),0)</f>
        <v>0</v>
      </c>
      <c r="AE190" s="6">
        <f>IF((E190&lt;&gt;"")*(E194=""),IF((E190&lt;=$B$438)*((E191&gt;=$C$438)+(E191&lt;2/24)),1,0),0)</f>
        <v>0</v>
      </c>
      <c r="AF190" s="6">
        <f>IF((F190&lt;&gt;"")*(F194=""),IF((F190&lt;=$B$438)*((F191&gt;=$C$438)+(F191&lt;2/24)),1,0),0)</f>
        <v>0</v>
      </c>
      <c r="AG190" s="6">
        <f>IF((G190&lt;&gt;"")*(G194=""),IF((G190&lt;=$B$438)*((G191&gt;=$C$438)+(G191&lt;2/24)),1,0),0)</f>
        <v>0</v>
      </c>
      <c r="AH190" s="6">
        <f>IF((H190&lt;&gt;"")*(H194=""),IF((H190&lt;=$B$438)*((H191&gt;=$C$438)+(H191&lt;2/24)),1,0),0)</f>
        <v>0</v>
      </c>
      <c r="AI190" s="6">
        <f>IF((I190&lt;&gt;"")*(I194=""),IF((I190&lt;=$B$438)*((I191&gt;=$C$438)+(I191&lt;2/24)),1,0),0)</f>
        <v>0</v>
      </c>
      <c r="AJ190" s="6">
        <f>IF((J190&lt;&gt;"")*(J194=""),IF((J190&lt;=$B$438)*((J191&gt;=$C$438)+(J191&lt;2/24)),1,0),0)</f>
        <v>0</v>
      </c>
    </row>
    <row r="191" spans="1:36" ht="13.5" hidden="1" thickBot="1" x14ac:dyDescent="0.25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  <c r="L191" s="6"/>
      <c r="M191" s="21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D191" s="6">
        <f>IF((D190&lt;&gt;"")*(D194=""),IF((D190&lt;=$B$439)*((D191&gt;=$C$439)+(D191&lt;2/24)),1,0),0)</f>
        <v>0</v>
      </c>
      <c r="AE191" s="6">
        <f>IF((E190&lt;&gt;"")*(E194=""),IF((E190&lt;=$B$439)*((E191&gt;=$C$439)+(E191&lt;2/24)),1,0),0)</f>
        <v>0</v>
      </c>
      <c r="AF191" s="6">
        <f>IF((F190&lt;&gt;"")*(F194=""),IF((F190&lt;=$B$439)*((F191&gt;=$C$439)+(F191&lt;2/24)),1,0),0)</f>
        <v>0</v>
      </c>
      <c r="AG191" s="6">
        <f>IF((G190&lt;&gt;"")*(G194=""),IF((G190&lt;=$B$439)*((G191&gt;=$C$439)+(G191&lt;2/24)),1,0),0)</f>
        <v>0</v>
      </c>
      <c r="AH191" s="6">
        <f>IF((H190&lt;&gt;"")*(H194=""),IF((H190&lt;=$B$439)*((H191&gt;=$C$439)+(H191&lt;2/24)),1,0),0)</f>
        <v>0</v>
      </c>
      <c r="AI191" s="6">
        <f>IF((I190&lt;&gt;"")*(I194=""),IF((I190&lt;=$B$439)*((I191&gt;=$C$439)+(I191&lt;2/24)),1,0),0)</f>
        <v>0</v>
      </c>
      <c r="AJ191" s="6">
        <f>IF((J190&lt;&gt;"")*(J194=""),IF((J190&lt;=$B$439)*((J191&gt;=$C$439)+(J191&lt;2/24)),1,0),0)</f>
        <v>0</v>
      </c>
    </row>
    <row r="192" spans="1:36" ht="13.5" hidden="1" thickBot="1" x14ac:dyDescent="0.25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  <c r="L192" s="6"/>
      <c r="M192" s="21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D192" s="6">
        <f>IF((D190&lt;&gt;"")*(D194=""),IF((D190&lt;=$B$440)*((D191&gt;=$C$440)+(D191&lt;2/24)),1,0),0)</f>
        <v>0</v>
      </c>
      <c r="AE192" s="6">
        <f>IF((E190&lt;&gt;"")*(E194=""),IF((E190&lt;=$B$440)*((E191&gt;=$C$440)+(E191&lt;2/24)),1,0),0)</f>
        <v>0</v>
      </c>
      <c r="AF192" s="6">
        <f>IF((F190&lt;&gt;"")*(F194=""),IF((F190&lt;=$B$440)*((F191&gt;=$C$440)+(F191&lt;2/24)),1,0),0)</f>
        <v>0</v>
      </c>
      <c r="AG192" s="6">
        <f>IF((G190&lt;&gt;"")*(G194=""),IF((G190&lt;=$B$440)*((G191&gt;=$C$440)+(G191&lt;2/24)),1,0),0)</f>
        <v>0</v>
      </c>
      <c r="AH192" s="6">
        <f>IF((H190&lt;&gt;"")*(H194=""),IF((H190&lt;=$B$440)*((H191&gt;=$C$440)+(H191&lt;2/24)),1,0),0)</f>
        <v>0</v>
      </c>
      <c r="AI192" s="6">
        <f>IF((I190&lt;&gt;"")*(I194=""),IF((I190&lt;=$B$440)*((I191&gt;=$C$440)+(I191&lt;2/24)),1,0),0)</f>
        <v>0</v>
      </c>
      <c r="AJ192" s="6">
        <f>IF((J190&lt;&gt;"")*(J194=""),IF((J190&lt;=$B$440)*((J191&gt;=$C$440)+(J191&lt;2/24)),1,0),0)</f>
        <v>0</v>
      </c>
    </row>
    <row r="193" spans="1:36" ht="13.5" hidden="1" thickBot="1" x14ac:dyDescent="0.25">
      <c r="A193" s="39"/>
      <c r="B193" s="40"/>
      <c r="C193" s="15" t="s">
        <v>3</v>
      </c>
      <c r="D193" s="43"/>
      <c r="E193" s="43"/>
      <c r="F193" s="43"/>
      <c r="G193" s="43"/>
      <c r="H193" s="43"/>
      <c r="I193" s="43"/>
      <c r="J193" s="44"/>
      <c r="K193" s="18">
        <f>SUMIF(D194:J194,"",D193:J193)</f>
        <v>0</v>
      </c>
      <c r="L193" s="12">
        <f>SUM(D193:J193)</f>
        <v>0</v>
      </c>
      <c r="M193" s="24"/>
      <c r="N193" s="10">
        <f t="shared" ref="N193:T193" si="62">IF(D194="",D193,0)</f>
        <v>0</v>
      </c>
      <c r="O193" s="10">
        <f t="shared" si="62"/>
        <v>0</v>
      </c>
      <c r="P193" s="10">
        <f t="shared" si="62"/>
        <v>0</v>
      </c>
      <c r="Q193" s="10">
        <f t="shared" si="62"/>
        <v>0</v>
      </c>
      <c r="R193" s="10">
        <f t="shared" si="62"/>
        <v>0</v>
      </c>
      <c r="S193" s="10">
        <f t="shared" si="62"/>
        <v>0</v>
      </c>
      <c r="T193" s="10">
        <f t="shared" si="62"/>
        <v>0</v>
      </c>
      <c r="U193" s="10"/>
      <c r="V193" s="10">
        <f t="shared" ref="V193:AB193" si="63">D193</f>
        <v>0</v>
      </c>
      <c r="W193" s="10">
        <f t="shared" si="63"/>
        <v>0</v>
      </c>
      <c r="X193" s="10">
        <f t="shared" si="63"/>
        <v>0</v>
      </c>
      <c r="Y193" s="10">
        <f t="shared" si="63"/>
        <v>0</v>
      </c>
      <c r="Z193" s="10">
        <f t="shared" si="63"/>
        <v>0</v>
      </c>
      <c r="AA193" s="10">
        <f t="shared" si="63"/>
        <v>0</v>
      </c>
      <c r="AB193" s="10">
        <f t="shared" si="63"/>
        <v>0</v>
      </c>
      <c r="AD193" s="6">
        <f>IF((D190&lt;&gt;"")*(D194=""),IF((D190&lt;=$B$441)*((D191&gt;=$C$441)+(D191&lt;2/24)),1,0),0)</f>
        <v>0</v>
      </c>
      <c r="AE193" s="6">
        <f>IF((E190&lt;&gt;"")*(E194=""),IF((E190&lt;=$B$441)*((E191&gt;=$C$441)+(E191&lt;2/24)),1,0),0)</f>
        <v>0</v>
      </c>
      <c r="AF193" s="6">
        <f>IF((F190&lt;&gt;"")*(F194=""),IF((F190&lt;=$B$441)*((F191&gt;=$C$441)+(F191&lt;2/24)),1,0),0)</f>
        <v>0</v>
      </c>
      <c r="AG193" s="6">
        <f>IF((G190&lt;&gt;"")*(G194=""),IF((G190&lt;=$B$441)*((G191&gt;=$C$441)+(G191&lt;2/24)),1,0),0)</f>
        <v>0</v>
      </c>
      <c r="AH193" s="6">
        <f>IF((H190&lt;&gt;"")*(H194=""),IF((H190&lt;=$B$441)*((H191&gt;=$C$441)+(H191&lt;2/24)),1,0),0)</f>
        <v>0</v>
      </c>
      <c r="AI193" s="6">
        <f>IF((I190&lt;&gt;"")*(I194=""),IF((I190&lt;=$B$441)*((I191&gt;=$C$441)+(I191&lt;2/24)),1,0),0)</f>
        <v>0</v>
      </c>
      <c r="AJ193" s="6">
        <f>IF((J190&lt;&gt;"")*(J194=""),IF((J190&lt;=$B$441)*((J191&gt;=$C$441)+(J191&lt;2/24)),1,0),0)</f>
        <v>0</v>
      </c>
    </row>
    <row r="194" spans="1:36" ht="13.5" hidden="1" thickBot="1" x14ac:dyDescent="0.25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  <c r="N194" s="6"/>
      <c r="O194" s="6"/>
      <c r="P194" s="6"/>
      <c r="Q194" s="6"/>
      <c r="R194" s="6"/>
      <c r="S194" s="6"/>
      <c r="T194" s="6"/>
      <c r="U194" s="6"/>
      <c r="V194" s="20"/>
      <c r="W194" s="20"/>
      <c r="X194" s="20"/>
      <c r="Y194" s="20"/>
      <c r="Z194" s="20"/>
      <c r="AA194" s="20"/>
      <c r="AB194" s="20"/>
      <c r="AD194" s="6">
        <f>IF((D190&lt;&gt;"")*(D194=""),IF((D190&lt;=$B$442)*((D191&gt;=$C$442)+(D191&lt;2/24)),1,0),0)</f>
        <v>0</v>
      </c>
      <c r="AE194" s="6">
        <f>IF((E190&lt;&gt;"")*(E194=""),IF((E190&lt;=$B$442)*((E191&gt;=$C$442)+(E191&lt;2/24)),1,0),0)</f>
        <v>0</v>
      </c>
      <c r="AF194" s="6">
        <f>IF((F190&lt;&gt;"")*(F194=""),IF((F190&lt;=$B$442)*((F191&gt;=$C$442)+(F191&lt;2/24)),1,0),0)</f>
        <v>0</v>
      </c>
      <c r="AG194" s="6">
        <f>IF((G190&lt;&gt;"")*(G194=""),IF((G190&lt;=$B$442)*((G191&gt;=$C$442)+(G191&lt;2/24)),1,0),0)</f>
        <v>0</v>
      </c>
      <c r="AH194" s="6">
        <f>IF((H190&lt;&gt;"")*(H194=""),IF((H190&lt;=$B$442)*((H191&gt;=$C$442)+(H191&lt;2/24)),1,0),0)</f>
        <v>0</v>
      </c>
      <c r="AI194" s="6">
        <f>IF((I190&lt;&gt;"")*(I194=""),IF((I190&lt;=$B$442)*((I191&gt;=$C$442)+(I191&lt;2/24)),1,0),0)</f>
        <v>0</v>
      </c>
      <c r="AJ194" s="6">
        <f>IF((J190&lt;&gt;"")*(J194=""),IF((J190&lt;=$B$442)*((J191&gt;=$C$442)+(J191&lt;2/24)),1,0),0)</f>
        <v>0</v>
      </c>
    </row>
    <row r="195" spans="1:36" ht="13.5" hidden="1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  <c r="N195" s="6"/>
      <c r="O195" s="6"/>
      <c r="P195" s="6"/>
      <c r="Q195" s="6"/>
      <c r="R195" s="6"/>
      <c r="S195" s="6"/>
      <c r="T195" s="6"/>
      <c r="U195" s="6"/>
      <c r="V195" s="20"/>
      <c r="W195" s="20"/>
      <c r="X195" s="20"/>
      <c r="Y195" s="20"/>
      <c r="Z195" s="20"/>
      <c r="AA195" s="20"/>
      <c r="AB195" s="20"/>
      <c r="AD195" s="6"/>
      <c r="AE195" s="6"/>
      <c r="AF195" s="6"/>
      <c r="AG195" s="6"/>
      <c r="AH195" s="6"/>
      <c r="AI195" s="6"/>
      <c r="AJ195" s="6"/>
    </row>
    <row r="196" spans="1:36" ht="13.5" hidden="1" thickBot="1" x14ac:dyDescent="0.25">
      <c r="A196" s="37" t="s">
        <v>29</v>
      </c>
      <c r="B196" s="38" t="s">
        <v>30</v>
      </c>
      <c r="C196" s="14" t="s">
        <v>0</v>
      </c>
      <c r="D196" s="26"/>
      <c r="E196" s="26"/>
      <c r="F196" s="26"/>
      <c r="G196" s="26"/>
      <c r="H196" s="26"/>
      <c r="I196" s="26"/>
      <c r="J196" s="26"/>
      <c r="K196" s="16"/>
      <c r="L196" s="6"/>
      <c r="M196" s="21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D196" s="6">
        <f>IF((D196&lt;&gt;"")*(D200=""),IF((D196&lt;=$B$438)*((D197&gt;=$C$438)+(D197&lt;2/24)),1,0),0)</f>
        <v>0</v>
      </c>
      <c r="AE196" s="6">
        <f>IF((E196&lt;&gt;"")*(E200=""),IF((E196&lt;=$B$438)*((E197&gt;=$C$438)+(E197&lt;2/24)),1,0),0)</f>
        <v>0</v>
      </c>
      <c r="AF196" s="6">
        <f>IF((F196&lt;&gt;"")*(F200=""),IF((F196&lt;=$B$438)*((F197&gt;=$C$438)+(F197&lt;2/24)),1,0),0)</f>
        <v>0</v>
      </c>
      <c r="AG196" s="6">
        <f>IF((G196&lt;&gt;"")*(G200=""),IF((G196&lt;=$B$438)*((G197&gt;=$C$438)+(G197&lt;2/24)),1,0),0)</f>
        <v>0</v>
      </c>
      <c r="AH196" s="6">
        <f>IF((H196&lt;&gt;"")*(H200=""),IF((H196&lt;=$B$438)*((H197&gt;=$C$438)+(H197&lt;2/24)),1,0),0)</f>
        <v>0</v>
      </c>
      <c r="AI196" s="6">
        <f>IF((I196&lt;&gt;"")*(I200=""),IF((I196&lt;=$B$438)*((I197&gt;=$C$438)+(I197&lt;2/24)),1,0),0)</f>
        <v>0</v>
      </c>
      <c r="AJ196" s="6">
        <f>IF((J196&lt;&gt;"")*(J200=""),IF((J196&lt;=$B$438)*((J197&gt;=$C$438)+(J197&lt;2/24)),1,0),0)</f>
        <v>0</v>
      </c>
    </row>
    <row r="197" spans="1:36" ht="13.5" hidden="1" thickBot="1" x14ac:dyDescent="0.25">
      <c r="A197" s="39"/>
      <c r="B197" s="40"/>
      <c r="C197" s="15" t="s">
        <v>1</v>
      </c>
      <c r="D197" s="27"/>
      <c r="E197" s="27"/>
      <c r="F197" s="27"/>
      <c r="G197" s="27"/>
      <c r="H197" s="27"/>
      <c r="I197" s="27"/>
      <c r="J197" s="27"/>
      <c r="K197" s="17"/>
      <c r="L197" s="6"/>
      <c r="M197" s="21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D197" s="6">
        <f>IF((D196&lt;&gt;"")*(D200=""),IF((D196&lt;=$B$439)*((D197&gt;=$C$439)+(D197&lt;2/24)),1,0),0)</f>
        <v>0</v>
      </c>
      <c r="AE197" s="6">
        <f>IF((E196&lt;&gt;"")*(E200=""),IF((E196&lt;=$B$439)*((E197&gt;=$C$439)+(E197&lt;2/24)),1,0),0)</f>
        <v>0</v>
      </c>
      <c r="AF197" s="6">
        <f>IF((F196&lt;&gt;"")*(F200=""),IF((F196&lt;=$B$439)*((F197&gt;=$C$439)+(F197&lt;2/24)),1,0),0)</f>
        <v>0</v>
      </c>
      <c r="AG197" s="6">
        <f>IF((G196&lt;&gt;"")*(G200=""),IF((G196&lt;=$B$439)*((G197&gt;=$C$439)+(G197&lt;2/24)),1,0),0)</f>
        <v>0</v>
      </c>
      <c r="AH197" s="6">
        <f>IF((H196&lt;&gt;"")*(H200=""),IF((H196&lt;=$B$439)*((H197&gt;=$C$439)+(H197&lt;2/24)),1,0),0)</f>
        <v>0</v>
      </c>
      <c r="AI197" s="6">
        <f>IF((I196&lt;&gt;"")*(I200=""),IF((I196&lt;=$B$439)*((I197&gt;=$C$439)+(I197&lt;2/24)),1,0),0)</f>
        <v>0</v>
      </c>
      <c r="AJ197" s="6">
        <f>IF((J196&lt;&gt;"")*(J200=""),IF((J196&lt;=$B$439)*((J197&gt;=$C$439)+(J197&lt;2/24)),1,0),0)</f>
        <v>0</v>
      </c>
    </row>
    <row r="198" spans="1:36" ht="13.5" hidden="1" thickBot="1" x14ac:dyDescent="0.25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  <c r="L198" s="6"/>
      <c r="M198" s="21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D198" s="6">
        <f>IF((D196&lt;&gt;"")*(D200=""),IF((D196&lt;=$B$440)*((D197&gt;=$C$440)+(D197&lt;2/24)),1,0),0)</f>
        <v>0</v>
      </c>
      <c r="AE198" s="6">
        <f>IF((E196&lt;&gt;"")*(E200=""),IF((E196&lt;=$B$440)*((E197&gt;=$C$440)+(E197&lt;2/24)),1,0),0)</f>
        <v>0</v>
      </c>
      <c r="AF198" s="6">
        <f>IF((F196&lt;&gt;"")*(F200=""),IF((F196&lt;=$B$440)*((F197&gt;=$C$440)+(F197&lt;2/24)),1,0),0)</f>
        <v>0</v>
      </c>
      <c r="AG198" s="6">
        <f>IF((G196&lt;&gt;"")*(G200=""),IF((G196&lt;=$B$440)*((G197&gt;=$C$440)+(G197&lt;2/24)),1,0),0)</f>
        <v>0</v>
      </c>
      <c r="AH198" s="6">
        <f>IF((H196&lt;&gt;"")*(H200=""),IF((H196&lt;=$B$440)*((H197&gt;=$C$440)+(H197&lt;2/24)),1,0),0)</f>
        <v>0</v>
      </c>
      <c r="AI198" s="6">
        <f>IF((I196&lt;&gt;"")*(I200=""),IF((I196&lt;=$B$440)*((I197&gt;=$C$440)+(I197&lt;2/24)),1,0),0)</f>
        <v>0</v>
      </c>
      <c r="AJ198" s="6">
        <f>IF((J196&lt;&gt;"")*(J200=""),IF((J196&lt;=$B$440)*((J197&gt;=$C$440)+(J197&lt;2/24)),1,0),0)</f>
        <v>0</v>
      </c>
    </row>
    <row r="199" spans="1:36" ht="13.5" hidden="1" thickBot="1" x14ac:dyDescent="0.25">
      <c r="A199" s="39"/>
      <c r="B199" s="40"/>
      <c r="C199" s="15" t="s">
        <v>3</v>
      </c>
      <c r="D199" s="43"/>
      <c r="E199" s="43"/>
      <c r="F199" s="43"/>
      <c r="G199" s="43"/>
      <c r="H199" s="43"/>
      <c r="I199" s="43"/>
      <c r="J199" s="44"/>
      <c r="K199" s="18">
        <f>SUMIF(D200:J200,"",D199:J199)</f>
        <v>0</v>
      </c>
      <c r="L199" s="12">
        <f>SUM(D199:J199)</f>
        <v>0</v>
      </c>
      <c r="M199" s="24"/>
      <c r="N199" s="10">
        <f t="shared" ref="N199:T199" si="64">IF(D200="",D199,0)</f>
        <v>0</v>
      </c>
      <c r="O199" s="10">
        <f t="shared" si="64"/>
        <v>0</v>
      </c>
      <c r="P199" s="10">
        <f t="shared" si="64"/>
        <v>0</v>
      </c>
      <c r="Q199" s="10">
        <f t="shared" si="64"/>
        <v>0</v>
      </c>
      <c r="R199" s="10">
        <f t="shared" si="64"/>
        <v>0</v>
      </c>
      <c r="S199" s="10">
        <f t="shared" si="64"/>
        <v>0</v>
      </c>
      <c r="T199" s="10">
        <f t="shared" si="64"/>
        <v>0</v>
      </c>
      <c r="U199" s="10"/>
      <c r="V199" s="10">
        <f t="shared" ref="V199:AB199" si="65">D199</f>
        <v>0</v>
      </c>
      <c r="W199" s="10">
        <f t="shared" si="65"/>
        <v>0</v>
      </c>
      <c r="X199" s="10">
        <f t="shared" si="65"/>
        <v>0</v>
      </c>
      <c r="Y199" s="10">
        <f t="shared" si="65"/>
        <v>0</v>
      </c>
      <c r="Z199" s="10">
        <f t="shared" si="65"/>
        <v>0</v>
      </c>
      <c r="AA199" s="10">
        <f t="shared" si="65"/>
        <v>0</v>
      </c>
      <c r="AB199" s="10">
        <f t="shared" si="65"/>
        <v>0</v>
      </c>
      <c r="AD199" s="6">
        <f>IF((D196&lt;&gt;"")*(D200=""),IF((D196&lt;=$B$441)*((D197&gt;=$C$441)+(D197&lt;2/24)),1,0),0)</f>
        <v>0</v>
      </c>
      <c r="AE199" s="6">
        <f>IF((E196&lt;&gt;"")*(E200=""),IF((E196&lt;=$B$441)*((E197&gt;=$C$441)+(E197&lt;2/24)),1,0),0)</f>
        <v>0</v>
      </c>
      <c r="AF199" s="6">
        <f>IF((F196&lt;&gt;"")*(F200=""),IF((F196&lt;=$B$441)*((F197&gt;=$C$441)+(F197&lt;2/24)),1,0),0)</f>
        <v>0</v>
      </c>
      <c r="AG199" s="6">
        <f>IF((G196&lt;&gt;"")*(G200=""),IF((G196&lt;=$B$441)*((G197&gt;=$C$441)+(G197&lt;2/24)),1,0),0)</f>
        <v>0</v>
      </c>
      <c r="AH199" s="6">
        <f>IF((H196&lt;&gt;"")*(H200=""),IF((H196&lt;=$B$441)*((H197&gt;=$C$441)+(H197&lt;2/24)),1,0),0)</f>
        <v>0</v>
      </c>
      <c r="AI199" s="6">
        <f>IF((I196&lt;&gt;"")*(I200=""),IF((I196&lt;=$B$441)*((I197&gt;=$C$441)+(I197&lt;2/24)),1,0),0)</f>
        <v>0</v>
      </c>
      <c r="AJ199" s="6">
        <f>IF((J196&lt;&gt;"")*(J200=""),IF((J196&lt;=$B$441)*((J197&gt;=$C$441)+(J197&lt;2/24)),1,0),0)</f>
        <v>0</v>
      </c>
    </row>
    <row r="200" spans="1:36" ht="13.5" hidden="1" thickBot="1" x14ac:dyDescent="0.25">
      <c r="A200" s="39"/>
      <c r="B200" s="40"/>
      <c r="C200" s="32" t="s">
        <v>4</v>
      </c>
      <c r="D200" s="33"/>
      <c r="E200" s="33"/>
      <c r="F200" s="33"/>
      <c r="G200" s="33"/>
      <c r="H200" s="33"/>
      <c r="I200" s="33"/>
      <c r="J200" s="33"/>
      <c r="K200" s="17"/>
      <c r="L200" s="6"/>
      <c r="M200" s="25"/>
      <c r="N200" s="6"/>
      <c r="O200" s="6"/>
      <c r="P200" s="6"/>
      <c r="Q200" s="6"/>
      <c r="R200" s="6"/>
      <c r="S200" s="6"/>
      <c r="T200" s="6"/>
      <c r="U200" s="6"/>
      <c r="V200" s="20"/>
      <c r="W200" s="20"/>
      <c r="X200" s="20"/>
      <c r="Y200" s="20"/>
      <c r="Z200" s="20"/>
      <c r="AA200" s="20"/>
      <c r="AB200" s="20"/>
      <c r="AD200" s="6">
        <f>IF((D196&lt;&gt;"")*(D200=""),IF((D196&lt;=$B$442)*((D197&gt;=$C$442)+(D197&lt;2/24)),1,0),0)</f>
        <v>0</v>
      </c>
      <c r="AE200" s="6">
        <f>IF((E196&lt;&gt;"")*(E200=""),IF((E196&lt;=$B$442)*((E197&gt;=$C$442)+(E197&lt;2/24)),1,0),0)</f>
        <v>0</v>
      </c>
      <c r="AF200" s="6">
        <f>IF((F196&lt;&gt;"")*(F200=""),IF((F196&lt;=$B$442)*((F197&gt;=$C$442)+(F197&lt;2/24)),1,0),0)</f>
        <v>0</v>
      </c>
      <c r="AG200" s="6">
        <f>IF((G196&lt;&gt;"")*(G200=""),IF((G196&lt;=$B$442)*((G197&gt;=$C$442)+(G197&lt;2/24)),1,0),0)</f>
        <v>0</v>
      </c>
      <c r="AH200" s="6">
        <f>IF((H196&lt;&gt;"")*(H200=""),IF((H196&lt;=$B$442)*((H197&gt;=$C$442)+(H197&lt;2/24)),1,0),0)</f>
        <v>0</v>
      </c>
      <c r="AI200" s="6">
        <f>IF((I196&lt;&gt;"")*(I200=""),IF((I196&lt;=$B$442)*((I197&gt;=$C$442)+(I197&lt;2/24)),1,0),0)</f>
        <v>0</v>
      </c>
      <c r="AJ200" s="6">
        <f>IF((J196&lt;&gt;"")*(J200=""),IF((J196&lt;=$B$442)*((J197&gt;=$C$442)+(J197&lt;2/24)),1,0),0)</f>
        <v>0</v>
      </c>
    </row>
    <row r="201" spans="1:36" ht="13.5" hidden="1" thickBot="1" x14ac:dyDescent="0.25">
      <c r="A201" s="41"/>
      <c r="B201" s="42"/>
      <c r="C201" s="35" t="s">
        <v>28</v>
      </c>
      <c r="D201" s="36"/>
      <c r="E201" s="36"/>
      <c r="F201" s="36"/>
      <c r="G201" s="36"/>
      <c r="H201" s="36"/>
      <c r="I201" s="36"/>
      <c r="J201" s="36"/>
      <c r="K201" s="34"/>
      <c r="L201" s="6"/>
      <c r="M201" s="25"/>
      <c r="N201" s="6"/>
      <c r="O201" s="6"/>
      <c r="P201" s="6"/>
      <c r="Q201" s="6"/>
      <c r="R201" s="6"/>
      <c r="S201" s="6"/>
      <c r="T201" s="6"/>
      <c r="U201" s="6"/>
      <c r="V201" s="20"/>
      <c r="W201" s="20"/>
      <c r="X201" s="20"/>
      <c r="Y201" s="20"/>
      <c r="Z201" s="20"/>
      <c r="AA201" s="20"/>
      <c r="AB201" s="20"/>
      <c r="AD201" s="6"/>
      <c r="AE201" s="6"/>
      <c r="AF201" s="6"/>
      <c r="AG201" s="6"/>
      <c r="AH201" s="6"/>
      <c r="AI201" s="6"/>
      <c r="AJ201" s="6"/>
    </row>
    <row r="202" spans="1:36" ht="13.5" hidden="1" thickBot="1" x14ac:dyDescent="0.25">
      <c r="A202" s="37" t="s">
        <v>29</v>
      </c>
      <c r="B202" s="38" t="s">
        <v>30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  <c r="L202" s="6"/>
      <c r="M202" s="21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D202" s="6">
        <f>IF((D202&lt;&gt;"")*(D206=""),IF((D202&lt;=$B$438)*((D203&gt;=$C$438)+(D203&lt;2/24)),1,0),0)</f>
        <v>0</v>
      </c>
      <c r="AE202" s="6">
        <f>IF((E202&lt;&gt;"")*(E206=""),IF((E202&lt;=$B$438)*((E203&gt;=$C$438)+(E203&lt;2/24)),1,0),0)</f>
        <v>0</v>
      </c>
      <c r="AF202" s="6">
        <f>IF((F202&lt;&gt;"")*(F206=""),IF((F202&lt;=$B$438)*((F203&gt;=$C$438)+(F203&lt;2/24)),1,0),0)</f>
        <v>0</v>
      </c>
      <c r="AG202" s="6">
        <f>IF((G202&lt;&gt;"")*(G206=""),IF((G202&lt;=$B$438)*((G203&gt;=$C$438)+(G203&lt;2/24)),1,0),0)</f>
        <v>0</v>
      </c>
      <c r="AH202" s="6">
        <f>IF((H202&lt;&gt;"")*(H206=""),IF((H202&lt;=$B$438)*((H203&gt;=$C$438)+(H203&lt;2/24)),1,0),0)</f>
        <v>0</v>
      </c>
      <c r="AI202" s="6">
        <f>IF((I202&lt;&gt;"")*(I206=""),IF((I202&lt;=$B$438)*((I203&gt;=$C$438)+(I203&lt;2/24)),1,0),0)</f>
        <v>0</v>
      </c>
      <c r="AJ202" s="6">
        <f>IF((J202&lt;&gt;"")*(J206=""),IF((J202&lt;=$B$438)*((J203&gt;=$C$438)+(J203&lt;2/24)),1,0),0)</f>
        <v>0</v>
      </c>
    </row>
    <row r="203" spans="1:36" ht="13.5" hidden="1" thickBot="1" x14ac:dyDescent="0.25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  <c r="L203" s="6"/>
      <c r="M203" s="21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D203" s="6">
        <f>IF((D202&lt;&gt;"")*(D206=""),IF((D202&lt;=$B$439)*((D203&gt;=$C$439)+(D203&lt;2/24)),1,0),0)</f>
        <v>0</v>
      </c>
      <c r="AE203" s="6">
        <f>IF((E202&lt;&gt;"")*(E206=""),IF((E202&lt;=$B$439)*((E203&gt;=$C$439)+(E203&lt;2/24)),1,0),0)</f>
        <v>0</v>
      </c>
      <c r="AF203" s="6">
        <f>IF((F202&lt;&gt;"")*(F206=""),IF((F202&lt;=$B$439)*((F203&gt;=$C$439)+(F203&lt;2/24)),1,0),0)</f>
        <v>0</v>
      </c>
      <c r="AG203" s="6">
        <f>IF((G202&lt;&gt;"")*(G206=""),IF((G202&lt;=$B$439)*((G203&gt;=$C$439)+(G203&lt;2/24)),1,0),0)</f>
        <v>0</v>
      </c>
      <c r="AH203" s="6">
        <f>IF((H202&lt;&gt;"")*(H206=""),IF((H202&lt;=$B$439)*((H203&gt;=$C$439)+(H203&lt;2/24)),1,0),0)</f>
        <v>0</v>
      </c>
      <c r="AI203" s="6">
        <f>IF((I202&lt;&gt;"")*(I206=""),IF((I202&lt;=$B$439)*((I203&gt;=$C$439)+(I203&lt;2/24)),1,0),0)</f>
        <v>0</v>
      </c>
      <c r="AJ203" s="6">
        <f>IF((J202&lt;&gt;"")*(J206=""),IF((J202&lt;=$B$439)*((J203&gt;=$C$439)+(J203&lt;2/24)),1,0),0)</f>
        <v>0</v>
      </c>
    </row>
    <row r="204" spans="1:36" ht="13.5" hidden="1" thickBot="1" x14ac:dyDescent="0.25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  <c r="L204" s="6"/>
      <c r="M204" s="21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D204" s="6">
        <f>IF((D202&lt;&gt;"")*(D206=""),IF((D202&lt;=$B$440)*((D203&gt;=$C$440)+(D203&lt;2/24)),1,0),0)</f>
        <v>0</v>
      </c>
      <c r="AE204" s="6">
        <f>IF((E202&lt;&gt;"")*(E206=""),IF((E202&lt;=$B$440)*((E203&gt;=$C$440)+(E203&lt;2/24)),1,0),0)</f>
        <v>0</v>
      </c>
      <c r="AF204" s="6">
        <f>IF((F202&lt;&gt;"")*(F206=""),IF((F202&lt;=$B$440)*((F203&gt;=$C$440)+(F203&lt;2/24)),1,0),0)</f>
        <v>0</v>
      </c>
      <c r="AG204" s="6">
        <f>IF((G202&lt;&gt;"")*(G206=""),IF((G202&lt;=$B$440)*((G203&gt;=$C$440)+(G203&lt;2/24)),1,0),0)</f>
        <v>0</v>
      </c>
      <c r="AH204" s="6">
        <f>IF((H202&lt;&gt;"")*(H206=""),IF((H202&lt;=$B$440)*((H203&gt;=$C$440)+(H203&lt;2/24)),1,0),0)</f>
        <v>0</v>
      </c>
      <c r="AI204" s="6">
        <f>IF((I202&lt;&gt;"")*(I206=""),IF((I202&lt;=$B$440)*((I203&gt;=$C$440)+(I203&lt;2/24)),1,0),0)</f>
        <v>0</v>
      </c>
      <c r="AJ204" s="6">
        <f>IF((J202&lt;&gt;"")*(J206=""),IF((J202&lt;=$B$440)*((J203&gt;=$C$440)+(J203&lt;2/24)),1,0),0)</f>
        <v>0</v>
      </c>
    </row>
    <row r="205" spans="1:36" ht="13.5" hidden="1" thickBot="1" x14ac:dyDescent="0.25">
      <c r="A205" s="39"/>
      <c r="B205" s="40"/>
      <c r="C205" s="15" t="s">
        <v>3</v>
      </c>
      <c r="D205" s="43"/>
      <c r="E205" s="43"/>
      <c r="F205" s="43"/>
      <c r="G205" s="43"/>
      <c r="H205" s="43"/>
      <c r="I205" s="43"/>
      <c r="J205" s="44"/>
      <c r="K205" s="18">
        <f>SUMIF(D206:J206,"",D205:J205)</f>
        <v>0</v>
      </c>
      <c r="L205" s="12">
        <f>SUM(D205:J205)</f>
        <v>0</v>
      </c>
      <c r="M205" s="24"/>
      <c r="N205" s="10">
        <f t="shared" ref="N205:T205" si="66">IF(D206="",D205,0)</f>
        <v>0</v>
      </c>
      <c r="O205" s="10">
        <f t="shared" si="66"/>
        <v>0</v>
      </c>
      <c r="P205" s="10">
        <f t="shared" si="66"/>
        <v>0</v>
      </c>
      <c r="Q205" s="10">
        <f t="shared" si="66"/>
        <v>0</v>
      </c>
      <c r="R205" s="10">
        <f t="shared" si="66"/>
        <v>0</v>
      </c>
      <c r="S205" s="10">
        <f t="shared" si="66"/>
        <v>0</v>
      </c>
      <c r="T205" s="10">
        <f t="shared" si="66"/>
        <v>0</v>
      </c>
      <c r="U205" s="10"/>
      <c r="V205" s="10">
        <f t="shared" ref="V205:AB205" si="67">D205</f>
        <v>0</v>
      </c>
      <c r="W205" s="10">
        <f t="shared" si="67"/>
        <v>0</v>
      </c>
      <c r="X205" s="10">
        <f t="shared" si="67"/>
        <v>0</v>
      </c>
      <c r="Y205" s="10">
        <f t="shared" si="67"/>
        <v>0</v>
      </c>
      <c r="Z205" s="10">
        <f t="shared" si="67"/>
        <v>0</v>
      </c>
      <c r="AA205" s="10">
        <f t="shared" si="67"/>
        <v>0</v>
      </c>
      <c r="AB205" s="10">
        <f t="shared" si="67"/>
        <v>0</v>
      </c>
      <c r="AD205" s="6">
        <f>IF((D202&lt;&gt;"")*(D206=""),IF((D202&lt;=$B$441)*((D203&gt;=$C$441)+(D203&lt;2/24)),1,0),0)</f>
        <v>0</v>
      </c>
      <c r="AE205" s="6">
        <f>IF((E202&lt;&gt;"")*(E206=""),IF((E202&lt;=$B$441)*((E203&gt;=$C$441)+(E203&lt;2/24)),1,0),0)</f>
        <v>0</v>
      </c>
      <c r="AF205" s="6">
        <f>IF((F202&lt;&gt;"")*(F206=""),IF((F202&lt;=$B$441)*((F203&gt;=$C$441)+(F203&lt;2/24)),1,0),0)</f>
        <v>0</v>
      </c>
      <c r="AG205" s="6">
        <f>IF((G202&lt;&gt;"")*(G206=""),IF((G202&lt;=$B$441)*((G203&gt;=$C$441)+(G203&lt;2/24)),1,0),0)</f>
        <v>0</v>
      </c>
      <c r="AH205" s="6">
        <f>IF((H202&lt;&gt;"")*(H206=""),IF((H202&lt;=$B$441)*((H203&gt;=$C$441)+(H203&lt;2/24)),1,0),0)</f>
        <v>0</v>
      </c>
      <c r="AI205" s="6">
        <f>IF((I202&lt;&gt;"")*(I206=""),IF((I202&lt;=$B$441)*((I203&gt;=$C$441)+(I203&lt;2/24)),1,0),0)</f>
        <v>0</v>
      </c>
      <c r="AJ205" s="6">
        <f>IF((J202&lt;&gt;"")*(J206=""),IF((J202&lt;=$B$441)*((J203&gt;=$C$441)+(J203&lt;2/24)),1,0),0)</f>
        <v>0</v>
      </c>
    </row>
    <row r="206" spans="1:36" ht="13.5" hidden="1" thickBot="1" x14ac:dyDescent="0.25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  <c r="N206" s="6"/>
      <c r="O206" s="6"/>
      <c r="P206" s="6"/>
      <c r="Q206" s="6"/>
      <c r="R206" s="6"/>
      <c r="S206" s="6"/>
      <c r="T206" s="6"/>
      <c r="U206" s="6"/>
      <c r="V206" s="20"/>
      <c r="W206" s="20"/>
      <c r="X206" s="20"/>
      <c r="Y206" s="20"/>
      <c r="Z206" s="20"/>
      <c r="AA206" s="20"/>
      <c r="AB206" s="20"/>
      <c r="AD206" s="6">
        <f>IF((D202&lt;&gt;"")*(D206=""),IF((D202&lt;=$B$442)*((D203&gt;=$C$442)+(D203&lt;2/24)),1,0),0)</f>
        <v>0</v>
      </c>
      <c r="AE206" s="6">
        <f>IF((E202&lt;&gt;"")*(E206=""),IF((E202&lt;=$B$442)*((E203&gt;=$C$442)+(E203&lt;2/24)),1,0),0)</f>
        <v>0</v>
      </c>
      <c r="AF206" s="6">
        <f>IF((F202&lt;&gt;"")*(F206=""),IF((F202&lt;=$B$442)*((F203&gt;=$C$442)+(F203&lt;2/24)),1,0),0)</f>
        <v>0</v>
      </c>
      <c r="AG206" s="6">
        <f>IF((G202&lt;&gt;"")*(G206=""),IF((G202&lt;=$B$442)*((G203&gt;=$C$442)+(G203&lt;2/24)),1,0),0)</f>
        <v>0</v>
      </c>
      <c r="AH206" s="6">
        <f>IF((H202&lt;&gt;"")*(H206=""),IF((H202&lt;=$B$442)*((H203&gt;=$C$442)+(H203&lt;2/24)),1,0),0)</f>
        <v>0</v>
      </c>
      <c r="AI206" s="6">
        <f>IF((I202&lt;&gt;"")*(I206=""),IF((I202&lt;=$B$442)*((I203&gt;=$C$442)+(I203&lt;2/24)),1,0),0)</f>
        <v>0</v>
      </c>
      <c r="AJ206" s="6">
        <f>IF((J202&lt;&gt;"")*(J206=""),IF((J202&lt;=$B$442)*((J203&gt;=$C$442)+(J203&lt;2/24)),1,0),0)</f>
        <v>0</v>
      </c>
    </row>
    <row r="207" spans="1:36" ht="13.5" hidden="1" thickBot="1" x14ac:dyDescent="0.25">
      <c r="A207" s="41"/>
      <c r="B207" s="42"/>
      <c r="C207" s="35" t="s">
        <v>28</v>
      </c>
      <c r="D207" s="36"/>
      <c r="E207" s="36"/>
      <c r="F207" s="36"/>
      <c r="G207" s="36"/>
      <c r="H207" s="36"/>
      <c r="I207" s="36"/>
      <c r="J207" s="36"/>
      <c r="K207" s="34"/>
      <c r="L207" s="6"/>
      <c r="M207" s="25"/>
      <c r="N207" s="6"/>
      <c r="O207" s="6"/>
      <c r="P207" s="6"/>
      <c r="Q207" s="6"/>
      <c r="R207" s="6"/>
      <c r="S207" s="6"/>
      <c r="T207" s="6"/>
      <c r="U207" s="6"/>
      <c r="V207" s="20"/>
      <c r="W207" s="20"/>
      <c r="X207" s="20"/>
      <c r="Y207" s="20"/>
      <c r="Z207" s="20"/>
      <c r="AA207" s="20"/>
      <c r="AB207" s="20"/>
      <c r="AD207" s="6"/>
      <c r="AE207" s="6"/>
      <c r="AF207" s="6"/>
      <c r="AG207" s="6"/>
      <c r="AH207" s="6"/>
      <c r="AI207" s="6"/>
      <c r="AJ207" s="6"/>
    </row>
    <row r="208" spans="1:36" ht="13.5" hidden="1" thickBot="1" x14ac:dyDescent="0.25">
      <c r="A208" s="37" t="s">
        <v>29</v>
      </c>
      <c r="B208" s="38" t="s">
        <v>30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  <c r="L208" s="6"/>
      <c r="M208" s="21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D208" s="6">
        <f>IF((D208&lt;&gt;"")*(D212=""),IF((D208&lt;=$B$438)*((D209&gt;=$C$438)+(D209&lt;2/24)),1,0),0)</f>
        <v>0</v>
      </c>
      <c r="AE208" s="6">
        <f>IF((E208&lt;&gt;"")*(E212=""),IF((E208&lt;=$B$438)*((E209&gt;=$C$438)+(E209&lt;2/24)),1,0),0)</f>
        <v>0</v>
      </c>
      <c r="AF208" s="6">
        <f>IF((F208&lt;&gt;"")*(F212=""),IF((F208&lt;=$B$438)*((F209&gt;=$C$438)+(F209&lt;2/24)),1,0),0)</f>
        <v>0</v>
      </c>
      <c r="AG208" s="6">
        <f>IF((G208&lt;&gt;"")*(G212=""),IF((G208&lt;=$B$438)*((G209&gt;=$C$438)+(G209&lt;2/24)),1,0),0)</f>
        <v>0</v>
      </c>
      <c r="AH208" s="6">
        <f>IF((H208&lt;&gt;"")*(H212=""),IF((H208&lt;=$B$438)*((H209&gt;=$C$438)+(H209&lt;2/24)),1,0),0)</f>
        <v>0</v>
      </c>
      <c r="AI208" s="6">
        <f>IF((I208&lt;&gt;"")*(I212=""),IF((I208&lt;=$B$438)*((I209&gt;=$C$438)+(I209&lt;2/24)),1,0),0)</f>
        <v>0</v>
      </c>
      <c r="AJ208" s="6">
        <f>IF((J208&lt;&gt;"")*(J212=""),IF((J208&lt;=$B$438)*((J209&gt;=$C$438)+(J209&lt;2/24)),1,0),0)</f>
        <v>0</v>
      </c>
    </row>
    <row r="209" spans="1:36" ht="13.5" hidden="1" thickBot="1" x14ac:dyDescent="0.25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  <c r="L209" s="6"/>
      <c r="M209" s="21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D209" s="6">
        <f>IF((D208&lt;&gt;"")*(D212=""),IF((D208&lt;=$B$439)*((D209&gt;=$C$439)+(D209&lt;2/24)),1,0),0)</f>
        <v>0</v>
      </c>
      <c r="AE209" s="6">
        <f>IF((E208&lt;&gt;"")*(E212=""),IF((E208&lt;=$B$439)*((E209&gt;=$C$439)+(E209&lt;2/24)),1,0),0)</f>
        <v>0</v>
      </c>
      <c r="AF209" s="6">
        <f>IF((F208&lt;&gt;"")*(F212=""),IF((F208&lt;=$B$439)*((F209&gt;=$C$439)+(F209&lt;2/24)),1,0),0)</f>
        <v>0</v>
      </c>
      <c r="AG209" s="6">
        <f>IF((G208&lt;&gt;"")*(G212=""),IF((G208&lt;=$B$439)*((G209&gt;=$C$439)+(G209&lt;2/24)),1,0),0)</f>
        <v>0</v>
      </c>
      <c r="AH209" s="6">
        <f>IF((H208&lt;&gt;"")*(H212=""),IF((H208&lt;=$B$439)*((H209&gt;=$C$439)+(H209&lt;2/24)),1,0),0)</f>
        <v>0</v>
      </c>
      <c r="AI209" s="6">
        <f>IF((I208&lt;&gt;"")*(I212=""),IF((I208&lt;=$B$439)*((I209&gt;=$C$439)+(I209&lt;2/24)),1,0),0)</f>
        <v>0</v>
      </c>
      <c r="AJ209" s="6">
        <f>IF((J208&lt;&gt;"")*(J212=""),IF((J208&lt;=$B$439)*((J209&gt;=$C$439)+(J209&lt;2/24)),1,0),0)</f>
        <v>0</v>
      </c>
    </row>
    <row r="210" spans="1:36" ht="13.5" hidden="1" thickBot="1" x14ac:dyDescent="0.25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  <c r="L210" s="6"/>
      <c r="M210" s="21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D210" s="6">
        <f>IF((D208&lt;&gt;"")*(D212=""),IF((D208&lt;=$B$440)*((D209&gt;=$C$440)+(D209&lt;2/24)),1,0),0)</f>
        <v>0</v>
      </c>
      <c r="AE210" s="6">
        <f>IF((E208&lt;&gt;"")*(E212=""),IF((E208&lt;=$B$440)*((E209&gt;=$C$440)+(E209&lt;2/24)),1,0),0)</f>
        <v>0</v>
      </c>
      <c r="AF210" s="6">
        <f>IF((F208&lt;&gt;"")*(F212=""),IF((F208&lt;=$B$440)*((F209&gt;=$C$440)+(F209&lt;2/24)),1,0),0)</f>
        <v>0</v>
      </c>
      <c r="AG210" s="6">
        <f>IF((G208&lt;&gt;"")*(G212=""),IF((G208&lt;=$B$440)*((G209&gt;=$C$440)+(G209&lt;2/24)),1,0),0)</f>
        <v>0</v>
      </c>
      <c r="AH210" s="6">
        <f>IF((H208&lt;&gt;"")*(H212=""),IF((H208&lt;=$B$440)*((H209&gt;=$C$440)+(H209&lt;2/24)),1,0),0)</f>
        <v>0</v>
      </c>
      <c r="AI210" s="6">
        <f>IF((I208&lt;&gt;"")*(I212=""),IF((I208&lt;=$B$440)*((I209&gt;=$C$440)+(I209&lt;2/24)),1,0),0)</f>
        <v>0</v>
      </c>
      <c r="AJ210" s="6">
        <f>IF((J208&lt;&gt;"")*(J212=""),IF((J208&lt;=$B$440)*((J209&gt;=$C$440)+(J209&lt;2/24)),1,0),0)</f>
        <v>0</v>
      </c>
    </row>
    <row r="211" spans="1:36" ht="13.5" hidden="1" thickBot="1" x14ac:dyDescent="0.25">
      <c r="A211" s="39"/>
      <c r="B211" s="40"/>
      <c r="C211" s="15" t="s">
        <v>3</v>
      </c>
      <c r="D211" s="43"/>
      <c r="E211" s="43"/>
      <c r="F211" s="43"/>
      <c r="G211" s="43"/>
      <c r="H211" s="43"/>
      <c r="I211" s="43"/>
      <c r="J211" s="44"/>
      <c r="K211" s="18">
        <f>SUMIF(D212:J212,"",D211:J211)</f>
        <v>0</v>
      </c>
      <c r="L211" s="12">
        <f>SUM(D211:J211)</f>
        <v>0</v>
      </c>
      <c r="M211" s="24"/>
      <c r="N211" s="10">
        <f t="shared" ref="N211:T211" si="68">IF(D212="",D211,0)</f>
        <v>0</v>
      </c>
      <c r="O211" s="10">
        <f t="shared" si="68"/>
        <v>0</v>
      </c>
      <c r="P211" s="10">
        <f t="shared" si="68"/>
        <v>0</v>
      </c>
      <c r="Q211" s="10">
        <f t="shared" si="68"/>
        <v>0</v>
      </c>
      <c r="R211" s="10">
        <f t="shared" si="68"/>
        <v>0</v>
      </c>
      <c r="S211" s="10">
        <f t="shared" si="68"/>
        <v>0</v>
      </c>
      <c r="T211" s="10">
        <f t="shared" si="68"/>
        <v>0</v>
      </c>
      <c r="U211" s="10"/>
      <c r="V211" s="10">
        <f t="shared" ref="V211:AB211" si="69">D211</f>
        <v>0</v>
      </c>
      <c r="W211" s="10">
        <f t="shared" si="69"/>
        <v>0</v>
      </c>
      <c r="X211" s="10">
        <f t="shared" si="69"/>
        <v>0</v>
      </c>
      <c r="Y211" s="10">
        <f t="shared" si="69"/>
        <v>0</v>
      </c>
      <c r="Z211" s="10">
        <f t="shared" si="69"/>
        <v>0</v>
      </c>
      <c r="AA211" s="10">
        <f t="shared" si="69"/>
        <v>0</v>
      </c>
      <c r="AB211" s="10">
        <f t="shared" si="69"/>
        <v>0</v>
      </c>
      <c r="AD211" s="6">
        <f>IF((D208&lt;&gt;"")*(D212=""),IF((D208&lt;=$B$441)*((D209&gt;=$C$441)+(D209&lt;2/24)),1,0),0)</f>
        <v>0</v>
      </c>
      <c r="AE211" s="6">
        <f>IF((E208&lt;&gt;"")*(E212=""),IF((E208&lt;=$B$441)*((E209&gt;=$C$441)+(E209&lt;2/24)),1,0),0)</f>
        <v>0</v>
      </c>
      <c r="AF211" s="6">
        <f>IF((F208&lt;&gt;"")*(F212=""),IF((F208&lt;=$B$441)*((F209&gt;=$C$441)+(F209&lt;2/24)),1,0),0)</f>
        <v>0</v>
      </c>
      <c r="AG211" s="6">
        <f>IF((G208&lt;&gt;"")*(G212=""),IF((G208&lt;=$B$441)*((G209&gt;=$C$441)+(G209&lt;2/24)),1,0),0)</f>
        <v>0</v>
      </c>
      <c r="AH211" s="6">
        <f>IF((H208&lt;&gt;"")*(H212=""),IF((H208&lt;=$B$441)*((H209&gt;=$C$441)+(H209&lt;2/24)),1,0),0)</f>
        <v>0</v>
      </c>
      <c r="AI211" s="6">
        <f>IF((I208&lt;&gt;"")*(I212=""),IF((I208&lt;=$B$441)*((I209&gt;=$C$441)+(I209&lt;2/24)),1,0),0)</f>
        <v>0</v>
      </c>
      <c r="AJ211" s="6">
        <f>IF((J208&lt;&gt;"")*(J212=""),IF((J208&lt;=$B$441)*((J209&gt;=$C$441)+(J209&lt;2/24)),1,0),0)</f>
        <v>0</v>
      </c>
    </row>
    <row r="212" spans="1:36" ht="13.5" hidden="1" thickBot="1" x14ac:dyDescent="0.25">
      <c r="A212" s="39"/>
      <c r="B212" s="40"/>
      <c r="C212" s="32" t="s">
        <v>4</v>
      </c>
      <c r="D212" s="33"/>
      <c r="E212" s="33"/>
      <c r="F212" s="33"/>
      <c r="G212" s="33"/>
      <c r="H212" s="33"/>
      <c r="I212" s="33"/>
      <c r="J212" s="33"/>
      <c r="K212" s="17"/>
      <c r="L212" s="6"/>
      <c r="M212" s="25"/>
      <c r="N212" s="6"/>
      <c r="O212" s="6"/>
      <c r="P212" s="6"/>
      <c r="Q212" s="6"/>
      <c r="R212" s="6"/>
      <c r="S212" s="6"/>
      <c r="T212" s="6"/>
      <c r="U212" s="6"/>
      <c r="V212" s="20"/>
      <c r="W212" s="20"/>
      <c r="X212" s="20"/>
      <c r="Y212" s="20"/>
      <c r="Z212" s="20"/>
      <c r="AA212" s="20"/>
      <c r="AB212" s="20"/>
      <c r="AD212" s="6">
        <f>IF((D208&lt;&gt;"")*(D212=""),IF((D208&lt;=$B$442)*((D209&gt;=$C$442)+(D209&lt;2/24)),1,0),0)</f>
        <v>0</v>
      </c>
      <c r="AE212" s="6">
        <f>IF((E208&lt;&gt;"")*(E212=""),IF((E208&lt;=$B$442)*((E209&gt;=$C$442)+(E209&lt;2/24)),1,0),0)</f>
        <v>0</v>
      </c>
      <c r="AF212" s="6">
        <f>IF((F208&lt;&gt;"")*(F212=""),IF((F208&lt;=$B$442)*((F209&gt;=$C$442)+(F209&lt;2/24)),1,0),0)</f>
        <v>0</v>
      </c>
      <c r="AG212" s="6">
        <f>IF((G208&lt;&gt;"")*(G212=""),IF((G208&lt;=$B$442)*((G209&gt;=$C$442)+(G209&lt;2/24)),1,0),0)</f>
        <v>0</v>
      </c>
      <c r="AH212" s="6">
        <f>IF((H208&lt;&gt;"")*(H212=""),IF((H208&lt;=$B$442)*((H209&gt;=$C$442)+(H209&lt;2/24)),1,0),0)</f>
        <v>0</v>
      </c>
      <c r="AI212" s="6">
        <f>IF((I208&lt;&gt;"")*(I212=""),IF((I208&lt;=$B$442)*((I209&gt;=$C$442)+(I209&lt;2/24)),1,0),0)</f>
        <v>0</v>
      </c>
      <c r="AJ212" s="6">
        <f>IF((J208&lt;&gt;"")*(J212=""),IF((J208&lt;=$B$442)*((J209&gt;=$C$442)+(J209&lt;2/24)),1,0),0)</f>
        <v>0</v>
      </c>
    </row>
    <row r="213" spans="1:36" ht="13.5" hidden="1" thickBot="1" x14ac:dyDescent="0.25">
      <c r="A213" s="41"/>
      <c r="B213" s="42"/>
      <c r="C213" s="35" t="s">
        <v>28</v>
      </c>
      <c r="D213" s="36"/>
      <c r="E213" s="36"/>
      <c r="F213" s="36"/>
      <c r="G213" s="36"/>
      <c r="H213" s="36"/>
      <c r="I213" s="36"/>
      <c r="J213" s="36"/>
      <c r="K213" s="34"/>
      <c r="L213" s="6"/>
      <c r="M213" s="25"/>
      <c r="N213" s="6"/>
      <c r="O213" s="6"/>
      <c r="P213" s="6"/>
      <c r="Q213" s="6"/>
      <c r="R213" s="6"/>
      <c r="S213" s="6"/>
      <c r="T213" s="6"/>
      <c r="U213" s="6"/>
      <c r="V213" s="20"/>
      <c r="W213" s="20"/>
      <c r="X213" s="20"/>
      <c r="Y213" s="20"/>
      <c r="Z213" s="20"/>
      <c r="AA213" s="20"/>
      <c r="AB213" s="20"/>
      <c r="AD213" s="6"/>
      <c r="AE213" s="6"/>
      <c r="AF213" s="6"/>
      <c r="AG213" s="6"/>
      <c r="AH213" s="6"/>
      <c r="AI213" s="6"/>
      <c r="AJ213" s="6"/>
    </row>
    <row r="214" spans="1:36" ht="13.5" hidden="1" thickBot="1" x14ac:dyDescent="0.25">
      <c r="A214" s="37" t="s">
        <v>29</v>
      </c>
      <c r="B214" s="38" t="s">
        <v>30</v>
      </c>
      <c r="C214" s="14" t="s">
        <v>0</v>
      </c>
      <c r="D214" s="26"/>
      <c r="E214" s="26"/>
      <c r="F214" s="26"/>
      <c r="G214" s="26"/>
      <c r="H214" s="26"/>
      <c r="I214" s="26"/>
      <c r="J214" s="26"/>
      <c r="K214" s="16"/>
      <c r="L214" s="6"/>
      <c r="M214" s="21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D214" s="6">
        <f>IF((D214&lt;&gt;"")*(D218=""),IF((D214&lt;=$B$438)*((D215&gt;=$C$438)+(D215&lt;2/24)),1,0),0)</f>
        <v>0</v>
      </c>
      <c r="AE214" s="6">
        <f>IF((E214&lt;&gt;"")*(E218=""),IF((E214&lt;=$B$438)*((E215&gt;=$C$438)+(E215&lt;2/24)),1,0),0)</f>
        <v>0</v>
      </c>
      <c r="AF214" s="6">
        <f>IF((F214&lt;&gt;"")*(F218=""),IF((F214&lt;=$B$438)*((F215&gt;=$C$438)+(F215&lt;2/24)),1,0),0)</f>
        <v>0</v>
      </c>
      <c r="AG214" s="6">
        <f>IF((G214&lt;&gt;"")*(G218=""),IF((G214&lt;=$B$438)*((G215&gt;=$C$438)+(G215&lt;2/24)),1,0),0)</f>
        <v>0</v>
      </c>
      <c r="AH214" s="6">
        <f>IF((H214&lt;&gt;"")*(H218=""),IF((H214&lt;=$B$438)*((H215&gt;=$C$438)+(H215&lt;2/24)),1,0),0)</f>
        <v>0</v>
      </c>
      <c r="AI214" s="6">
        <f>IF((I214&lt;&gt;"")*(I218=""),IF((I214&lt;=$B$438)*((I215&gt;=$C$438)+(I215&lt;2/24)),1,0),0)</f>
        <v>0</v>
      </c>
      <c r="AJ214" s="6">
        <f>IF((J214&lt;&gt;"")*(J218=""),IF((J214&lt;=$B$438)*((J215&gt;=$C$438)+(J215&lt;2/24)),1,0),0)</f>
        <v>0</v>
      </c>
    </row>
    <row r="215" spans="1:36" ht="13.5" hidden="1" thickBot="1" x14ac:dyDescent="0.25">
      <c r="A215" s="39"/>
      <c r="B215" s="40"/>
      <c r="C215" s="15" t="s">
        <v>1</v>
      </c>
      <c r="D215" s="27"/>
      <c r="E215" s="27"/>
      <c r="F215" s="27"/>
      <c r="G215" s="27"/>
      <c r="H215" s="27"/>
      <c r="I215" s="27"/>
      <c r="J215" s="27"/>
      <c r="K215" s="17"/>
      <c r="L215" s="6"/>
      <c r="M215" s="21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D215" s="6">
        <f>IF((D214&lt;&gt;"")*(D218=""),IF((D214&lt;=$B$439)*((D215&gt;=$C$439)+(D215&lt;2/24)),1,0),0)</f>
        <v>0</v>
      </c>
      <c r="AE215" s="6">
        <f>IF((E214&lt;&gt;"")*(E218=""),IF((E214&lt;=$B$439)*((E215&gt;=$C$439)+(E215&lt;2/24)),1,0),0)</f>
        <v>0</v>
      </c>
      <c r="AF215" s="6">
        <f>IF((F214&lt;&gt;"")*(F218=""),IF((F214&lt;=$B$439)*((F215&gt;=$C$439)+(F215&lt;2/24)),1,0),0)</f>
        <v>0</v>
      </c>
      <c r="AG215" s="6">
        <f>IF((G214&lt;&gt;"")*(G218=""),IF((G214&lt;=$B$439)*((G215&gt;=$C$439)+(G215&lt;2/24)),1,0),0)</f>
        <v>0</v>
      </c>
      <c r="AH215" s="6">
        <f>IF((H214&lt;&gt;"")*(H218=""),IF((H214&lt;=$B$439)*((H215&gt;=$C$439)+(H215&lt;2/24)),1,0),0)</f>
        <v>0</v>
      </c>
      <c r="AI215" s="6">
        <f>IF((I214&lt;&gt;"")*(I218=""),IF((I214&lt;=$B$439)*((I215&gt;=$C$439)+(I215&lt;2/24)),1,0),0)</f>
        <v>0</v>
      </c>
      <c r="AJ215" s="6">
        <f>IF((J214&lt;&gt;"")*(J218=""),IF((J214&lt;=$B$439)*((J215&gt;=$C$439)+(J215&lt;2/24)),1,0),0)</f>
        <v>0</v>
      </c>
    </row>
    <row r="216" spans="1:36" ht="13.5" hidden="1" thickBot="1" x14ac:dyDescent="0.25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  <c r="L216" s="6"/>
      <c r="M216" s="21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D216" s="6">
        <f>IF((D214&lt;&gt;"")*(D218=""),IF((D214&lt;=$B$440)*((D215&gt;=$C$440)+(D215&lt;2/24)),1,0),0)</f>
        <v>0</v>
      </c>
      <c r="AE216" s="6">
        <f>IF((E214&lt;&gt;"")*(E218=""),IF((E214&lt;=$B$440)*((E215&gt;=$C$440)+(E215&lt;2/24)),1,0),0)</f>
        <v>0</v>
      </c>
      <c r="AF216" s="6">
        <f>IF((F214&lt;&gt;"")*(F218=""),IF((F214&lt;=$B$440)*((F215&gt;=$C$440)+(F215&lt;2/24)),1,0),0)</f>
        <v>0</v>
      </c>
      <c r="AG216" s="6">
        <f>IF((G214&lt;&gt;"")*(G218=""),IF((G214&lt;=$B$440)*((G215&gt;=$C$440)+(G215&lt;2/24)),1,0),0)</f>
        <v>0</v>
      </c>
      <c r="AH216" s="6">
        <f>IF((H214&lt;&gt;"")*(H218=""),IF((H214&lt;=$B$440)*((H215&gt;=$C$440)+(H215&lt;2/24)),1,0),0)</f>
        <v>0</v>
      </c>
      <c r="AI216" s="6">
        <f>IF((I214&lt;&gt;"")*(I218=""),IF((I214&lt;=$B$440)*((I215&gt;=$C$440)+(I215&lt;2/24)),1,0),0)</f>
        <v>0</v>
      </c>
      <c r="AJ216" s="6">
        <f>IF((J214&lt;&gt;"")*(J218=""),IF((J214&lt;=$B$440)*((J215&gt;=$C$440)+(J215&lt;2/24)),1,0),0)</f>
        <v>0</v>
      </c>
    </row>
    <row r="217" spans="1:36" ht="13.5" hidden="1" thickBot="1" x14ac:dyDescent="0.25">
      <c r="A217" s="39"/>
      <c r="B217" s="40"/>
      <c r="C217" s="15" t="s">
        <v>3</v>
      </c>
      <c r="D217" s="43"/>
      <c r="E217" s="43"/>
      <c r="F217" s="43"/>
      <c r="G217" s="43"/>
      <c r="H217" s="43"/>
      <c r="I217" s="43"/>
      <c r="J217" s="44"/>
      <c r="K217" s="18">
        <f>SUMIF(D218:J218,"",D217:J217)</f>
        <v>0</v>
      </c>
      <c r="L217" s="12">
        <f>SUM(D217:J217)</f>
        <v>0</v>
      </c>
      <c r="M217" s="24"/>
      <c r="N217" s="10">
        <f t="shared" ref="N217:T217" si="70">IF(D218="",D217,0)</f>
        <v>0</v>
      </c>
      <c r="O217" s="10">
        <f t="shared" si="70"/>
        <v>0</v>
      </c>
      <c r="P217" s="10">
        <f t="shared" si="70"/>
        <v>0</v>
      </c>
      <c r="Q217" s="10">
        <f t="shared" si="70"/>
        <v>0</v>
      </c>
      <c r="R217" s="10">
        <f t="shared" si="70"/>
        <v>0</v>
      </c>
      <c r="S217" s="10">
        <f t="shared" si="70"/>
        <v>0</v>
      </c>
      <c r="T217" s="10">
        <f t="shared" si="70"/>
        <v>0</v>
      </c>
      <c r="U217" s="10"/>
      <c r="V217" s="10">
        <f t="shared" ref="V217:AB217" si="71">D217</f>
        <v>0</v>
      </c>
      <c r="W217" s="10">
        <f t="shared" si="71"/>
        <v>0</v>
      </c>
      <c r="X217" s="10">
        <f t="shared" si="71"/>
        <v>0</v>
      </c>
      <c r="Y217" s="10">
        <f t="shared" si="71"/>
        <v>0</v>
      </c>
      <c r="Z217" s="10">
        <f t="shared" si="71"/>
        <v>0</v>
      </c>
      <c r="AA217" s="10">
        <f t="shared" si="71"/>
        <v>0</v>
      </c>
      <c r="AB217" s="10">
        <f t="shared" si="71"/>
        <v>0</v>
      </c>
      <c r="AD217" s="6">
        <f>IF((D214&lt;&gt;"")*(D218=""),IF((D214&lt;=$B$441)*((D215&gt;=$C$441)+(D215&lt;2/24)),1,0),0)</f>
        <v>0</v>
      </c>
      <c r="AE217" s="6">
        <f>IF((E214&lt;&gt;"")*(E218=""),IF((E214&lt;=$B$441)*((E215&gt;=$C$441)+(E215&lt;2/24)),1,0),0)</f>
        <v>0</v>
      </c>
      <c r="AF217" s="6">
        <f>IF((F214&lt;&gt;"")*(F218=""),IF((F214&lt;=$B$441)*((F215&gt;=$C$441)+(F215&lt;2/24)),1,0),0)</f>
        <v>0</v>
      </c>
      <c r="AG217" s="6">
        <f>IF((G214&lt;&gt;"")*(G218=""),IF((G214&lt;=$B$441)*((G215&gt;=$C$441)+(G215&lt;2/24)),1,0),0)</f>
        <v>0</v>
      </c>
      <c r="AH217" s="6">
        <f>IF((H214&lt;&gt;"")*(H218=""),IF((H214&lt;=$B$441)*((H215&gt;=$C$441)+(H215&lt;2/24)),1,0),0)</f>
        <v>0</v>
      </c>
      <c r="AI217" s="6">
        <f>IF((I214&lt;&gt;"")*(I218=""),IF((I214&lt;=$B$441)*((I215&gt;=$C$441)+(I215&lt;2/24)),1,0),0)</f>
        <v>0</v>
      </c>
      <c r="AJ217" s="6">
        <f>IF((J214&lt;&gt;"")*(J218=""),IF((J214&lt;=$B$441)*((J215&gt;=$C$441)+(J215&lt;2/24)),1,0),0)</f>
        <v>0</v>
      </c>
    </row>
    <row r="218" spans="1:36" ht="13.5" hidden="1" thickBot="1" x14ac:dyDescent="0.25">
      <c r="A218" s="39"/>
      <c r="B218" s="40"/>
      <c r="C218" s="32" t="s">
        <v>4</v>
      </c>
      <c r="D218" s="33"/>
      <c r="E218" s="33"/>
      <c r="F218" s="33"/>
      <c r="G218" s="33"/>
      <c r="H218" s="33"/>
      <c r="I218" s="33"/>
      <c r="J218" s="33"/>
      <c r="K218" s="17"/>
      <c r="L218" s="6"/>
      <c r="M218" s="25"/>
      <c r="N218" s="6"/>
      <c r="O218" s="6"/>
      <c r="P218" s="6"/>
      <c r="Q218" s="6"/>
      <c r="R218" s="6"/>
      <c r="S218" s="6"/>
      <c r="T218" s="6"/>
      <c r="U218" s="6"/>
      <c r="V218" s="20"/>
      <c r="W218" s="20"/>
      <c r="X218" s="20"/>
      <c r="Y218" s="20"/>
      <c r="Z218" s="20"/>
      <c r="AA218" s="20"/>
      <c r="AB218" s="20"/>
      <c r="AD218" s="6">
        <f>IF((D214&lt;&gt;"")*(D218=""),IF((D214&lt;=$B$442)*((D215&gt;=$C$442)+(D215&lt;2/24)),1,0),0)</f>
        <v>0</v>
      </c>
      <c r="AE218" s="6">
        <f>IF((E214&lt;&gt;"")*(E218=""),IF((E214&lt;=$B$442)*((E215&gt;=$C$442)+(E215&lt;2/24)),1,0),0)</f>
        <v>0</v>
      </c>
      <c r="AF218" s="6">
        <f>IF((F214&lt;&gt;"")*(F218=""),IF((F214&lt;=$B$442)*((F215&gt;=$C$442)+(F215&lt;2/24)),1,0),0)</f>
        <v>0</v>
      </c>
      <c r="AG218" s="6">
        <f>IF((G214&lt;&gt;"")*(G218=""),IF((G214&lt;=$B$442)*((G215&gt;=$C$442)+(G215&lt;2/24)),1,0),0)</f>
        <v>0</v>
      </c>
      <c r="AH218" s="6">
        <f>IF((H214&lt;&gt;"")*(H218=""),IF((H214&lt;=$B$442)*((H215&gt;=$C$442)+(H215&lt;2/24)),1,0),0)</f>
        <v>0</v>
      </c>
      <c r="AI218" s="6">
        <f>IF((I214&lt;&gt;"")*(I218=""),IF((I214&lt;=$B$442)*((I215&gt;=$C$442)+(I215&lt;2/24)),1,0),0)</f>
        <v>0</v>
      </c>
      <c r="AJ218" s="6">
        <f>IF((J214&lt;&gt;"")*(J218=""),IF((J214&lt;=$B$442)*((J215&gt;=$C$442)+(J215&lt;2/24)),1,0),0)</f>
        <v>0</v>
      </c>
    </row>
    <row r="219" spans="1:36" ht="13.5" hidden="1" thickBot="1" x14ac:dyDescent="0.25">
      <c r="A219" s="41"/>
      <c r="B219" s="42"/>
      <c r="C219" s="35" t="s">
        <v>28</v>
      </c>
      <c r="D219" s="36"/>
      <c r="E219" s="36"/>
      <c r="F219" s="36"/>
      <c r="G219" s="36"/>
      <c r="H219" s="36"/>
      <c r="I219" s="36"/>
      <c r="J219" s="36"/>
      <c r="K219" s="34"/>
      <c r="L219" s="6"/>
      <c r="M219" s="25"/>
      <c r="N219" s="6"/>
      <c r="O219" s="6"/>
      <c r="P219" s="6"/>
      <c r="Q219" s="6"/>
      <c r="R219" s="6"/>
      <c r="S219" s="6"/>
      <c r="T219" s="6"/>
      <c r="U219" s="6"/>
      <c r="V219" s="20"/>
      <c r="W219" s="20"/>
      <c r="X219" s="20"/>
      <c r="Y219" s="20"/>
      <c r="Z219" s="20"/>
      <c r="AA219" s="20"/>
      <c r="AB219" s="20"/>
      <c r="AD219" s="6"/>
      <c r="AE219" s="6"/>
      <c r="AF219" s="6"/>
      <c r="AG219" s="6"/>
      <c r="AH219" s="6"/>
      <c r="AI219" s="6"/>
      <c r="AJ219" s="6"/>
    </row>
    <row r="220" spans="1:36" ht="13.5" hidden="1" thickBot="1" x14ac:dyDescent="0.25">
      <c r="A220" s="37" t="s">
        <v>29</v>
      </c>
      <c r="B220" s="38" t="s">
        <v>30</v>
      </c>
      <c r="C220" s="14" t="s">
        <v>0</v>
      </c>
      <c r="D220" s="26"/>
      <c r="E220" s="26"/>
      <c r="F220" s="26"/>
      <c r="G220" s="26"/>
      <c r="H220" s="26"/>
      <c r="I220" s="26"/>
      <c r="J220" s="26"/>
      <c r="K220" s="16"/>
      <c r="L220" s="6"/>
      <c r="M220" s="21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D220" s="6">
        <f>IF((D220&lt;&gt;"")*(D224=""),IF((D220&lt;=$B$438)*((D221&gt;=$C$438)+(D221&lt;2/24)),1,0),0)</f>
        <v>0</v>
      </c>
      <c r="AE220" s="6">
        <f>IF((E220&lt;&gt;"")*(E224=""),IF((E220&lt;=$B$438)*((E221&gt;=$C$438)+(E221&lt;2/24)),1,0),0)</f>
        <v>0</v>
      </c>
      <c r="AF220" s="6">
        <f>IF((F220&lt;&gt;"")*(F224=""),IF((F220&lt;=$B$438)*((F221&gt;=$C$438)+(F221&lt;2/24)),1,0),0)</f>
        <v>0</v>
      </c>
      <c r="AG220" s="6">
        <f>IF((G220&lt;&gt;"")*(G224=""),IF((G220&lt;=$B$438)*((G221&gt;=$C$438)+(G221&lt;2/24)),1,0),0)</f>
        <v>0</v>
      </c>
      <c r="AH220" s="6">
        <f>IF((H220&lt;&gt;"")*(H224=""),IF((H220&lt;=$B$438)*((H221&gt;=$C$438)+(H221&lt;2/24)),1,0),0)</f>
        <v>0</v>
      </c>
      <c r="AI220" s="6">
        <f>IF((I220&lt;&gt;"")*(I224=""),IF((I220&lt;=$B$438)*((I221&gt;=$C$438)+(I221&lt;2/24)),1,0),0)</f>
        <v>0</v>
      </c>
      <c r="AJ220" s="6">
        <f>IF((J220&lt;&gt;"")*(J224=""),IF((J220&lt;=$B$438)*((J221&gt;=$C$438)+(J221&lt;2/24)),1,0),0)</f>
        <v>0</v>
      </c>
    </row>
    <row r="221" spans="1:36" ht="13.5" hidden="1" thickBot="1" x14ac:dyDescent="0.25">
      <c r="A221" s="39"/>
      <c r="B221" s="40"/>
      <c r="C221" s="15" t="s">
        <v>1</v>
      </c>
      <c r="D221" s="27"/>
      <c r="E221" s="27"/>
      <c r="F221" s="27"/>
      <c r="G221" s="27"/>
      <c r="H221" s="27"/>
      <c r="I221" s="27"/>
      <c r="J221" s="27"/>
      <c r="K221" s="17"/>
      <c r="L221" s="6"/>
      <c r="M221" s="21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D221" s="6">
        <f>IF((D220&lt;&gt;"")*(D224=""),IF((D220&lt;=$B$439)*((D221&gt;=$C$439)+(D221&lt;2/24)),1,0),0)</f>
        <v>0</v>
      </c>
      <c r="AE221" s="6">
        <f>IF((E220&lt;&gt;"")*(E224=""),IF((E220&lt;=$B$439)*((E221&gt;=$C$439)+(E221&lt;2/24)),1,0),0)</f>
        <v>0</v>
      </c>
      <c r="AF221" s="6">
        <f>IF((F220&lt;&gt;"")*(F224=""),IF((F220&lt;=$B$439)*((F221&gt;=$C$439)+(F221&lt;2/24)),1,0),0)</f>
        <v>0</v>
      </c>
      <c r="AG221" s="6">
        <f>IF((G220&lt;&gt;"")*(G224=""),IF((G220&lt;=$B$439)*((G221&gt;=$C$439)+(G221&lt;2/24)),1,0),0)</f>
        <v>0</v>
      </c>
      <c r="AH221" s="6">
        <f>IF((H220&lt;&gt;"")*(H224=""),IF((H220&lt;=$B$439)*((H221&gt;=$C$439)+(H221&lt;2/24)),1,0),0)</f>
        <v>0</v>
      </c>
      <c r="AI221" s="6">
        <f>IF((I220&lt;&gt;"")*(I224=""),IF((I220&lt;=$B$439)*((I221&gt;=$C$439)+(I221&lt;2/24)),1,0),0)</f>
        <v>0</v>
      </c>
      <c r="AJ221" s="6">
        <f>IF((J220&lt;&gt;"")*(J224=""),IF((J220&lt;=$B$439)*((J221&gt;=$C$439)+(J221&lt;2/24)),1,0),0)</f>
        <v>0</v>
      </c>
    </row>
    <row r="222" spans="1:36" ht="13.5" hidden="1" thickBot="1" x14ac:dyDescent="0.25">
      <c r="A222" s="39"/>
      <c r="B222" s="40"/>
      <c r="C222" s="15" t="s">
        <v>2</v>
      </c>
      <c r="D222" s="4"/>
      <c r="E222" s="4"/>
      <c r="F222" s="4"/>
      <c r="G222" s="4"/>
      <c r="H222" s="4"/>
      <c r="I222" s="4"/>
      <c r="J222" s="4"/>
      <c r="K222" s="17"/>
      <c r="L222" s="6"/>
      <c r="M222" s="21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D222" s="6">
        <f>IF((D220&lt;&gt;"")*(D224=""),IF((D220&lt;=$B$440)*((D221&gt;=$C$440)+(D221&lt;2/24)),1,0),0)</f>
        <v>0</v>
      </c>
      <c r="AE222" s="6">
        <f>IF((E220&lt;&gt;"")*(E224=""),IF((E220&lt;=$B$440)*((E221&gt;=$C$440)+(E221&lt;2/24)),1,0),0)</f>
        <v>0</v>
      </c>
      <c r="AF222" s="6">
        <f>IF((F220&lt;&gt;"")*(F224=""),IF((F220&lt;=$B$440)*((F221&gt;=$C$440)+(F221&lt;2/24)),1,0),0)</f>
        <v>0</v>
      </c>
      <c r="AG222" s="6">
        <f>IF((G220&lt;&gt;"")*(G224=""),IF((G220&lt;=$B$440)*((G221&gt;=$C$440)+(G221&lt;2/24)),1,0),0)</f>
        <v>0</v>
      </c>
      <c r="AH222" s="6">
        <f>IF((H220&lt;&gt;"")*(H224=""),IF((H220&lt;=$B$440)*((H221&gt;=$C$440)+(H221&lt;2/24)),1,0),0)</f>
        <v>0</v>
      </c>
      <c r="AI222" s="6">
        <f>IF((I220&lt;&gt;"")*(I224=""),IF((I220&lt;=$B$440)*((I221&gt;=$C$440)+(I221&lt;2/24)),1,0),0)</f>
        <v>0</v>
      </c>
      <c r="AJ222" s="6">
        <f>IF((J220&lt;&gt;"")*(J224=""),IF((J220&lt;=$B$440)*((J221&gt;=$C$440)+(J221&lt;2/24)),1,0),0)</f>
        <v>0</v>
      </c>
    </row>
    <row r="223" spans="1:36" ht="13.5" hidden="1" thickBot="1" x14ac:dyDescent="0.25">
      <c r="A223" s="39"/>
      <c r="B223" s="40"/>
      <c r="C223" s="15" t="s">
        <v>3</v>
      </c>
      <c r="D223" s="43"/>
      <c r="E223" s="43"/>
      <c r="F223" s="43"/>
      <c r="G223" s="43"/>
      <c r="H223" s="43"/>
      <c r="I223" s="43"/>
      <c r="J223" s="44"/>
      <c r="K223" s="18">
        <f>SUMIF(D224:J224,"",D223:J223)</f>
        <v>0</v>
      </c>
      <c r="L223" s="12">
        <f>SUM(D223:J223)</f>
        <v>0</v>
      </c>
      <c r="M223" s="24"/>
      <c r="N223" s="10">
        <f t="shared" ref="N223:T223" si="72">IF(D224="",D223,0)</f>
        <v>0</v>
      </c>
      <c r="O223" s="10">
        <f t="shared" si="72"/>
        <v>0</v>
      </c>
      <c r="P223" s="10">
        <f t="shared" si="72"/>
        <v>0</v>
      </c>
      <c r="Q223" s="10">
        <f t="shared" si="72"/>
        <v>0</v>
      </c>
      <c r="R223" s="10">
        <f t="shared" si="72"/>
        <v>0</v>
      </c>
      <c r="S223" s="10">
        <f t="shared" si="72"/>
        <v>0</v>
      </c>
      <c r="T223" s="10">
        <f t="shared" si="72"/>
        <v>0</v>
      </c>
      <c r="U223" s="10"/>
      <c r="V223" s="10">
        <f t="shared" ref="V223:AB223" si="73">D223</f>
        <v>0</v>
      </c>
      <c r="W223" s="10">
        <f t="shared" si="73"/>
        <v>0</v>
      </c>
      <c r="X223" s="10">
        <f t="shared" si="73"/>
        <v>0</v>
      </c>
      <c r="Y223" s="10">
        <f t="shared" si="73"/>
        <v>0</v>
      </c>
      <c r="Z223" s="10">
        <f t="shared" si="73"/>
        <v>0</v>
      </c>
      <c r="AA223" s="10">
        <f t="shared" si="73"/>
        <v>0</v>
      </c>
      <c r="AB223" s="10">
        <f t="shared" si="73"/>
        <v>0</v>
      </c>
      <c r="AD223" s="6">
        <f>IF((D220&lt;&gt;"")*(D224=""),IF((D220&lt;=$B$441)*((D221&gt;=$C$441)+(D221&lt;2/24)),1,0),0)</f>
        <v>0</v>
      </c>
      <c r="AE223" s="6">
        <f>IF((E220&lt;&gt;"")*(E224=""),IF((E220&lt;=$B$441)*((E221&gt;=$C$441)+(E221&lt;2/24)),1,0),0)</f>
        <v>0</v>
      </c>
      <c r="AF223" s="6">
        <f>IF((F220&lt;&gt;"")*(F224=""),IF((F220&lt;=$B$441)*((F221&gt;=$C$441)+(F221&lt;2/24)),1,0),0)</f>
        <v>0</v>
      </c>
      <c r="AG223" s="6">
        <f>IF((G220&lt;&gt;"")*(G224=""),IF((G220&lt;=$B$441)*((G221&gt;=$C$441)+(G221&lt;2/24)),1,0),0)</f>
        <v>0</v>
      </c>
      <c r="AH223" s="6">
        <f>IF((H220&lt;&gt;"")*(H224=""),IF((H220&lt;=$B$441)*((H221&gt;=$C$441)+(H221&lt;2/24)),1,0),0)</f>
        <v>0</v>
      </c>
      <c r="AI223" s="6">
        <f>IF((I220&lt;&gt;"")*(I224=""),IF((I220&lt;=$B$441)*((I221&gt;=$C$441)+(I221&lt;2/24)),1,0),0)</f>
        <v>0</v>
      </c>
      <c r="AJ223" s="6">
        <f>IF((J220&lt;&gt;"")*(J224=""),IF((J220&lt;=$B$441)*((J221&gt;=$C$441)+(J221&lt;2/24)),1,0),0)</f>
        <v>0</v>
      </c>
    </row>
    <row r="224" spans="1:36" ht="13.5" hidden="1" thickBot="1" x14ac:dyDescent="0.25">
      <c r="A224" s="39"/>
      <c r="B224" s="40"/>
      <c r="C224" s="32" t="s">
        <v>4</v>
      </c>
      <c r="D224" s="33"/>
      <c r="E224" s="33"/>
      <c r="F224" s="33"/>
      <c r="G224" s="33"/>
      <c r="H224" s="33"/>
      <c r="I224" s="33"/>
      <c r="J224" s="33"/>
      <c r="K224" s="17"/>
      <c r="L224" s="6"/>
      <c r="M224" s="25"/>
      <c r="N224" s="6"/>
      <c r="O224" s="6"/>
      <c r="P224" s="6"/>
      <c r="Q224" s="6"/>
      <c r="R224" s="6"/>
      <c r="S224" s="6"/>
      <c r="T224" s="6"/>
      <c r="U224" s="6"/>
      <c r="V224" s="20"/>
      <c r="W224" s="20"/>
      <c r="X224" s="20"/>
      <c r="Y224" s="20"/>
      <c r="Z224" s="20"/>
      <c r="AA224" s="20"/>
      <c r="AB224" s="20"/>
      <c r="AD224" s="6">
        <f>IF((D220&lt;&gt;"")*(D224=""),IF((D220&lt;=$B$442)*((D221&gt;=$C$442)+(D221&lt;2/24)),1,0),0)</f>
        <v>0</v>
      </c>
      <c r="AE224" s="6">
        <f>IF((E220&lt;&gt;"")*(E224=""),IF((E220&lt;=$B$442)*((E221&gt;=$C$442)+(E221&lt;2/24)),1,0),0)</f>
        <v>0</v>
      </c>
      <c r="AF224" s="6">
        <f>IF((F220&lt;&gt;"")*(F224=""),IF((F220&lt;=$B$442)*((F221&gt;=$C$442)+(F221&lt;2/24)),1,0),0)</f>
        <v>0</v>
      </c>
      <c r="AG224" s="6">
        <f>IF((G220&lt;&gt;"")*(G224=""),IF((G220&lt;=$B$442)*((G221&gt;=$C$442)+(G221&lt;2/24)),1,0),0)</f>
        <v>0</v>
      </c>
      <c r="AH224" s="6">
        <f>IF((H220&lt;&gt;"")*(H224=""),IF((H220&lt;=$B$442)*((H221&gt;=$C$442)+(H221&lt;2/24)),1,0),0)</f>
        <v>0</v>
      </c>
      <c r="AI224" s="6">
        <f>IF((I220&lt;&gt;"")*(I224=""),IF((I220&lt;=$B$442)*((I221&gt;=$C$442)+(I221&lt;2/24)),1,0),0)</f>
        <v>0</v>
      </c>
      <c r="AJ224" s="6">
        <f>IF((J220&lt;&gt;"")*(J224=""),IF((J220&lt;=$B$442)*((J221&gt;=$C$442)+(J221&lt;2/24)),1,0),0)</f>
        <v>0</v>
      </c>
    </row>
    <row r="225" spans="1:36" ht="13.5" hidden="1" thickBot="1" x14ac:dyDescent="0.25">
      <c r="A225" s="41"/>
      <c r="B225" s="42"/>
      <c r="C225" s="35" t="s">
        <v>28</v>
      </c>
      <c r="D225" s="36"/>
      <c r="E225" s="36"/>
      <c r="F225" s="36"/>
      <c r="G225" s="36"/>
      <c r="H225" s="36"/>
      <c r="I225" s="36"/>
      <c r="J225" s="36"/>
      <c r="K225" s="34"/>
      <c r="L225" s="6"/>
      <c r="M225" s="25"/>
      <c r="N225" s="6"/>
      <c r="O225" s="6"/>
      <c r="P225" s="6"/>
      <c r="Q225" s="6"/>
      <c r="R225" s="6"/>
      <c r="S225" s="6"/>
      <c r="T225" s="6"/>
      <c r="U225" s="6"/>
      <c r="V225" s="20"/>
      <c r="W225" s="20"/>
      <c r="X225" s="20"/>
      <c r="Y225" s="20"/>
      <c r="Z225" s="20"/>
      <c r="AA225" s="20"/>
      <c r="AB225" s="20"/>
      <c r="AD225" s="6"/>
      <c r="AE225" s="6"/>
      <c r="AF225" s="6"/>
      <c r="AG225" s="6"/>
      <c r="AH225" s="6"/>
      <c r="AI225" s="6"/>
      <c r="AJ225" s="6"/>
    </row>
    <row r="226" spans="1:36" ht="13.5" hidden="1" thickBot="1" x14ac:dyDescent="0.25">
      <c r="A226" s="37" t="s">
        <v>29</v>
      </c>
      <c r="B226" s="38" t="s">
        <v>30</v>
      </c>
      <c r="C226" s="14" t="s">
        <v>0</v>
      </c>
      <c r="D226" s="26"/>
      <c r="E226" s="26"/>
      <c r="F226" s="26"/>
      <c r="G226" s="26"/>
      <c r="H226" s="26"/>
      <c r="I226" s="26"/>
      <c r="J226" s="26"/>
      <c r="K226" s="16"/>
      <c r="L226" s="6"/>
      <c r="M226" s="21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D226" s="6">
        <f>IF((D226&lt;&gt;"")*(D230=""),IF((D226&lt;=$B$438)*((D227&gt;=$C$438)+(D227&lt;2/24)),1,0),0)</f>
        <v>0</v>
      </c>
      <c r="AE226" s="6">
        <f>IF((E226&lt;&gt;"")*(E230=""),IF((E226&lt;=$B$438)*((E227&gt;=$C$438)+(E227&lt;2/24)),1,0),0)</f>
        <v>0</v>
      </c>
      <c r="AF226" s="6">
        <f>IF((F226&lt;&gt;"")*(F230=""),IF((F226&lt;=$B$438)*((F227&gt;=$C$438)+(F227&lt;2/24)),1,0),0)</f>
        <v>0</v>
      </c>
      <c r="AG226" s="6">
        <f>IF((G226&lt;&gt;"")*(G230=""),IF((G226&lt;=$B$438)*((G227&gt;=$C$438)+(G227&lt;2/24)),1,0),0)</f>
        <v>0</v>
      </c>
      <c r="AH226" s="6">
        <f>IF((H226&lt;&gt;"")*(H230=""),IF((H226&lt;=$B$438)*((H227&gt;=$C$438)+(H227&lt;2/24)),1,0),0)</f>
        <v>0</v>
      </c>
      <c r="AI226" s="6">
        <f>IF((I226&lt;&gt;"")*(I230=""),IF((I226&lt;=$B$438)*((I227&gt;=$C$438)+(I227&lt;2/24)),1,0),0)</f>
        <v>0</v>
      </c>
      <c r="AJ226" s="6">
        <f>IF((J226&lt;&gt;"")*(J230=""),IF((J226&lt;=$B$438)*((J227&gt;=$C$438)+(J227&lt;2/24)),1,0),0)</f>
        <v>0</v>
      </c>
    </row>
    <row r="227" spans="1:36" ht="13.5" hidden="1" thickBot="1" x14ac:dyDescent="0.25">
      <c r="A227" s="39"/>
      <c r="B227" s="40"/>
      <c r="C227" s="15" t="s">
        <v>1</v>
      </c>
      <c r="D227" s="27"/>
      <c r="E227" s="27"/>
      <c r="F227" s="27"/>
      <c r="G227" s="27"/>
      <c r="H227" s="27"/>
      <c r="I227" s="27"/>
      <c r="J227" s="27"/>
      <c r="K227" s="17"/>
      <c r="L227" s="6"/>
      <c r="M227" s="21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D227" s="6">
        <f>IF((D226&lt;&gt;"")*(D230=""),IF((D226&lt;=$B$439)*((D227&gt;=$C$439)+(D227&lt;2/24)),1,0),0)</f>
        <v>0</v>
      </c>
      <c r="AE227" s="6">
        <f>IF((E226&lt;&gt;"")*(E230=""),IF((E226&lt;=$B$439)*((E227&gt;=$C$439)+(E227&lt;2/24)),1,0),0)</f>
        <v>0</v>
      </c>
      <c r="AF227" s="6">
        <f>IF((F226&lt;&gt;"")*(F230=""),IF((F226&lt;=$B$439)*((F227&gt;=$C$439)+(F227&lt;2/24)),1,0),0)</f>
        <v>0</v>
      </c>
      <c r="AG227" s="6">
        <f>IF((G226&lt;&gt;"")*(G230=""),IF((G226&lt;=$B$439)*((G227&gt;=$C$439)+(G227&lt;2/24)),1,0),0)</f>
        <v>0</v>
      </c>
      <c r="AH227" s="6">
        <f>IF((H226&lt;&gt;"")*(H230=""),IF((H226&lt;=$B$439)*((H227&gt;=$C$439)+(H227&lt;2/24)),1,0),0)</f>
        <v>0</v>
      </c>
      <c r="AI227" s="6">
        <f>IF((I226&lt;&gt;"")*(I230=""),IF((I226&lt;=$B$439)*((I227&gt;=$C$439)+(I227&lt;2/24)),1,0),0)</f>
        <v>0</v>
      </c>
      <c r="AJ227" s="6">
        <f>IF((J226&lt;&gt;"")*(J230=""),IF((J226&lt;=$B$439)*((J227&gt;=$C$439)+(J227&lt;2/24)),1,0),0)</f>
        <v>0</v>
      </c>
    </row>
    <row r="228" spans="1:36" ht="13.5" hidden="1" thickBot="1" x14ac:dyDescent="0.25">
      <c r="A228" s="39"/>
      <c r="B228" s="40"/>
      <c r="C228" s="15" t="s">
        <v>2</v>
      </c>
      <c r="D228" s="4"/>
      <c r="E228" s="4"/>
      <c r="F228" s="4"/>
      <c r="G228" s="4"/>
      <c r="H228" s="4"/>
      <c r="I228" s="4"/>
      <c r="J228" s="4"/>
      <c r="K228" s="17"/>
      <c r="L228" s="6"/>
      <c r="M228" s="21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D228" s="6">
        <f>IF((D226&lt;&gt;"")*(D230=""),IF((D226&lt;=$B$440)*((D227&gt;=$C$440)+(D227&lt;2/24)),1,0),0)</f>
        <v>0</v>
      </c>
      <c r="AE228" s="6">
        <f>IF((E226&lt;&gt;"")*(E230=""),IF((E226&lt;=$B$440)*((E227&gt;=$C$440)+(E227&lt;2/24)),1,0),0)</f>
        <v>0</v>
      </c>
      <c r="AF228" s="6">
        <f>IF((F226&lt;&gt;"")*(F230=""),IF((F226&lt;=$B$440)*((F227&gt;=$C$440)+(F227&lt;2/24)),1,0),0)</f>
        <v>0</v>
      </c>
      <c r="AG228" s="6">
        <f>IF((G226&lt;&gt;"")*(G230=""),IF((G226&lt;=$B$440)*((G227&gt;=$C$440)+(G227&lt;2/24)),1,0),0)</f>
        <v>0</v>
      </c>
      <c r="AH228" s="6">
        <f>IF((H226&lt;&gt;"")*(H230=""),IF((H226&lt;=$B$440)*((H227&gt;=$C$440)+(H227&lt;2/24)),1,0),0)</f>
        <v>0</v>
      </c>
      <c r="AI228" s="6">
        <f>IF((I226&lt;&gt;"")*(I230=""),IF((I226&lt;=$B$440)*((I227&gt;=$C$440)+(I227&lt;2/24)),1,0),0)</f>
        <v>0</v>
      </c>
      <c r="AJ228" s="6">
        <f>IF((J226&lt;&gt;"")*(J230=""),IF((J226&lt;=$B$440)*((J227&gt;=$C$440)+(J227&lt;2/24)),1,0),0)</f>
        <v>0</v>
      </c>
    </row>
    <row r="229" spans="1:36" ht="13.5" hidden="1" thickBot="1" x14ac:dyDescent="0.25">
      <c r="A229" s="39"/>
      <c r="B229" s="40"/>
      <c r="C229" s="15" t="s">
        <v>3</v>
      </c>
      <c r="D229" s="43"/>
      <c r="E229" s="43"/>
      <c r="F229" s="43"/>
      <c r="G229" s="43"/>
      <c r="H229" s="43"/>
      <c r="I229" s="43"/>
      <c r="J229" s="44"/>
      <c r="K229" s="18">
        <f>SUMIF(D230:J230,"",D229:J229)</f>
        <v>0</v>
      </c>
      <c r="L229" s="12">
        <f>SUM(D229:J229)</f>
        <v>0</v>
      </c>
      <c r="M229" s="24"/>
      <c r="N229" s="10">
        <f t="shared" ref="N229:T229" si="74">IF(D230="",D229,0)</f>
        <v>0</v>
      </c>
      <c r="O229" s="10">
        <f t="shared" si="74"/>
        <v>0</v>
      </c>
      <c r="P229" s="10">
        <f t="shared" si="74"/>
        <v>0</v>
      </c>
      <c r="Q229" s="10">
        <f t="shared" si="74"/>
        <v>0</v>
      </c>
      <c r="R229" s="10">
        <f t="shared" si="74"/>
        <v>0</v>
      </c>
      <c r="S229" s="10">
        <f t="shared" si="74"/>
        <v>0</v>
      </c>
      <c r="T229" s="10">
        <f t="shared" si="74"/>
        <v>0</v>
      </c>
      <c r="U229" s="10"/>
      <c r="V229" s="10">
        <f t="shared" ref="V229:AB229" si="75">D229</f>
        <v>0</v>
      </c>
      <c r="W229" s="10">
        <f t="shared" si="75"/>
        <v>0</v>
      </c>
      <c r="X229" s="10">
        <f t="shared" si="75"/>
        <v>0</v>
      </c>
      <c r="Y229" s="10">
        <f t="shared" si="75"/>
        <v>0</v>
      </c>
      <c r="Z229" s="10">
        <f t="shared" si="75"/>
        <v>0</v>
      </c>
      <c r="AA229" s="10">
        <f t="shared" si="75"/>
        <v>0</v>
      </c>
      <c r="AB229" s="10">
        <f t="shared" si="75"/>
        <v>0</v>
      </c>
      <c r="AD229" s="6">
        <f>IF((D226&lt;&gt;"")*(D230=""),IF((D226&lt;=$B$441)*((D227&gt;=$C$441)+(D227&lt;2/24)),1,0),0)</f>
        <v>0</v>
      </c>
      <c r="AE229" s="6">
        <f>IF((E226&lt;&gt;"")*(E230=""),IF((E226&lt;=$B$441)*((E227&gt;=$C$441)+(E227&lt;2/24)),1,0),0)</f>
        <v>0</v>
      </c>
      <c r="AF229" s="6">
        <f>IF((F226&lt;&gt;"")*(F230=""),IF((F226&lt;=$B$441)*((F227&gt;=$C$441)+(F227&lt;2/24)),1,0),0)</f>
        <v>0</v>
      </c>
      <c r="AG229" s="6">
        <f>IF((G226&lt;&gt;"")*(G230=""),IF((G226&lt;=$B$441)*((G227&gt;=$C$441)+(G227&lt;2/24)),1,0),0)</f>
        <v>0</v>
      </c>
      <c r="AH229" s="6">
        <f>IF((H226&lt;&gt;"")*(H230=""),IF((H226&lt;=$B$441)*((H227&gt;=$C$441)+(H227&lt;2/24)),1,0),0)</f>
        <v>0</v>
      </c>
      <c r="AI229" s="6">
        <f>IF((I226&lt;&gt;"")*(I230=""),IF((I226&lt;=$B$441)*((I227&gt;=$C$441)+(I227&lt;2/24)),1,0),0)</f>
        <v>0</v>
      </c>
      <c r="AJ229" s="6">
        <f>IF((J226&lt;&gt;"")*(J230=""),IF((J226&lt;=$B$441)*((J227&gt;=$C$441)+(J227&lt;2/24)),1,0),0)</f>
        <v>0</v>
      </c>
    </row>
    <row r="230" spans="1:36" ht="13.5" hidden="1" thickBot="1" x14ac:dyDescent="0.25">
      <c r="A230" s="39"/>
      <c r="B230" s="40"/>
      <c r="C230" s="32" t="s">
        <v>4</v>
      </c>
      <c r="D230" s="33"/>
      <c r="E230" s="33"/>
      <c r="F230" s="33"/>
      <c r="G230" s="33"/>
      <c r="H230" s="33"/>
      <c r="I230" s="33"/>
      <c r="J230" s="33"/>
      <c r="K230" s="17"/>
      <c r="L230" s="6"/>
      <c r="M230" s="25"/>
      <c r="N230" s="6"/>
      <c r="O230" s="6"/>
      <c r="P230" s="6"/>
      <c r="Q230" s="6"/>
      <c r="R230" s="6"/>
      <c r="S230" s="6"/>
      <c r="T230" s="6"/>
      <c r="U230" s="6"/>
      <c r="V230" s="20"/>
      <c r="W230" s="20"/>
      <c r="X230" s="20"/>
      <c r="Y230" s="20"/>
      <c r="Z230" s="20"/>
      <c r="AA230" s="20"/>
      <c r="AB230" s="20"/>
      <c r="AD230" s="6">
        <f>IF((D226&lt;&gt;"")*(D230=""),IF((D226&lt;=$B$442)*((D227&gt;=$C$442)+(D227&lt;2/24)),1,0),0)</f>
        <v>0</v>
      </c>
      <c r="AE230" s="6">
        <f>IF((E226&lt;&gt;"")*(E230=""),IF((E226&lt;=$B$442)*((E227&gt;=$C$442)+(E227&lt;2/24)),1,0),0)</f>
        <v>0</v>
      </c>
      <c r="AF230" s="6">
        <f>IF((F226&lt;&gt;"")*(F230=""),IF((F226&lt;=$B$442)*((F227&gt;=$C$442)+(F227&lt;2/24)),1,0),0)</f>
        <v>0</v>
      </c>
      <c r="AG230" s="6">
        <f>IF((G226&lt;&gt;"")*(G230=""),IF((G226&lt;=$B$442)*((G227&gt;=$C$442)+(G227&lt;2/24)),1,0),0)</f>
        <v>0</v>
      </c>
      <c r="AH230" s="6">
        <f>IF((H226&lt;&gt;"")*(H230=""),IF((H226&lt;=$B$442)*((H227&gt;=$C$442)+(H227&lt;2/24)),1,0),0)</f>
        <v>0</v>
      </c>
      <c r="AI230" s="6">
        <f>IF((I226&lt;&gt;"")*(I230=""),IF((I226&lt;=$B$442)*((I227&gt;=$C$442)+(I227&lt;2/24)),1,0),0)</f>
        <v>0</v>
      </c>
      <c r="AJ230" s="6">
        <f>IF((J226&lt;&gt;"")*(J230=""),IF((J226&lt;=$B$442)*((J227&gt;=$C$442)+(J227&lt;2/24)),1,0),0)</f>
        <v>0</v>
      </c>
    </row>
    <row r="231" spans="1:36" ht="13.5" hidden="1" thickBot="1" x14ac:dyDescent="0.25">
      <c r="A231" s="41"/>
      <c r="B231" s="42"/>
      <c r="C231" s="35" t="s">
        <v>28</v>
      </c>
      <c r="D231" s="36"/>
      <c r="E231" s="36"/>
      <c r="F231" s="36"/>
      <c r="G231" s="36"/>
      <c r="H231" s="36"/>
      <c r="I231" s="36"/>
      <c r="J231" s="36"/>
      <c r="K231" s="34"/>
      <c r="L231" s="6"/>
      <c r="M231" s="25"/>
      <c r="N231" s="6"/>
      <c r="O231" s="6"/>
      <c r="P231" s="6"/>
      <c r="Q231" s="6"/>
      <c r="R231" s="6"/>
      <c r="S231" s="6"/>
      <c r="T231" s="6"/>
      <c r="U231" s="6"/>
      <c r="V231" s="20"/>
      <c r="W231" s="20"/>
      <c r="X231" s="20"/>
      <c r="Y231" s="20"/>
      <c r="Z231" s="20"/>
      <c r="AA231" s="20"/>
      <c r="AB231" s="20"/>
      <c r="AD231" s="6"/>
      <c r="AE231" s="6"/>
      <c r="AF231" s="6"/>
      <c r="AG231" s="6"/>
      <c r="AH231" s="6"/>
      <c r="AI231" s="6"/>
      <c r="AJ231" s="6"/>
    </row>
    <row r="232" spans="1:36" ht="13.5" hidden="1" thickBot="1" x14ac:dyDescent="0.25">
      <c r="A232" s="37" t="s">
        <v>29</v>
      </c>
      <c r="B232" s="38" t="s">
        <v>30</v>
      </c>
      <c r="C232" s="14" t="s">
        <v>0</v>
      </c>
      <c r="D232" s="26"/>
      <c r="E232" s="26"/>
      <c r="F232" s="26"/>
      <c r="G232" s="26"/>
      <c r="H232" s="26"/>
      <c r="I232" s="26"/>
      <c r="J232" s="26"/>
      <c r="K232" s="16"/>
      <c r="L232" s="6"/>
      <c r="M232" s="21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D232" s="6">
        <f>IF((D232&lt;&gt;"")*(D236=""),IF((D232&lt;=$B$438)*((D233&gt;=$C$438)+(D233&lt;2/24)),1,0),0)</f>
        <v>0</v>
      </c>
      <c r="AE232" s="6">
        <f>IF((E232&lt;&gt;"")*(E236=""),IF((E232&lt;=$B$438)*((E233&gt;=$C$438)+(E233&lt;2/24)),1,0),0)</f>
        <v>0</v>
      </c>
      <c r="AF232" s="6">
        <f>IF((F232&lt;&gt;"")*(F236=""),IF((F232&lt;=$B$438)*((F233&gt;=$C$438)+(F233&lt;2/24)),1,0),0)</f>
        <v>0</v>
      </c>
      <c r="AG232" s="6">
        <f>IF((G232&lt;&gt;"")*(G236=""),IF((G232&lt;=$B$438)*((G233&gt;=$C$438)+(G233&lt;2/24)),1,0),0)</f>
        <v>0</v>
      </c>
      <c r="AH232" s="6">
        <f>IF((H232&lt;&gt;"")*(H236=""),IF((H232&lt;=$B$438)*((H233&gt;=$C$438)+(H233&lt;2/24)),1,0),0)</f>
        <v>0</v>
      </c>
      <c r="AI232" s="6">
        <f>IF((I232&lt;&gt;"")*(I236=""),IF((I232&lt;=$B$438)*((I233&gt;=$C$438)+(I233&lt;2/24)),1,0),0)</f>
        <v>0</v>
      </c>
      <c r="AJ232" s="6">
        <f>IF((J232&lt;&gt;"")*(J236=""),IF((J232&lt;=$B$438)*((J233&gt;=$C$438)+(J233&lt;2/24)),1,0),0)</f>
        <v>0</v>
      </c>
    </row>
    <row r="233" spans="1:36" ht="13.5" hidden="1" thickBot="1" x14ac:dyDescent="0.25">
      <c r="A233" s="39"/>
      <c r="B233" s="40"/>
      <c r="C233" s="15" t="s">
        <v>1</v>
      </c>
      <c r="D233" s="27"/>
      <c r="E233" s="27"/>
      <c r="F233" s="27"/>
      <c r="G233" s="27"/>
      <c r="H233" s="27"/>
      <c r="I233" s="27"/>
      <c r="J233" s="27"/>
      <c r="K233" s="17"/>
      <c r="L233" s="6"/>
      <c r="M233" s="21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D233" s="6">
        <f>IF((D232&lt;&gt;"")*(D236=""),IF((D232&lt;=$B$439)*((D233&gt;=$C$439)+(D233&lt;2/24)),1,0),0)</f>
        <v>0</v>
      </c>
      <c r="AE233" s="6">
        <f>IF((E232&lt;&gt;"")*(E236=""),IF((E232&lt;=$B$439)*((E233&gt;=$C$439)+(E233&lt;2/24)),1,0),0)</f>
        <v>0</v>
      </c>
      <c r="AF233" s="6">
        <f>IF((F232&lt;&gt;"")*(F236=""),IF((F232&lt;=$B$439)*((F233&gt;=$C$439)+(F233&lt;2/24)),1,0),0)</f>
        <v>0</v>
      </c>
      <c r="AG233" s="6">
        <f>IF((G232&lt;&gt;"")*(G236=""),IF((G232&lt;=$B$439)*((G233&gt;=$C$439)+(G233&lt;2/24)),1,0),0)</f>
        <v>0</v>
      </c>
      <c r="AH233" s="6">
        <f>IF((H232&lt;&gt;"")*(H236=""),IF((H232&lt;=$B$439)*((H233&gt;=$C$439)+(H233&lt;2/24)),1,0),0)</f>
        <v>0</v>
      </c>
      <c r="AI233" s="6">
        <f>IF((I232&lt;&gt;"")*(I236=""),IF((I232&lt;=$B$439)*((I233&gt;=$C$439)+(I233&lt;2/24)),1,0),0)</f>
        <v>0</v>
      </c>
      <c r="AJ233" s="6">
        <f>IF((J232&lt;&gt;"")*(J236=""),IF((J232&lt;=$B$439)*((J233&gt;=$C$439)+(J233&lt;2/24)),1,0),0)</f>
        <v>0</v>
      </c>
    </row>
    <row r="234" spans="1:36" ht="13.5" hidden="1" thickBot="1" x14ac:dyDescent="0.25">
      <c r="A234" s="39"/>
      <c r="B234" s="40"/>
      <c r="C234" s="15" t="s">
        <v>2</v>
      </c>
      <c r="D234" s="4"/>
      <c r="E234" s="4"/>
      <c r="F234" s="4"/>
      <c r="G234" s="4"/>
      <c r="H234" s="4"/>
      <c r="I234" s="4"/>
      <c r="J234" s="4"/>
      <c r="K234" s="17"/>
      <c r="L234" s="6"/>
      <c r="M234" s="21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D234" s="6">
        <f>IF((D232&lt;&gt;"")*(D236=""),IF((D232&lt;=$B$440)*((D233&gt;=$C$440)+(D233&lt;2/24)),1,0),0)</f>
        <v>0</v>
      </c>
      <c r="AE234" s="6">
        <f>IF((E232&lt;&gt;"")*(E236=""),IF((E232&lt;=$B$440)*((E233&gt;=$C$440)+(E233&lt;2/24)),1,0),0)</f>
        <v>0</v>
      </c>
      <c r="AF234" s="6">
        <f>IF((F232&lt;&gt;"")*(F236=""),IF((F232&lt;=$B$440)*((F233&gt;=$C$440)+(F233&lt;2/24)),1,0),0)</f>
        <v>0</v>
      </c>
      <c r="AG234" s="6">
        <f>IF((G232&lt;&gt;"")*(G236=""),IF((G232&lt;=$B$440)*((G233&gt;=$C$440)+(G233&lt;2/24)),1,0),0)</f>
        <v>0</v>
      </c>
      <c r="AH234" s="6">
        <f>IF((H232&lt;&gt;"")*(H236=""),IF((H232&lt;=$B$440)*((H233&gt;=$C$440)+(H233&lt;2/24)),1,0),0)</f>
        <v>0</v>
      </c>
      <c r="AI234" s="6">
        <f>IF((I232&lt;&gt;"")*(I236=""),IF((I232&lt;=$B$440)*((I233&gt;=$C$440)+(I233&lt;2/24)),1,0),0)</f>
        <v>0</v>
      </c>
      <c r="AJ234" s="6">
        <f>IF((J232&lt;&gt;"")*(J236=""),IF((J232&lt;=$B$440)*((J233&gt;=$C$440)+(J233&lt;2/24)),1,0),0)</f>
        <v>0</v>
      </c>
    </row>
    <row r="235" spans="1:36" ht="13.5" hidden="1" thickBot="1" x14ac:dyDescent="0.25">
      <c r="A235" s="39"/>
      <c r="B235" s="40"/>
      <c r="C235" s="15" t="s">
        <v>3</v>
      </c>
      <c r="D235" s="43"/>
      <c r="E235" s="43"/>
      <c r="F235" s="43"/>
      <c r="G235" s="43"/>
      <c r="H235" s="43"/>
      <c r="I235" s="43"/>
      <c r="J235" s="44"/>
      <c r="K235" s="18">
        <f>SUMIF(D236:J236,"",D235:J235)</f>
        <v>0</v>
      </c>
      <c r="L235" s="12">
        <f>SUM(D235:J235)</f>
        <v>0</v>
      </c>
      <c r="M235" s="24"/>
      <c r="N235" s="10">
        <f t="shared" ref="N235:T235" si="76">IF(D236="",D235,0)</f>
        <v>0</v>
      </c>
      <c r="O235" s="10">
        <f t="shared" si="76"/>
        <v>0</v>
      </c>
      <c r="P235" s="10">
        <f t="shared" si="76"/>
        <v>0</v>
      </c>
      <c r="Q235" s="10">
        <f t="shared" si="76"/>
        <v>0</v>
      </c>
      <c r="R235" s="10">
        <f t="shared" si="76"/>
        <v>0</v>
      </c>
      <c r="S235" s="10">
        <f t="shared" si="76"/>
        <v>0</v>
      </c>
      <c r="T235" s="10">
        <f t="shared" si="76"/>
        <v>0</v>
      </c>
      <c r="U235" s="10"/>
      <c r="V235" s="10">
        <f t="shared" ref="V235:AB235" si="77">D235</f>
        <v>0</v>
      </c>
      <c r="W235" s="10">
        <f t="shared" si="77"/>
        <v>0</v>
      </c>
      <c r="X235" s="10">
        <f t="shared" si="77"/>
        <v>0</v>
      </c>
      <c r="Y235" s="10">
        <f t="shared" si="77"/>
        <v>0</v>
      </c>
      <c r="Z235" s="10">
        <f t="shared" si="77"/>
        <v>0</v>
      </c>
      <c r="AA235" s="10">
        <f t="shared" si="77"/>
        <v>0</v>
      </c>
      <c r="AB235" s="10">
        <f t="shared" si="77"/>
        <v>0</v>
      </c>
      <c r="AD235" s="6">
        <f>IF((D232&lt;&gt;"")*(D236=""),IF((D232&lt;=$B$441)*((D233&gt;=$C$441)+(D233&lt;2/24)),1,0),0)</f>
        <v>0</v>
      </c>
      <c r="AE235" s="6">
        <f>IF((E232&lt;&gt;"")*(E236=""),IF((E232&lt;=$B$441)*((E233&gt;=$C$441)+(E233&lt;2/24)),1,0),0)</f>
        <v>0</v>
      </c>
      <c r="AF235" s="6">
        <f>IF((F232&lt;&gt;"")*(F236=""),IF((F232&lt;=$B$441)*((F233&gt;=$C$441)+(F233&lt;2/24)),1,0),0)</f>
        <v>0</v>
      </c>
      <c r="AG235" s="6">
        <f>IF((G232&lt;&gt;"")*(G236=""),IF((G232&lt;=$B$441)*((G233&gt;=$C$441)+(G233&lt;2/24)),1,0),0)</f>
        <v>0</v>
      </c>
      <c r="AH235" s="6">
        <f>IF((H232&lt;&gt;"")*(H236=""),IF((H232&lt;=$B$441)*((H233&gt;=$C$441)+(H233&lt;2/24)),1,0),0)</f>
        <v>0</v>
      </c>
      <c r="AI235" s="6">
        <f>IF((I232&lt;&gt;"")*(I236=""),IF((I232&lt;=$B$441)*((I233&gt;=$C$441)+(I233&lt;2/24)),1,0),0)</f>
        <v>0</v>
      </c>
      <c r="AJ235" s="6">
        <f>IF((J232&lt;&gt;"")*(J236=""),IF((J232&lt;=$B$441)*((J233&gt;=$C$441)+(J233&lt;2/24)),1,0),0)</f>
        <v>0</v>
      </c>
    </row>
    <row r="236" spans="1:36" ht="13.5" hidden="1" thickBot="1" x14ac:dyDescent="0.25">
      <c r="A236" s="39"/>
      <c r="B236" s="40"/>
      <c r="C236" s="32" t="s">
        <v>4</v>
      </c>
      <c r="D236" s="33"/>
      <c r="E236" s="33"/>
      <c r="F236" s="33"/>
      <c r="G236" s="33"/>
      <c r="H236" s="33"/>
      <c r="I236" s="33"/>
      <c r="J236" s="33"/>
      <c r="K236" s="17"/>
      <c r="L236" s="6"/>
      <c r="M236" s="25"/>
      <c r="N236" s="6"/>
      <c r="O236" s="6"/>
      <c r="P236" s="6"/>
      <c r="Q236" s="6"/>
      <c r="R236" s="6"/>
      <c r="S236" s="6"/>
      <c r="T236" s="6"/>
      <c r="U236" s="6"/>
      <c r="V236" s="20"/>
      <c r="W236" s="20"/>
      <c r="X236" s="20"/>
      <c r="Y236" s="20"/>
      <c r="Z236" s="20"/>
      <c r="AA236" s="20"/>
      <c r="AB236" s="20"/>
      <c r="AD236" s="6">
        <f>IF((D232&lt;&gt;"")*(D236=""),IF((D232&lt;=$B$442)*((D233&gt;=$C$442)+(D233&lt;2/24)),1,0),0)</f>
        <v>0</v>
      </c>
      <c r="AE236" s="6">
        <f>IF((E232&lt;&gt;"")*(E236=""),IF((E232&lt;=$B$442)*((E233&gt;=$C$442)+(E233&lt;2/24)),1,0),0)</f>
        <v>0</v>
      </c>
      <c r="AF236" s="6">
        <f>IF((F232&lt;&gt;"")*(F236=""),IF((F232&lt;=$B$442)*((F233&gt;=$C$442)+(F233&lt;2/24)),1,0),0)</f>
        <v>0</v>
      </c>
      <c r="AG236" s="6">
        <f>IF((G232&lt;&gt;"")*(G236=""),IF((G232&lt;=$B$442)*((G233&gt;=$C$442)+(G233&lt;2/24)),1,0),0)</f>
        <v>0</v>
      </c>
      <c r="AH236" s="6">
        <f>IF((H232&lt;&gt;"")*(H236=""),IF((H232&lt;=$B$442)*((H233&gt;=$C$442)+(H233&lt;2/24)),1,0),0)</f>
        <v>0</v>
      </c>
      <c r="AI236" s="6">
        <f>IF((I232&lt;&gt;"")*(I236=""),IF((I232&lt;=$B$442)*((I233&gt;=$C$442)+(I233&lt;2/24)),1,0),0)</f>
        <v>0</v>
      </c>
      <c r="AJ236" s="6">
        <f>IF((J232&lt;&gt;"")*(J236=""),IF((J232&lt;=$B$442)*((J233&gt;=$C$442)+(J233&lt;2/24)),1,0),0)</f>
        <v>0</v>
      </c>
    </row>
    <row r="237" spans="1:36" ht="13.5" hidden="1" thickBot="1" x14ac:dyDescent="0.25">
      <c r="A237" s="41"/>
      <c r="B237" s="42"/>
      <c r="C237" s="35" t="s">
        <v>28</v>
      </c>
      <c r="D237" s="36"/>
      <c r="E237" s="36"/>
      <c r="F237" s="36"/>
      <c r="G237" s="36"/>
      <c r="H237" s="36"/>
      <c r="I237" s="36"/>
      <c r="J237" s="36"/>
      <c r="K237" s="34"/>
      <c r="L237" s="6"/>
      <c r="M237" s="25"/>
      <c r="N237" s="6"/>
      <c r="O237" s="6"/>
      <c r="P237" s="6"/>
      <c r="Q237" s="6"/>
      <c r="R237" s="6"/>
      <c r="S237" s="6"/>
      <c r="T237" s="6"/>
      <c r="U237" s="6"/>
      <c r="V237" s="20"/>
      <c r="W237" s="20"/>
      <c r="X237" s="20"/>
      <c r="Y237" s="20"/>
      <c r="Z237" s="20"/>
      <c r="AA237" s="20"/>
      <c r="AB237" s="20"/>
      <c r="AD237" s="6"/>
      <c r="AE237" s="6"/>
      <c r="AF237" s="6"/>
      <c r="AG237" s="6"/>
      <c r="AH237" s="6"/>
      <c r="AI237" s="6"/>
      <c r="AJ237" s="6"/>
    </row>
    <row r="238" spans="1:36" x14ac:dyDescent="0.2">
      <c r="A238" s="37" t="s">
        <v>97</v>
      </c>
      <c r="B238" s="38" t="s">
        <v>98</v>
      </c>
      <c r="C238" s="14" t="s">
        <v>0</v>
      </c>
      <c r="D238" s="2">
        <v>0.77083333333333337</v>
      </c>
      <c r="E238" s="45"/>
      <c r="F238" s="2"/>
      <c r="G238" s="45">
        <v>0.77083333333333337</v>
      </c>
      <c r="H238" s="2"/>
      <c r="I238" s="2"/>
      <c r="J238" s="45">
        <v>0.77083333333333337</v>
      </c>
      <c r="K238" s="16"/>
      <c r="L238" s="6"/>
      <c r="M238" s="21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D238" s="6">
        <f>IF((D238&lt;&gt;"")*(D242=""),IF((D238&lt;=$B$438)*((D239&gt;=$C$438)+(D239&lt;2/24)),1,0),0)</f>
        <v>0</v>
      </c>
      <c r="AE238" s="6">
        <f>IF((E238&lt;&gt;"")*(E242=""),IF((E238&lt;=$B$438)*((E239&gt;=$C$438)+(E239&lt;2/24)),1,0),0)</f>
        <v>0</v>
      </c>
      <c r="AF238" s="6">
        <f>IF((F238&lt;&gt;"")*(F242=""),IF((F238&lt;=$B$438)*((F239&gt;=$C$438)+(F239&lt;2/24)),1,0),0)</f>
        <v>0</v>
      </c>
      <c r="AG238" s="6">
        <f>IF((G238&lt;&gt;"")*(G242=""),IF((G238&lt;=$B$438)*((G239&gt;=$C$438)+(G239&lt;2/24)),1,0),0)</f>
        <v>0</v>
      </c>
      <c r="AH238" s="6">
        <f>IF((H238&lt;&gt;"")*(H242=""),IF((H238&lt;=$B$438)*((H239&gt;=$C$438)+(H239&lt;2/24)),1,0),0)</f>
        <v>0</v>
      </c>
      <c r="AI238" s="6">
        <f>IF((I238&lt;&gt;"")*(I242=""),IF((I238&lt;=$B$438)*((I239&gt;=$C$438)+(I239&lt;2/24)),1,0),0)</f>
        <v>0</v>
      </c>
      <c r="AJ238" s="6">
        <f>IF((J238&lt;&gt;"")*(J242=""),IF((J238&lt;=$B$438)*((J239&gt;=$C$438)+(J239&lt;2/24)),1,0),0)</f>
        <v>0</v>
      </c>
    </row>
    <row r="239" spans="1:36" x14ac:dyDescent="0.2">
      <c r="A239" s="39"/>
      <c r="B239" s="40"/>
      <c r="C239" s="15" t="s">
        <v>1</v>
      </c>
      <c r="D239" s="3">
        <v>0.95833333333333337</v>
      </c>
      <c r="E239" s="3"/>
      <c r="F239" s="3"/>
      <c r="G239" s="3">
        <v>0.95833333333333337</v>
      </c>
      <c r="H239" s="3"/>
      <c r="I239" s="3"/>
      <c r="J239" s="3">
        <v>0.95833333333333337</v>
      </c>
      <c r="K239" s="17"/>
      <c r="L239" s="6"/>
      <c r="M239" s="21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D239" s="6">
        <f>IF((D238&lt;&gt;"")*(D242=""),IF((D238&lt;=$B$439)*((D239&gt;=$C$439)+(D239&lt;2/24)),1,0),0)</f>
        <v>0</v>
      </c>
      <c r="AE239" s="6">
        <f>IF((E238&lt;&gt;"")*(E242=""),IF((E238&lt;=$B$439)*((E239&gt;=$C$439)+(E239&lt;2/24)),1,0),0)</f>
        <v>0</v>
      </c>
      <c r="AF239" s="6">
        <f>IF((F238&lt;&gt;"")*(F242=""),IF((F238&lt;=$B$439)*((F239&gt;=$C$439)+(F239&lt;2/24)),1,0),0)</f>
        <v>0</v>
      </c>
      <c r="AG239" s="6">
        <f>IF((G238&lt;&gt;"")*(G242=""),IF((G238&lt;=$B$439)*((G239&gt;=$C$439)+(G239&lt;2/24)),1,0),0)</f>
        <v>0</v>
      </c>
      <c r="AH239" s="6">
        <f>IF((H238&lt;&gt;"")*(H242=""),IF((H238&lt;=$B$439)*((H239&gt;=$C$439)+(H239&lt;2/24)),1,0),0)</f>
        <v>0</v>
      </c>
      <c r="AI239" s="6">
        <f>IF((I238&lt;&gt;"")*(I242=""),IF((I238&lt;=$B$439)*((I239&gt;=$C$439)+(I239&lt;2/24)),1,0),0)</f>
        <v>0</v>
      </c>
      <c r="AJ239" s="6">
        <f>IF((J238&lt;&gt;"")*(J242=""),IF((J238&lt;=$B$439)*((J239&gt;=$C$439)+(J239&lt;2/24)),1,0),0)</f>
        <v>0</v>
      </c>
    </row>
    <row r="240" spans="1:36" x14ac:dyDescent="0.2">
      <c r="A240" s="39"/>
      <c r="B240" s="40"/>
      <c r="C240" s="15" t="s">
        <v>2</v>
      </c>
      <c r="D240" s="4"/>
      <c r="E240" s="4"/>
      <c r="F240" s="4"/>
      <c r="G240" s="4"/>
      <c r="H240" s="4"/>
      <c r="I240" s="4"/>
      <c r="J240" s="4"/>
      <c r="K240" s="17"/>
      <c r="L240" s="6"/>
      <c r="M240" s="21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D240" s="6">
        <f>IF((D238&lt;&gt;"")*(D242=""),IF((D238&lt;=$B$440)*((D239&gt;=$C$440)+(D239&lt;2/24)),1,0),0)</f>
        <v>0</v>
      </c>
      <c r="AE240" s="6">
        <f>IF((E238&lt;&gt;"")*(E242=""),IF((E238&lt;=$B$440)*((E239&gt;=$C$440)+(E239&lt;2/24)),1,0),0)</f>
        <v>0</v>
      </c>
      <c r="AF240" s="6">
        <f>IF((F238&lt;&gt;"")*(F242=""),IF((F238&lt;=$B$440)*((F239&gt;=$C$440)+(F239&lt;2/24)),1,0),0)</f>
        <v>0</v>
      </c>
      <c r="AG240" s="6">
        <f>IF((G238&lt;&gt;"")*(G242=""),IF((G238&lt;=$B$440)*((G239&gt;=$C$440)+(G239&lt;2/24)),1,0),0)</f>
        <v>0</v>
      </c>
      <c r="AH240" s="6">
        <f>IF((H238&lt;&gt;"")*(H242=""),IF((H238&lt;=$B$440)*((H239&gt;=$C$440)+(H239&lt;2/24)),1,0),0)</f>
        <v>0</v>
      </c>
      <c r="AI240" s="6">
        <f>IF((I238&lt;&gt;"")*(I242=""),IF((I238&lt;=$B$440)*((I239&gt;=$C$440)+(I239&lt;2/24)),1,0),0)</f>
        <v>0</v>
      </c>
      <c r="AJ240" s="6">
        <f>IF((J238&lt;&gt;"")*(J242=""),IF((J238&lt;=$B$440)*((J239&gt;=$C$440)+(J239&lt;2/24)),1,0),0)</f>
        <v>0</v>
      </c>
    </row>
    <row r="241" spans="1:36" x14ac:dyDescent="0.2">
      <c r="A241" s="39"/>
      <c r="B241" s="40"/>
      <c r="C241" s="15" t="s">
        <v>3</v>
      </c>
      <c r="D241" s="19">
        <v>4.5</v>
      </c>
      <c r="E241" s="19"/>
      <c r="F241" s="43"/>
      <c r="G241" s="19">
        <v>4.5</v>
      </c>
      <c r="H241" s="43"/>
      <c r="I241" s="19"/>
      <c r="J241" s="43">
        <v>4.5</v>
      </c>
      <c r="K241" s="18">
        <f>SUMIF(D242:J242,"",D241:J241)</f>
        <v>13.5</v>
      </c>
      <c r="L241" s="12">
        <f>SUM(D241:J241)</f>
        <v>13.5</v>
      </c>
      <c r="M241" s="24"/>
      <c r="N241" s="10">
        <f t="shared" ref="N241" si="78">IF(D242="",D241,0)</f>
        <v>4.5</v>
      </c>
      <c r="O241" s="10">
        <f t="shared" ref="O241" si="79">IF(E242="",E241,0)</f>
        <v>0</v>
      </c>
      <c r="P241" s="10">
        <f t="shared" ref="P241" si="80">IF(F242="",F241,0)</f>
        <v>0</v>
      </c>
      <c r="Q241" s="10">
        <f t="shared" ref="Q241" si="81">IF(G242="",G241,0)</f>
        <v>4.5</v>
      </c>
      <c r="R241" s="10">
        <f t="shared" ref="R241" si="82">IF(H242="",H241,0)</f>
        <v>0</v>
      </c>
      <c r="S241" s="10">
        <f t="shared" ref="S241" si="83">IF(I242="",I241,0)</f>
        <v>0</v>
      </c>
      <c r="T241" s="10">
        <f t="shared" ref="T241" si="84">IF(J242="",J241,0)</f>
        <v>4.5</v>
      </c>
      <c r="U241" s="10"/>
      <c r="V241" s="10">
        <f t="shared" ref="V241" si="85">D241</f>
        <v>4.5</v>
      </c>
      <c r="W241" s="10">
        <f t="shared" ref="W241" si="86">E241</f>
        <v>0</v>
      </c>
      <c r="X241" s="10">
        <f t="shared" ref="X241" si="87">F241</f>
        <v>0</v>
      </c>
      <c r="Y241" s="10">
        <f t="shared" ref="Y241" si="88">G241</f>
        <v>4.5</v>
      </c>
      <c r="Z241" s="10">
        <f t="shared" ref="Z241" si="89">H241</f>
        <v>0</v>
      </c>
      <c r="AA241" s="10">
        <f t="shared" ref="AA241" si="90">I241</f>
        <v>0</v>
      </c>
      <c r="AB241" s="10">
        <f t="shared" ref="AB241" si="91">J241</f>
        <v>4.5</v>
      </c>
      <c r="AD241" s="6">
        <f>IF((D238&lt;&gt;"")*(D242=""),IF((D238&lt;=$B$441)*((D239&gt;=$C$441)+(D239&lt;2/24)),1,0),0)</f>
        <v>1</v>
      </c>
      <c r="AE241" s="6">
        <f>IF((E238&lt;&gt;"")*(E242=""),IF((E238&lt;=$B$441)*((E239&gt;=$C$441)+(E239&lt;2/24)),1,0),0)</f>
        <v>0</v>
      </c>
      <c r="AF241" s="6">
        <f>IF((F238&lt;&gt;"")*(F242=""),IF((F238&lt;=$B$441)*((F239&gt;=$C$441)+(F239&lt;2/24)),1,0),0)</f>
        <v>0</v>
      </c>
      <c r="AG241" s="6">
        <f>IF((G238&lt;&gt;"")*(G242=""),IF((G238&lt;=$B$441)*((G239&gt;=$C$441)+(G239&lt;2/24)),1,0),0)</f>
        <v>1</v>
      </c>
      <c r="AH241" s="6">
        <f>IF((H238&lt;&gt;"")*(H242=""),IF((H238&lt;=$B$441)*((H239&gt;=$C$441)+(H239&lt;2/24)),1,0),0)</f>
        <v>0</v>
      </c>
      <c r="AI241" s="6">
        <f>IF((I238&lt;&gt;"")*(I242=""),IF((I238&lt;=$B$441)*((I239&gt;=$C$441)+(I239&lt;2/24)),1,0),0)</f>
        <v>0</v>
      </c>
      <c r="AJ241" s="6">
        <f>IF((J238&lt;&gt;"")*(J242=""),IF((J238&lt;=$B$441)*((J239&gt;=$C$441)+(J239&lt;2/24)),1,0),0)</f>
        <v>1</v>
      </c>
    </row>
    <row r="242" spans="1:36" x14ac:dyDescent="0.2">
      <c r="A242" s="39"/>
      <c r="B242" s="40"/>
      <c r="C242" s="32" t="s">
        <v>4</v>
      </c>
      <c r="D242" s="53"/>
      <c r="E242" s="33"/>
      <c r="F242" s="33"/>
      <c r="G242" s="33"/>
      <c r="H242" s="33"/>
      <c r="I242" s="33"/>
      <c r="J242" s="33"/>
      <c r="K242" s="17"/>
      <c r="L242" s="6"/>
      <c r="M242" s="25"/>
      <c r="N242" s="6"/>
      <c r="O242" s="6"/>
      <c r="P242" s="6"/>
      <c r="Q242" s="6"/>
      <c r="R242" s="6"/>
      <c r="S242" s="6"/>
      <c r="T242" s="6"/>
      <c r="U242" s="6"/>
      <c r="V242" s="20"/>
      <c r="W242" s="20"/>
      <c r="X242" s="20"/>
      <c r="Y242" s="20"/>
      <c r="Z242" s="20"/>
      <c r="AA242" s="20"/>
      <c r="AB242" s="20"/>
      <c r="AD242" s="6">
        <f>IF((D238&lt;&gt;"")*(D242=""),IF((D238&lt;=$B$442)*((D239&gt;=$C$442)+(D239&lt;2/24)),1,0),0)</f>
        <v>1</v>
      </c>
      <c r="AE242" s="6">
        <f>IF((E238&lt;&gt;"")*(E242=""),IF((E238&lt;=$B$442)*((E239&gt;=$C$442)+(E239&lt;2/24)),1,0),0)</f>
        <v>0</v>
      </c>
      <c r="AF242" s="6">
        <f>IF((F238&lt;&gt;"")*(F242=""),IF((F238&lt;=$B$442)*((F239&gt;=$C$442)+(F239&lt;2/24)),1,0),0)</f>
        <v>0</v>
      </c>
      <c r="AG242" s="6">
        <f>IF((G238&lt;&gt;"")*(G242=""),IF((G238&lt;=$B$442)*((G239&gt;=$C$442)+(G239&lt;2/24)),1,0),0)</f>
        <v>1</v>
      </c>
      <c r="AH242" s="6">
        <f>IF((H238&lt;&gt;"")*(H242=""),IF((H238&lt;=$B$442)*((H239&gt;=$C$442)+(H239&lt;2/24)),1,0),0)</f>
        <v>0</v>
      </c>
      <c r="AI242" s="6">
        <f>IF((I238&lt;&gt;"")*(I242=""),IF((I238&lt;=$B$442)*((I239&gt;=$C$442)+(I239&lt;2/24)),1,0),0)</f>
        <v>0</v>
      </c>
      <c r="AJ242" s="6">
        <f>IF((J238&lt;&gt;"")*(J242=""),IF((J238&lt;=$B$442)*((J239&gt;=$C$442)+(J239&lt;2/24)),1,0),0)</f>
        <v>1</v>
      </c>
    </row>
    <row r="243" spans="1:36" ht="13.5" thickBot="1" x14ac:dyDescent="0.25">
      <c r="A243" s="41"/>
      <c r="B243" s="42"/>
      <c r="C243" s="35" t="s">
        <v>28</v>
      </c>
      <c r="D243" s="67"/>
      <c r="E243" s="36"/>
      <c r="F243" s="36"/>
      <c r="G243" s="36" t="s">
        <v>160</v>
      </c>
      <c r="H243" s="36"/>
      <c r="I243" s="36"/>
      <c r="J243" s="67"/>
      <c r="K243" s="34"/>
      <c r="L243" s="6"/>
      <c r="M243" s="25"/>
      <c r="N243" s="6"/>
      <c r="O243" s="6"/>
      <c r="P243" s="6"/>
      <c r="Q243" s="6"/>
      <c r="R243" s="6"/>
      <c r="S243" s="6"/>
      <c r="T243" s="6"/>
      <c r="U243" s="6"/>
      <c r="V243" s="20"/>
      <c r="W243" s="20"/>
      <c r="X243" s="20"/>
      <c r="Y243" s="20"/>
      <c r="Z243" s="20"/>
      <c r="AA243" s="20"/>
      <c r="AB243" s="20"/>
      <c r="AD243" s="6"/>
      <c r="AE243" s="6"/>
      <c r="AF243" s="6"/>
      <c r="AG243" s="6"/>
      <c r="AH243" s="6"/>
      <c r="AI243" s="6"/>
      <c r="AJ243" s="6"/>
    </row>
    <row r="244" spans="1:36" x14ac:dyDescent="0.2">
      <c r="A244" s="37" t="s">
        <v>128</v>
      </c>
      <c r="B244" s="38" t="s">
        <v>37</v>
      </c>
      <c r="C244" s="14" t="s">
        <v>0</v>
      </c>
      <c r="D244" s="45"/>
      <c r="E244" s="26"/>
      <c r="F244" s="45">
        <v>0.77083333333333337</v>
      </c>
      <c r="G244" s="26"/>
      <c r="H244" s="26">
        <v>0.41666666666666669</v>
      </c>
      <c r="I244" s="26">
        <v>0.54166666666666663</v>
      </c>
      <c r="J244" s="26"/>
      <c r="K244" s="16"/>
      <c r="L244" s="6"/>
      <c r="M244" s="21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D244" s="6">
        <f>IF((D244&lt;&gt;"")*(D248=""),IF((D244&lt;=$B$440)*((D245&gt;=$C$440)+(D245&lt;2/24)),1,0),0)</f>
        <v>0</v>
      </c>
      <c r="AE244" s="6">
        <f>IF((E244&lt;&gt;"")*(E248=""),IF((E244&lt;=$B$440)*((E245&gt;=$C$440)+(E245&lt;2/24)),1,0),0)</f>
        <v>0</v>
      </c>
      <c r="AF244" s="6">
        <f>IF((F244&lt;&gt;"")*(F248=""),IF((F244&lt;=$B$440)*((F245&gt;=$C$440)+(F245&lt;2/24)),1,0),0)</f>
        <v>0</v>
      </c>
      <c r="AG244" s="6">
        <f>IF((G244&lt;&gt;"")*(G248=""),IF((G244&lt;=$B$440)*((G245&gt;=$C$440)+(G245&lt;2/24)),1,0),0)</f>
        <v>0</v>
      </c>
      <c r="AH244" s="6">
        <f>IF((H244&lt;&gt;"")*(H248=""),IF((H244&lt;=$B$440)*((H245&gt;=$C$440)+(H245&lt;2/24)),1,0),0)</f>
        <v>1</v>
      </c>
      <c r="AI244" s="6">
        <f>IF((I244&lt;&gt;"")*(I248=""),IF((I244&lt;=$B$440)*((I245&gt;=$C$440)+(I245&lt;2/24)),1,0),0)</f>
        <v>1</v>
      </c>
      <c r="AJ244" s="6">
        <f>IF((J244&lt;&gt;"")*(J248=""),IF((J244&lt;=$B$440)*((J245&gt;=$C$440)+(J245&lt;2/24)),1,0),0)</f>
        <v>0</v>
      </c>
    </row>
    <row r="245" spans="1:36" x14ac:dyDescent="0.2">
      <c r="A245" s="39"/>
      <c r="B245" s="40"/>
      <c r="C245" s="15" t="s">
        <v>1</v>
      </c>
      <c r="D245" s="3"/>
      <c r="E245" s="27"/>
      <c r="F245" s="3">
        <v>0.95833333333333337</v>
      </c>
      <c r="G245" s="27"/>
      <c r="H245" s="27">
        <v>0.75</v>
      </c>
      <c r="I245" s="27">
        <v>0.75</v>
      </c>
      <c r="J245" s="27"/>
      <c r="K245" s="17"/>
      <c r="L245" s="6"/>
      <c r="M245" s="21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D245" s="6">
        <f>IF((D244&lt;&gt;"")*(D248=""),IF((D244&lt;=$B$441)*((D245&gt;=$C$441)+(D245&lt;2/24)),1,0),0)</f>
        <v>0</v>
      </c>
      <c r="AE245" s="6">
        <f>IF((E244&lt;&gt;"")*(E248=""),IF((E244&lt;=$B$441)*((E245&gt;=$C$441)+(E245&lt;2/24)),1,0),0)</f>
        <v>0</v>
      </c>
      <c r="AF245" s="6">
        <f>IF((F244&lt;&gt;"")*(F248=""),IF((F244&lt;=$B$441)*((F245&gt;=$C$441)+(F245&lt;2/24)),1,0),0)</f>
        <v>1</v>
      </c>
      <c r="AG245" s="6">
        <f>IF((G244&lt;&gt;"")*(G248=""),IF((G244&lt;=$B$441)*((G245&gt;=$C$441)+(G245&lt;2/24)),1,0),0)</f>
        <v>0</v>
      </c>
      <c r="AH245" s="6">
        <f>IF((H244&lt;&gt;"")*(H248=""),IF((H244&lt;=$B$441)*((H245&gt;=$C$441)+(H245&lt;2/24)),1,0),0)</f>
        <v>0</v>
      </c>
      <c r="AI245" s="6">
        <f>IF((I244&lt;&gt;"")*(I248=""),IF((I244&lt;=$B$441)*((I245&gt;=$C$441)+(I245&lt;2/24)),1,0),0)</f>
        <v>0</v>
      </c>
      <c r="AJ245" s="6">
        <f>IF((J244&lt;&gt;"")*(J248=""),IF((J244&lt;=$B$441)*((J245&gt;=$C$441)+(J245&lt;2/24)),1,0),0)</f>
        <v>0</v>
      </c>
    </row>
    <row r="246" spans="1:36" x14ac:dyDescent="0.2">
      <c r="A246" s="39"/>
      <c r="B246" s="40"/>
      <c r="C246" s="15" t="s">
        <v>2</v>
      </c>
      <c r="D246" s="4"/>
      <c r="E246" s="4"/>
      <c r="F246" s="4"/>
      <c r="G246" s="4"/>
      <c r="H246" s="4">
        <v>4.1666666666666664E-2</v>
      </c>
      <c r="I246" s="4"/>
      <c r="J246" s="4"/>
      <c r="K246" s="17"/>
      <c r="L246" s="6"/>
      <c r="M246" s="21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D246" s="6">
        <f>IF((D244&lt;&gt;"")*(D248=""),IF((D244&lt;=$B$442)*((D245&gt;=$C$442)+(D245&lt;2/24)),1,0),0)</f>
        <v>0</v>
      </c>
      <c r="AE246" s="6">
        <f>IF((E244&lt;&gt;"")*(E248=""),IF((E244&lt;=$B$442)*((E245&gt;=$C$442)+(E245&lt;2/24)),1,0),0)</f>
        <v>0</v>
      </c>
      <c r="AF246" s="6">
        <f>IF((F244&lt;&gt;"")*(F248=""),IF((F244&lt;=$B$442)*((F245&gt;=$C$442)+(F245&lt;2/24)),1,0),0)</f>
        <v>1</v>
      </c>
      <c r="AG246" s="6">
        <f>IF((G244&lt;&gt;"")*(G248=""),IF((G244&lt;=$B$442)*((G245&gt;=$C$442)+(G245&lt;2/24)),1,0),0)</f>
        <v>0</v>
      </c>
      <c r="AH246" s="6">
        <f>IF((H244&lt;&gt;"")*(H248=""),IF((H244&lt;=$B$442)*((H245&gt;=$C$442)+(H245&lt;2/24)),1,0),0)</f>
        <v>0</v>
      </c>
      <c r="AI246" s="6">
        <f>IF((I244&lt;&gt;"")*(I248=""),IF((I244&lt;=$B$442)*((I245&gt;=$C$442)+(I245&lt;2/24)),1,0),0)</f>
        <v>0</v>
      </c>
      <c r="AJ246" s="6">
        <f>IF((J244&lt;&gt;"")*(J248=""),IF((J244&lt;=$B$442)*((J245&gt;=$C$442)+(J245&lt;2/24)),1,0),0)</f>
        <v>0</v>
      </c>
    </row>
    <row r="247" spans="1:36" x14ac:dyDescent="0.2">
      <c r="A247" s="39"/>
      <c r="B247" s="40"/>
      <c r="C247" s="15" t="s">
        <v>3</v>
      </c>
      <c r="D247" s="43"/>
      <c r="E247" s="43"/>
      <c r="F247" s="55">
        <v>4.5</v>
      </c>
      <c r="G247" s="43"/>
      <c r="H247" s="43">
        <v>7</v>
      </c>
      <c r="I247" s="43">
        <v>5</v>
      </c>
      <c r="J247" s="44"/>
      <c r="K247" s="18">
        <f>SUMIF(D248:J248,"",D247:J247)</f>
        <v>16.5</v>
      </c>
      <c r="L247" s="12">
        <f>SUM(D247:J247)</f>
        <v>16.5</v>
      </c>
      <c r="M247" s="24"/>
      <c r="N247" s="10">
        <f t="shared" ref="N247" si="92">IF(D248="",D247,0)</f>
        <v>0</v>
      </c>
      <c r="O247" s="10">
        <f t="shared" ref="O247" si="93">IF(E248="",E247,0)</f>
        <v>0</v>
      </c>
      <c r="P247" s="10">
        <f t="shared" ref="P247" si="94">IF(F248="",F247,0)</f>
        <v>4.5</v>
      </c>
      <c r="Q247" s="10">
        <f t="shared" ref="Q247" si="95">IF(G248="",G247,0)</f>
        <v>0</v>
      </c>
      <c r="R247" s="10">
        <f t="shared" ref="R247" si="96">IF(H248="",H247,0)</f>
        <v>7</v>
      </c>
      <c r="S247" s="10">
        <f t="shared" ref="S247" si="97">IF(I248="",I247,0)</f>
        <v>5</v>
      </c>
      <c r="T247" s="10">
        <f t="shared" ref="T247" si="98">IF(J248="",J247,0)</f>
        <v>0</v>
      </c>
      <c r="U247" s="10"/>
      <c r="V247" s="10">
        <f t="shared" ref="V247" si="99">D247</f>
        <v>0</v>
      </c>
      <c r="W247" s="10">
        <f t="shared" ref="W247" si="100">E247</f>
        <v>0</v>
      </c>
      <c r="X247" s="10">
        <f t="shared" ref="X247" si="101">F247</f>
        <v>4.5</v>
      </c>
      <c r="Y247" s="10">
        <f t="shared" ref="Y247" si="102">G247</f>
        <v>0</v>
      </c>
      <c r="Z247" s="10">
        <f t="shared" ref="Z247" si="103">H247</f>
        <v>7</v>
      </c>
      <c r="AA247" s="10">
        <f t="shared" ref="AA247" si="104">I247</f>
        <v>5</v>
      </c>
      <c r="AB247" s="10">
        <f t="shared" ref="AB247" si="105">J247</f>
        <v>0</v>
      </c>
      <c r="AD247" s="6">
        <f>IF((D244&lt;&gt;"")*(D248=""),IF((D244&lt;=$B$443)*((D245&gt;=$C$443)+(D245&lt;2/24)),1,0),0)</f>
        <v>0</v>
      </c>
      <c r="AE247" s="6">
        <f>IF((E244&lt;&gt;"")*(E248=""),IF((E244&lt;=$B$443)*((E245&gt;=$C$443)+(E245&lt;2/24)),1,0),0)</f>
        <v>0</v>
      </c>
      <c r="AF247" s="6">
        <f>IF((F244&lt;&gt;"")*(F248=""),IF((F244&lt;=$B$443)*((F245&gt;=$C$443)+(F245&lt;2/24)),1,0),0)</f>
        <v>0</v>
      </c>
      <c r="AG247" s="6">
        <f>IF((G244&lt;&gt;"")*(G248=""),IF((G244&lt;=$B$443)*((G245&gt;=$C$443)+(G245&lt;2/24)),1,0),0)</f>
        <v>0</v>
      </c>
      <c r="AH247" s="6">
        <f>IF((H244&lt;&gt;"")*(H248=""),IF((H244&lt;=$B$443)*((H245&gt;=$C$443)+(H245&lt;2/24)),1,0),0)</f>
        <v>0</v>
      </c>
      <c r="AI247" s="6">
        <f>IF((I244&lt;&gt;"")*(I248=""),IF((I244&lt;=$B$443)*((I245&gt;=$C$443)+(I245&lt;2/24)),1,0),0)</f>
        <v>0</v>
      </c>
      <c r="AJ247" s="6">
        <f>IF((J244&lt;&gt;"")*(J248=""),IF((J244&lt;=$B$443)*((J245&gt;=$C$443)+(J245&lt;2/24)),1,0),0)</f>
        <v>0</v>
      </c>
    </row>
    <row r="248" spans="1:36" x14ac:dyDescent="0.2">
      <c r="A248" s="39"/>
      <c r="B248" s="40"/>
      <c r="C248" s="32" t="s">
        <v>4</v>
      </c>
      <c r="D248" s="56"/>
      <c r="E248" s="33"/>
      <c r="F248" s="33"/>
      <c r="G248" s="33"/>
      <c r="H248" s="33"/>
      <c r="I248" s="33"/>
      <c r="J248" s="33"/>
      <c r="K248" s="17"/>
      <c r="L248" s="6"/>
      <c r="M248" s="25"/>
      <c r="N248" s="6"/>
      <c r="O248" s="6"/>
      <c r="P248" s="6"/>
      <c r="Q248" s="6"/>
      <c r="R248" s="6"/>
      <c r="S248" s="6"/>
      <c r="T248" s="6"/>
      <c r="U248" s="6"/>
      <c r="V248" s="20"/>
      <c r="W248" s="20"/>
      <c r="X248" s="20"/>
      <c r="Y248" s="20"/>
      <c r="Z248" s="20"/>
      <c r="AA248" s="20"/>
      <c r="AB248" s="20"/>
      <c r="AD248" s="6">
        <f>IF((D244&lt;&gt;"")*(D248=""),IF((D244&lt;=$B$444)*((D245&gt;=$C$444)+(D245&lt;2/24)),1,0),0)</f>
        <v>0</v>
      </c>
      <c r="AE248" s="6">
        <f>IF((E244&lt;&gt;"")*(E248=""),IF((E244&lt;=$B$444)*((E245&gt;=$C$444)+(E245&lt;2/24)),1,0),0)</f>
        <v>0</v>
      </c>
      <c r="AF248" s="6">
        <f>IF((F244&lt;&gt;"")*(F248=""),IF((F244&lt;=$B$444)*((F245&gt;=$C$444)+(F245&lt;2/24)),1,0),0)</f>
        <v>0</v>
      </c>
      <c r="AG248" s="6">
        <f>IF((G244&lt;&gt;"")*(G248=""),IF((G244&lt;=$B$444)*((G245&gt;=$C$444)+(G245&lt;2/24)),1,0),0)</f>
        <v>0</v>
      </c>
      <c r="AH248" s="6">
        <f>IF((H244&lt;&gt;"")*(H248=""),IF((H244&lt;=$B$444)*((H245&gt;=$C$444)+(H245&lt;2/24)),1,0),0)</f>
        <v>0</v>
      </c>
      <c r="AI248" s="6">
        <f>IF((I244&lt;&gt;"")*(I248=""),IF((I244&lt;=$B$444)*((I245&gt;=$C$444)+(I245&lt;2/24)),1,0),0)</f>
        <v>0</v>
      </c>
      <c r="AJ248" s="6">
        <f>IF((J244&lt;&gt;"")*(J248=""),IF((J244&lt;=$B$444)*((J245&gt;=$C$444)+(J245&lt;2/24)),1,0),0)</f>
        <v>0</v>
      </c>
    </row>
    <row r="249" spans="1:36" ht="13.5" thickBot="1" x14ac:dyDescent="0.25">
      <c r="A249" s="41"/>
      <c r="B249" s="42"/>
      <c r="C249" s="35" t="s">
        <v>28</v>
      </c>
      <c r="D249" s="36"/>
      <c r="E249" s="36"/>
      <c r="F249" s="36"/>
      <c r="G249" s="36"/>
      <c r="H249" s="36"/>
      <c r="I249" s="36"/>
      <c r="J249" s="36"/>
      <c r="K249" s="34"/>
      <c r="L249" s="6"/>
      <c r="M249" s="25"/>
      <c r="N249" s="6"/>
      <c r="O249" s="6"/>
      <c r="P249" s="6"/>
      <c r="Q249" s="6"/>
      <c r="R249" s="6"/>
      <c r="S249" s="6"/>
      <c r="T249" s="6"/>
      <c r="U249" s="6"/>
      <c r="V249" s="20"/>
      <c r="W249" s="20"/>
      <c r="X249" s="20"/>
      <c r="Y249" s="20"/>
      <c r="Z249" s="20"/>
      <c r="AA249" s="20"/>
      <c r="AB249" s="20"/>
      <c r="AD249" s="6"/>
      <c r="AE249" s="6"/>
      <c r="AF249" s="6"/>
      <c r="AG249" s="6"/>
      <c r="AH249" s="6"/>
      <c r="AI249" s="6"/>
      <c r="AJ249" s="6"/>
    </row>
    <row r="250" spans="1:36" x14ac:dyDescent="0.2">
      <c r="A250" s="37" t="s">
        <v>102</v>
      </c>
      <c r="B250" s="38" t="s">
        <v>66</v>
      </c>
      <c r="C250" s="14" t="s">
        <v>0</v>
      </c>
      <c r="D250" s="45"/>
      <c r="E250" s="26"/>
      <c r="F250" s="45"/>
      <c r="G250" s="26"/>
      <c r="H250" s="26"/>
      <c r="I250" s="26"/>
      <c r="J250" s="26"/>
      <c r="K250" s="16"/>
      <c r="L250" s="6"/>
      <c r="M250" s="21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D250" s="6">
        <f>IF((D250&lt;&gt;"")*(D254=""),IF((D250&lt;=$B$440)*((D251&gt;=$C$440)+(D251&lt;2/24)),1,0),0)</f>
        <v>0</v>
      </c>
      <c r="AE250" s="6">
        <f>IF((E250&lt;&gt;"")*(E254=""),IF((E250&lt;=$B$440)*((E251&gt;=$C$440)+(E251&lt;2/24)),1,0),0)</f>
        <v>0</v>
      </c>
      <c r="AF250" s="6">
        <f>IF((F250&lt;&gt;"")*(F254=""),IF((F250&lt;=$B$440)*((F251&gt;=$C$440)+(F251&lt;2/24)),1,0),0)</f>
        <v>0</v>
      </c>
      <c r="AG250" s="6">
        <f>IF((G250&lt;&gt;"")*(G254=""),IF((G250&lt;=$B$440)*((G251&gt;=$C$440)+(G251&lt;2/24)),1,0),0)</f>
        <v>0</v>
      </c>
      <c r="AH250" s="6">
        <f>IF((H250&lt;&gt;"")*(H254=""),IF((H250&lt;=$B$440)*((H251&gt;=$C$440)+(H251&lt;2/24)),1,0),0)</f>
        <v>0</v>
      </c>
      <c r="AI250" s="6">
        <f>IF((I250&lt;&gt;"")*(I254=""),IF((I250&lt;=$B$440)*((I251&gt;=$C$440)+(I251&lt;2/24)),1,0),0)</f>
        <v>0</v>
      </c>
      <c r="AJ250" s="6">
        <f>IF((J250&lt;&gt;"")*(J254=""),IF((J250&lt;=$B$440)*((J251&gt;=$C$440)+(J251&lt;2/24)),1,0),0)</f>
        <v>0</v>
      </c>
    </row>
    <row r="251" spans="1:36" x14ac:dyDescent="0.2">
      <c r="A251" s="39"/>
      <c r="B251" s="40"/>
      <c r="C251" s="15" t="s">
        <v>1</v>
      </c>
      <c r="D251" s="3"/>
      <c r="E251" s="27"/>
      <c r="F251" s="3"/>
      <c r="G251" s="27"/>
      <c r="H251" s="27"/>
      <c r="I251" s="27"/>
      <c r="J251" s="27"/>
      <c r="K251" s="17"/>
      <c r="L251" s="6"/>
      <c r="M251" s="21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D251" s="6">
        <f>IF((D250&lt;&gt;"")*(D254=""),IF((D250&lt;=$B$441)*((D251&gt;=$C$441)+(D251&lt;2/24)),1,0),0)</f>
        <v>0</v>
      </c>
      <c r="AE251" s="6">
        <f>IF((E250&lt;&gt;"")*(E254=""),IF((E250&lt;=$B$441)*((E251&gt;=$C$441)+(E251&lt;2/24)),1,0),0)</f>
        <v>0</v>
      </c>
      <c r="AF251" s="6">
        <f>IF((F250&lt;&gt;"")*(F254=""),IF((F250&lt;=$B$441)*((F251&gt;=$C$441)+(F251&lt;2/24)),1,0),0)</f>
        <v>0</v>
      </c>
      <c r="AG251" s="6">
        <f>IF((G250&lt;&gt;"")*(G254=""),IF((G250&lt;=$B$441)*((G251&gt;=$C$441)+(G251&lt;2/24)),1,0),0)</f>
        <v>0</v>
      </c>
      <c r="AH251" s="6">
        <f>IF((H250&lt;&gt;"")*(H254=""),IF((H250&lt;=$B$441)*((H251&gt;=$C$441)+(H251&lt;2/24)),1,0),0)</f>
        <v>0</v>
      </c>
      <c r="AI251" s="6">
        <f>IF((I250&lt;&gt;"")*(I254=""),IF((I250&lt;=$B$441)*((I251&gt;=$C$441)+(I251&lt;2/24)),1,0),0)</f>
        <v>0</v>
      </c>
      <c r="AJ251" s="6">
        <f>IF((J250&lt;&gt;"")*(J254=""),IF((J250&lt;=$B$441)*((J251&gt;=$C$441)+(J251&lt;2/24)),1,0),0)</f>
        <v>0</v>
      </c>
    </row>
    <row r="252" spans="1:36" x14ac:dyDescent="0.2">
      <c r="A252" s="39"/>
      <c r="B252" s="40"/>
      <c r="C252" s="15" t="s">
        <v>2</v>
      </c>
      <c r="D252" s="4"/>
      <c r="E252" s="4"/>
      <c r="F252" s="4"/>
      <c r="G252" s="4"/>
      <c r="H252" s="4"/>
      <c r="I252" s="4"/>
      <c r="J252" s="4"/>
      <c r="K252" s="17"/>
      <c r="L252" s="6"/>
      <c r="M252" s="21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D252" s="6">
        <f>IF((D250&lt;&gt;"")*(D254=""),IF((D250&lt;=$B$442)*((D251&gt;=$C$442)+(D251&lt;2/24)),1,0),0)</f>
        <v>0</v>
      </c>
      <c r="AE252" s="6">
        <f>IF((E250&lt;&gt;"")*(E254=""),IF((E250&lt;=$B$442)*((E251&gt;=$C$442)+(E251&lt;2/24)),1,0),0)</f>
        <v>0</v>
      </c>
      <c r="AF252" s="6">
        <f>IF((F250&lt;&gt;"")*(F254=""),IF((F250&lt;=$B$442)*((F251&gt;=$C$442)+(F251&lt;2/24)),1,0),0)</f>
        <v>0</v>
      </c>
      <c r="AG252" s="6">
        <f>IF((G250&lt;&gt;"")*(G254=""),IF((G250&lt;=$B$442)*((G251&gt;=$C$442)+(G251&lt;2/24)),1,0),0)</f>
        <v>0</v>
      </c>
      <c r="AH252" s="6">
        <f>IF((H250&lt;&gt;"")*(H254=""),IF((H250&lt;=$B$442)*((H251&gt;=$C$442)+(H251&lt;2/24)),1,0),0)</f>
        <v>0</v>
      </c>
      <c r="AI252" s="6">
        <f>IF((I250&lt;&gt;"")*(I254=""),IF((I250&lt;=$B$442)*((I251&gt;=$C$442)+(I251&lt;2/24)),1,0),0)</f>
        <v>0</v>
      </c>
      <c r="AJ252" s="6">
        <f>IF((J250&lt;&gt;"")*(J254=""),IF((J250&lt;=$B$442)*((J251&gt;=$C$442)+(J251&lt;2/24)),1,0),0)</f>
        <v>0</v>
      </c>
    </row>
    <row r="253" spans="1:36" x14ac:dyDescent="0.2">
      <c r="A253" s="39"/>
      <c r="B253" s="40"/>
      <c r="C253" s="15" t="s">
        <v>3</v>
      </c>
      <c r="D253" s="19"/>
      <c r="E253" s="43"/>
      <c r="F253" s="55"/>
      <c r="G253" s="43"/>
      <c r="H253" s="43"/>
      <c r="I253" s="43"/>
      <c r="J253" s="44"/>
      <c r="K253" s="18">
        <f>SUMIF(D254:J254,"",D253:J253)</f>
        <v>0</v>
      </c>
      <c r="L253" s="12">
        <f>SUM(D253:J253)</f>
        <v>0</v>
      </c>
      <c r="M253" s="24"/>
      <c r="N253" s="10">
        <f t="shared" ref="N253" si="106">IF(D254="",D253,0)</f>
        <v>0</v>
      </c>
      <c r="O253" s="10">
        <f t="shared" ref="O253" si="107">IF(E254="",E253,0)</f>
        <v>0</v>
      </c>
      <c r="P253" s="10">
        <f t="shared" ref="P253" si="108">IF(F254="",F253,0)</f>
        <v>0</v>
      </c>
      <c r="Q253" s="10">
        <f t="shared" ref="Q253" si="109">IF(G254="",G253,0)</f>
        <v>0</v>
      </c>
      <c r="R253" s="10">
        <f t="shared" ref="R253" si="110">IF(H254="",H253,0)</f>
        <v>0</v>
      </c>
      <c r="S253" s="10">
        <f t="shared" ref="S253" si="111">IF(I254="",I253,0)</f>
        <v>0</v>
      </c>
      <c r="T253" s="10">
        <f t="shared" ref="T253" si="112">IF(J254="",J253,0)</f>
        <v>0</v>
      </c>
      <c r="U253" s="10"/>
      <c r="V253" s="10">
        <f t="shared" ref="V253" si="113">D253</f>
        <v>0</v>
      </c>
      <c r="W253" s="10">
        <f t="shared" ref="W253" si="114">E253</f>
        <v>0</v>
      </c>
      <c r="X253" s="10">
        <f t="shared" ref="X253" si="115">F253</f>
        <v>0</v>
      </c>
      <c r="Y253" s="10">
        <f t="shared" ref="Y253" si="116">G253</f>
        <v>0</v>
      </c>
      <c r="Z253" s="10">
        <f t="shared" ref="Z253" si="117">H253</f>
        <v>0</v>
      </c>
      <c r="AA253" s="10">
        <f t="shared" ref="AA253" si="118">I253</f>
        <v>0</v>
      </c>
      <c r="AB253" s="10">
        <f t="shared" ref="AB253" si="119">J253</f>
        <v>0</v>
      </c>
      <c r="AD253" s="6">
        <f>IF((D250&lt;&gt;"")*(D254=""),IF((D250&lt;=$B$443)*((D251&gt;=$C$443)+(D251&lt;2/24)),1,0),0)</f>
        <v>0</v>
      </c>
      <c r="AE253" s="6">
        <f>IF((E250&lt;&gt;"")*(E254=""),IF((E250&lt;=$B$443)*((E251&gt;=$C$443)+(E251&lt;2/24)),1,0),0)</f>
        <v>0</v>
      </c>
      <c r="AF253" s="6">
        <f>IF((F250&lt;&gt;"")*(F254=""),IF((F250&lt;=$B$443)*((F251&gt;=$C$443)+(F251&lt;2/24)),1,0),0)</f>
        <v>0</v>
      </c>
      <c r="AG253" s="6">
        <f>IF((G250&lt;&gt;"")*(G254=""),IF((G250&lt;=$B$443)*((G251&gt;=$C$443)+(G251&lt;2/24)),1,0),0)</f>
        <v>0</v>
      </c>
      <c r="AH253" s="6">
        <f>IF((H250&lt;&gt;"")*(H254=""),IF((H250&lt;=$B$443)*((H251&gt;=$C$443)+(H251&lt;2/24)),1,0),0)</f>
        <v>0</v>
      </c>
      <c r="AI253" s="6">
        <f>IF((I250&lt;&gt;"")*(I254=""),IF((I250&lt;=$B$443)*((I251&gt;=$C$443)+(I251&lt;2/24)),1,0),0)</f>
        <v>0</v>
      </c>
      <c r="AJ253" s="6">
        <f>IF((J250&lt;&gt;"")*(J254=""),IF((J250&lt;=$B$443)*((J251&gt;=$C$443)+(J251&lt;2/24)),1,0),0)</f>
        <v>0</v>
      </c>
    </row>
    <row r="254" spans="1:36" x14ac:dyDescent="0.2">
      <c r="A254" s="39"/>
      <c r="B254" s="40"/>
      <c r="C254" s="32" t="s">
        <v>4</v>
      </c>
      <c r="D254" s="56"/>
      <c r="E254" s="33"/>
      <c r="F254" s="33"/>
      <c r="G254" s="33"/>
      <c r="H254" s="33"/>
      <c r="I254" s="33"/>
      <c r="J254" s="33"/>
      <c r="K254" s="17"/>
      <c r="L254" s="6"/>
      <c r="M254" s="25"/>
      <c r="N254" s="6"/>
      <c r="O254" s="6"/>
      <c r="P254" s="6"/>
      <c r="Q254" s="6"/>
      <c r="R254" s="6"/>
      <c r="S254" s="6"/>
      <c r="T254" s="6"/>
      <c r="U254" s="6"/>
      <c r="V254" s="20"/>
      <c r="W254" s="20"/>
      <c r="X254" s="20"/>
      <c r="Y254" s="20"/>
      <c r="Z254" s="20"/>
      <c r="AA254" s="20"/>
      <c r="AB254" s="20"/>
      <c r="AD254" s="6">
        <f>IF((D250&lt;&gt;"")*(D254=""),IF((D250&lt;=$B$444)*((D251&gt;=$C$444)+(D251&lt;2/24)),1,0),0)</f>
        <v>0</v>
      </c>
      <c r="AE254" s="6">
        <f>IF((E250&lt;&gt;"")*(E254=""),IF((E250&lt;=$B$444)*((E251&gt;=$C$444)+(E251&lt;2/24)),1,0),0)</f>
        <v>0</v>
      </c>
      <c r="AF254" s="6">
        <f>IF((F250&lt;&gt;"")*(F254=""),IF((F250&lt;=$B$444)*((F251&gt;=$C$444)+(F251&lt;2/24)),1,0),0)</f>
        <v>0</v>
      </c>
      <c r="AG254" s="6">
        <f>IF((G250&lt;&gt;"")*(G254=""),IF((G250&lt;=$B$444)*((G251&gt;=$C$444)+(G251&lt;2/24)),1,0),0)</f>
        <v>0</v>
      </c>
      <c r="AH254" s="6">
        <f>IF((H250&lt;&gt;"")*(H254=""),IF((H250&lt;=$B$444)*((H251&gt;=$C$444)+(H251&lt;2/24)),1,0),0)</f>
        <v>0</v>
      </c>
      <c r="AI254" s="6">
        <f>IF((I250&lt;&gt;"")*(I254=""),IF((I250&lt;=$B$444)*((I251&gt;=$C$444)+(I251&lt;2/24)),1,0),0)</f>
        <v>0</v>
      </c>
      <c r="AJ254" s="6">
        <f>IF((J250&lt;&gt;"")*(J254=""),IF((J250&lt;=$B$444)*((J251&gt;=$C$444)+(J251&lt;2/24)),1,0),0)</f>
        <v>0</v>
      </c>
    </row>
    <row r="255" spans="1:36" ht="13.5" thickBot="1" x14ac:dyDescent="0.25">
      <c r="A255" s="41"/>
      <c r="B255" s="42"/>
      <c r="C255" s="35" t="s">
        <v>28</v>
      </c>
      <c r="D255" s="36"/>
      <c r="E255" s="36"/>
      <c r="F255" s="36"/>
      <c r="G255" s="36"/>
      <c r="H255" s="36"/>
      <c r="I255" s="36"/>
      <c r="J255" s="36"/>
      <c r="K255" s="34"/>
      <c r="L255" s="6"/>
      <c r="M255" s="25"/>
      <c r="N255" s="6"/>
      <c r="O255" s="6"/>
      <c r="P255" s="6"/>
      <c r="Q255" s="6"/>
      <c r="R255" s="6"/>
      <c r="S255" s="6"/>
      <c r="T255" s="6"/>
      <c r="U255" s="6"/>
      <c r="V255" s="20"/>
      <c r="W255" s="20"/>
      <c r="X255" s="20"/>
      <c r="Y255" s="20"/>
      <c r="Z255" s="20"/>
      <c r="AA255" s="20"/>
      <c r="AB255" s="20"/>
      <c r="AD255" s="6"/>
      <c r="AE255" s="6"/>
      <c r="AF255" s="6"/>
      <c r="AG255" s="6"/>
      <c r="AH255" s="6"/>
      <c r="AI255" s="6"/>
      <c r="AJ255" s="6"/>
    </row>
    <row r="256" spans="1:36" x14ac:dyDescent="0.2">
      <c r="A256" s="37" t="s">
        <v>79</v>
      </c>
      <c r="B256" s="38" t="s">
        <v>55</v>
      </c>
      <c r="C256" s="14" t="s">
        <v>0</v>
      </c>
      <c r="D256" s="45"/>
      <c r="E256" s="26"/>
      <c r="F256" s="45"/>
      <c r="G256" s="26"/>
      <c r="H256" s="26"/>
      <c r="I256" s="26"/>
      <c r="J256" s="26"/>
      <c r="K256" s="16"/>
      <c r="L256" s="6"/>
      <c r="M256" s="21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D256" s="6">
        <f>IF((D256&lt;&gt;"")*(D260=""),IF((D256&lt;=$B$440)*((D257&gt;=$C$440)+(D257&lt;2/24)),1,0),0)</f>
        <v>0</v>
      </c>
      <c r="AE256" s="6">
        <f>IF((E256&lt;&gt;"")*(E260=""),IF((E256&lt;=$B$440)*((E257&gt;=$C$440)+(E257&lt;2/24)),1,0),0)</f>
        <v>0</v>
      </c>
      <c r="AF256" s="6">
        <f>IF((F256&lt;&gt;"")*(F260=""),IF((F256&lt;=$B$440)*((F257&gt;=$C$440)+(F257&lt;2/24)),1,0),0)</f>
        <v>0</v>
      </c>
      <c r="AG256" s="6">
        <f>IF((G256&lt;&gt;"")*(G260=""),IF((G256&lt;=$B$440)*((G257&gt;=$C$440)+(G257&lt;2/24)),1,0),0)</f>
        <v>0</v>
      </c>
      <c r="AH256" s="6">
        <f>IF((H256&lt;&gt;"")*(H260=""),IF((H256&lt;=$B$440)*((H257&gt;=$C$440)+(H257&lt;2/24)),1,0),0)</f>
        <v>0</v>
      </c>
      <c r="AI256" s="6">
        <f>IF((I256&lt;&gt;"")*(I260=""),IF((I256&lt;=$B$440)*((I257&gt;=$C$440)+(I257&lt;2/24)),1,0),0)</f>
        <v>0</v>
      </c>
      <c r="AJ256" s="6">
        <f>IF((J256&lt;&gt;"")*(J260=""),IF((J256&lt;=$B$440)*((J257&gt;=$C$440)+(J257&lt;2/24)),1,0),0)</f>
        <v>0</v>
      </c>
    </row>
    <row r="257" spans="1:36" x14ac:dyDescent="0.2">
      <c r="A257" s="39"/>
      <c r="B257" s="40"/>
      <c r="C257" s="15" t="s">
        <v>1</v>
      </c>
      <c r="D257" s="3"/>
      <c r="E257" s="27"/>
      <c r="F257" s="3"/>
      <c r="G257" s="27"/>
      <c r="H257" s="27"/>
      <c r="I257" s="27"/>
      <c r="J257" s="27"/>
      <c r="K257" s="17"/>
      <c r="L257" s="6"/>
      <c r="M257" s="21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D257" s="6">
        <f>IF((D256&lt;&gt;"")*(D260=""),IF((D256&lt;=$B$441)*((D257&gt;=$C$441)+(D257&lt;2/24)),1,0),0)</f>
        <v>0</v>
      </c>
      <c r="AE257" s="6">
        <f>IF((E256&lt;&gt;"")*(E260=""),IF((E256&lt;=$B$441)*((E257&gt;=$C$441)+(E257&lt;2/24)),1,0),0)</f>
        <v>0</v>
      </c>
      <c r="AF257" s="6">
        <f>IF((F256&lt;&gt;"")*(F260=""),IF((F256&lt;=$B$441)*((F257&gt;=$C$441)+(F257&lt;2/24)),1,0),0)</f>
        <v>0</v>
      </c>
      <c r="AG257" s="6">
        <f>IF((G256&lt;&gt;"")*(G260=""),IF((G256&lt;=$B$441)*((G257&gt;=$C$441)+(G257&lt;2/24)),1,0),0)</f>
        <v>0</v>
      </c>
      <c r="AH257" s="6">
        <f>IF((H256&lt;&gt;"")*(H260=""),IF((H256&lt;=$B$441)*((H257&gt;=$C$441)+(H257&lt;2/24)),1,0),0)</f>
        <v>0</v>
      </c>
      <c r="AI257" s="6">
        <f>IF((I256&lt;&gt;"")*(I260=""),IF((I256&lt;=$B$441)*((I257&gt;=$C$441)+(I257&lt;2/24)),1,0),0)</f>
        <v>0</v>
      </c>
      <c r="AJ257" s="6">
        <f>IF((J256&lt;&gt;"")*(J260=""),IF((J256&lt;=$B$441)*((J257&gt;=$C$441)+(J257&lt;2/24)),1,0),0)</f>
        <v>0</v>
      </c>
    </row>
    <row r="258" spans="1:36" x14ac:dyDescent="0.2">
      <c r="A258" s="39"/>
      <c r="B258" s="40"/>
      <c r="C258" s="15" t="s">
        <v>2</v>
      </c>
      <c r="D258" s="4"/>
      <c r="E258" s="4"/>
      <c r="F258" s="4"/>
      <c r="G258" s="4"/>
      <c r="H258" s="4"/>
      <c r="I258" s="4"/>
      <c r="J258" s="4"/>
      <c r="K258" s="17"/>
      <c r="L258" s="6"/>
      <c r="M258" s="21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D258" s="6">
        <f>IF((D256&lt;&gt;"")*(D260=""),IF((D256&lt;=$B$442)*((D257&gt;=$C$442)+(D257&lt;2/24)),1,0),0)</f>
        <v>0</v>
      </c>
      <c r="AE258" s="6">
        <f>IF((E256&lt;&gt;"")*(E260=""),IF((E256&lt;=$B$442)*((E257&gt;=$C$442)+(E257&lt;2/24)),1,0),0)</f>
        <v>0</v>
      </c>
      <c r="AF258" s="6">
        <f>IF((F256&lt;&gt;"")*(F260=""),IF((F256&lt;=$B$442)*((F257&gt;=$C$442)+(F257&lt;2/24)),1,0),0)</f>
        <v>0</v>
      </c>
      <c r="AG258" s="6">
        <f>IF((G256&lt;&gt;"")*(G260=""),IF((G256&lt;=$B$442)*((G257&gt;=$C$442)+(G257&lt;2/24)),1,0),0)</f>
        <v>0</v>
      </c>
      <c r="AH258" s="6">
        <f>IF((H256&lt;&gt;"")*(H260=""),IF((H256&lt;=$B$442)*((H257&gt;=$C$442)+(H257&lt;2/24)),1,0),0)</f>
        <v>0</v>
      </c>
      <c r="AI258" s="6">
        <f>IF((I256&lt;&gt;"")*(I260=""),IF((I256&lt;=$B$442)*((I257&gt;=$C$442)+(I257&lt;2/24)),1,0),0)</f>
        <v>0</v>
      </c>
      <c r="AJ258" s="6">
        <f>IF((J256&lt;&gt;"")*(J260=""),IF((J256&lt;=$B$442)*((J257&gt;=$C$442)+(J257&lt;2/24)),1,0),0)</f>
        <v>0</v>
      </c>
    </row>
    <row r="259" spans="1:36" x14ac:dyDescent="0.2">
      <c r="A259" s="39"/>
      <c r="B259" s="40"/>
      <c r="C259" s="15" t="s">
        <v>3</v>
      </c>
      <c r="D259" s="19"/>
      <c r="E259" s="43"/>
      <c r="F259" s="55"/>
      <c r="G259" s="43"/>
      <c r="H259" s="43"/>
      <c r="I259" s="43"/>
      <c r="J259" s="44"/>
      <c r="K259" s="18">
        <f>SUMIF(D260:J260,"",D259:J259)</f>
        <v>0</v>
      </c>
      <c r="L259" s="12">
        <f>SUM(D259:J259)</f>
        <v>0</v>
      </c>
      <c r="M259" s="24"/>
      <c r="N259" s="10">
        <f t="shared" ref="N259:T259" si="120">IF(D260="",D259,0)</f>
        <v>0</v>
      </c>
      <c r="O259" s="10">
        <f t="shared" si="120"/>
        <v>0</v>
      </c>
      <c r="P259" s="10">
        <f t="shared" si="120"/>
        <v>0</v>
      </c>
      <c r="Q259" s="10">
        <f t="shared" si="120"/>
        <v>0</v>
      </c>
      <c r="R259" s="10">
        <f t="shared" si="120"/>
        <v>0</v>
      </c>
      <c r="S259" s="10">
        <f t="shared" si="120"/>
        <v>0</v>
      </c>
      <c r="T259" s="10">
        <f t="shared" si="120"/>
        <v>0</v>
      </c>
      <c r="U259" s="10"/>
      <c r="V259" s="10">
        <f t="shared" ref="V259:AB259" si="121">D259</f>
        <v>0</v>
      </c>
      <c r="W259" s="10">
        <f t="shared" si="121"/>
        <v>0</v>
      </c>
      <c r="X259" s="10">
        <f t="shared" si="121"/>
        <v>0</v>
      </c>
      <c r="Y259" s="10">
        <f t="shared" si="121"/>
        <v>0</v>
      </c>
      <c r="Z259" s="10">
        <f t="shared" si="121"/>
        <v>0</v>
      </c>
      <c r="AA259" s="10">
        <f t="shared" si="121"/>
        <v>0</v>
      </c>
      <c r="AB259" s="10">
        <f t="shared" si="121"/>
        <v>0</v>
      </c>
      <c r="AD259" s="6">
        <f>IF((D256&lt;&gt;"")*(D260=""),IF((D256&lt;=$B$443)*((D257&gt;=$C$443)+(D257&lt;2/24)),1,0),0)</f>
        <v>0</v>
      </c>
      <c r="AE259" s="6">
        <f>IF((E256&lt;&gt;"")*(E260=""),IF((E256&lt;=$B$443)*((E257&gt;=$C$443)+(E257&lt;2/24)),1,0),0)</f>
        <v>0</v>
      </c>
      <c r="AF259" s="6">
        <f>IF((F256&lt;&gt;"")*(F260=""),IF((F256&lt;=$B$443)*((F257&gt;=$C$443)+(F257&lt;2/24)),1,0),0)</f>
        <v>0</v>
      </c>
      <c r="AG259" s="6">
        <f>IF((G256&lt;&gt;"")*(G260=""),IF((G256&lt;=$B$443)*((G257&gt;=$C$443)+(G257&lt;2/24)),1,0),0)</f>
        <v>0</v>
      </c>
      <c r="AH259" s="6">
        <f>IF((H256&lt;&gt;"")*(H260=""),IF((H256&lt;=$B$443)*((H257&gt;=$C$443)+(H257&lt;2/24)),1,0),0)</f>
        <v>0</v>
      </c>
      <c r="AI259" s="6">
        <f>IF((I256&lt;&gt;"")*(I260=""),IF((I256&lt;=$B$443)*((I257&gt;=$C$443)+(I257&lt;2/24)),1,0),0)</f>
        <v>0</v>
      </c>
      <c r="AJ259" s="6">
        <f>IF((J256&lt;&gt;"")*(J260=""),IF((J256&lt;=$B$443)*((J257&gt;=$C$443)+(J257&lt;2/24)),1,0),0)</f>
        <v>0</v>
      </c>
    </row>
    <row r="260" spans="1:36" x14ac:dyDescent="0.2">
      <c r="A260" s="39"/>
      <c r="B260" s="40"/>
      <c r="C260" s="32" t="s">
        <v>4</v>
      </c>
      <c r="D260" s="56"/>
      <c r="E260" s="33"/>
      <c r="F260" s="33"/>
      <c r="G260" s="33"/>
      <c r="H260" s="33"/>
      <c r="I260" s="33"/>
      <c r="J260" s="33"/>
      <c r="K260" s="17"/>
      <c r="L260" s="6"/>
      <c r="M260" s="25"/>
      <c r="N260" s="6"/>
      <c r="O260" s="6"/>
      <c r="P260" s="6"/>
      <c r="Q260" s="6"/>
      <c r="R260" s="6"/>
      <c r="S260" s="6"/>
      <c r="T260" s="6"/>
      <c r="U260" s="6"/>
      <c r="V260" s="20"/>
      <c r="W260" s="20"/>
      <c r="X260" s="20"/>
      <c r="Y260" s="20"/>
      <c r="Z260" s="20"/>
      <c r="AA260" s="20"/>
      <c r="AB260" s="20"/>
      <c r="AD260" s="6">
        <f>IF((D256&lt;&gt;"")*(D260=""),IF((D256&lt;=$B$444)*((D257&gt;=$C$444)+(D257&lt;2/24)),1,0),0)</f>
        <v>0</v>
      </c>
      <c r="AE260" s="6">
        <f>IF((E256&lt;&gt;"")*(E260=""),IF((E256&lt;=$B$444)*((E257&gt;=$C$444)+(E257&lt;2/24)),1,0),0)</f>
        <v>0</v>
      </c>
      <c r="AF260" s="6">
        <f>IF((F256&lt;&gt;"")*(F260=""),IF((F256&lt;=$B$444)*((F257&gt;=$C$444)+(F257&lt;2/24)),1,0),0)</f>
        <v>0</v>
      </c>
      <c r="AG260" s="6">
        <f>IF((G256&lt;&gt;"")*(G260=""),IF((G256&lt;=$B$444)*((G257&gt;=$C$444)+(G257&lt;2/24)),1,0),0)</f>
        <v>0</v>
      </c>
      <c r="AH260" s="6">
        <f>IF((H256&lt;&gt;"")*(H260=""),IF((H256&lt;=$B$444)*((H257&gt;=$C$444)+(H257&lt;2/24)),1,0),0)</f>
        <v>0</v>
      </c>
      <c r="AI260" s="6">
        <f>IF((I256&lt;&gt;"")*(I260=""),IF((I256&lt;=$B$444)*((I257&gt;=$C$444)+(I257&lt;2/24)),1,0),0)</f>
        <v>0</v>
      </c>
      <c r="AJ260" s="6">
        <f>IF((J256&lt;&gt;"")*(J260=""),IF((J256&lt;=$B$444)*((J257&gt;=$C$444)+(J257&lt;2/24)),1,0),0)</f>
        <v>0</v>
      </c>
    </row>
    <row r="261" spans="1:36" ht="13.5" thickBot="1" x14ac:dyDescent="0.25">
      <c r="A261" s="41"/>
      <c r="B261" s="42"/>
      <c r="C261" s="35" t="s">
        <v>28</v>
      </c>
      <c r="D261" s="36"/>
      <c r="E261" s="36"/>
      <c r="F261" s="36"/>
      <c r="G261" s="36"/>
      <c r="H261" s="36"/>
      <c r="I261" s="36"/>
      <c r="J261" s="36"/>
      <c r="K261" s="34"/>
      <c r="L261" s="6"/>
      <c r="M261" s="25"/>
      <c r="N261" s="6"/>
      <c r="O261" s="6"/>
      <c r="P261" s="6"/>
      <c r="Q261" s="6"/>
      <c r="R261" s="6"/>
      <c r="S261" s="6"/>
      <c r="T261" s="6"/>
      <c r="U261" s="6"/>
      <c r="V261" s="20"/>
      <c r="W261" s="20"/>
      <c r="X261" s="20"/>
      <c r="Y261" s="20"/>
      <c r="Z261" s="20"/>
      <c r="AA261" s="20"/>
      <c r="AB261" s="20"/>
      <c r="AD261" s="6"/>
      <c r="AE261" s="6"/>
      <c r="AF261" s="6"/>
      <c r="AG261" s="6"/>
      <c r="AH261" s="6"/>
      <c r="AI261" s="6"/>
      <c r="AJ261" s="6"/>
    </row>
    <row r="262" spans="1:36" x14ac:dyDescent="0.2">
      <c r="A262" s="37" t="s">
        <v>80</v>
      </c>
      <c r="B262" s="38" t="s">
        <v>81</v>
      </c>
      <c r="C262" s="14" t="s">
        <v>0</v>
      </c>
      <c r="D262" s="26"/>
      <c r="E262" s="26"/>
      <c r="F262" s="26"/>
      <c r="G262" s="26"/>
      <c r="H262" s="26">
        <v>0.77083333333333337</v>
      </c>
      <c r="I262" s="26">
        <v>0.54166666666666663</v>
      </c>
      <c r="J262" s="26">
        <v>0.54166666666666663</v>
      </c>
      <c r="K262" s="16"/>
      <c r="L262" s="6"/>
      <c r="M262" s="21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D262" s="6">
        <f>IF((D262&lt;&gt;"")*(D266=""),IF((D262&lt;=$B$434)*((D263&gt;=$C$434)+(D263&lt;2/24)),1,0),0)</f>
        <v>0</v>
      </c>
      <c r="AE262" s="6">
        <f>IF((E262&lt;&gt;"")*(E266=""),IF((E262&lt;=$B$434)*((E263&gt;=$C$434)+(E263&lt;2/24)),1,0),0)</f>
        <v>0</v>
      </c>
      <c r="AF262" s="6">
        <f>IF((F262&lt;&gt;"")*(F266=""),IF((F262&lt;=$B$434)*((F263&gt;=$C$434)+(F263&lt;2/24)),1,0),0)</f>
        <v>0</v>
      </c>
      <c r="AG262" s="6">
        <f>IF((G262&lt;&gt;"")*(G266=""),IF((G262&lt;=$B$434)*((G263&gt;=$C$434)+(G263&lt;2/24)),1,0),0)</f>
        <v>0</v>
      </c>
      <c r="AH262" s="6">
        <f>IF((H262&lt;&gt;"")*(H266=""),IF((H262&lt;=$B$434)*((H263&gt;=$C$434)+(H263&lt;2/24)),1,0),0)</f>
        <v>0</v>
      </c>
      <c r="AI262" s="6">
        <f>IF((I262&lt;&gt;"")*(I266=""),IF((I262&lt;=$B$434)*((I263&gt;=$C$434)+(I263&lt;2/24)),1,0),0)</f>
        <v>0</v>
      </c>
      <c r="AJ262" s="6">
        <f>IF((J262&lt;&gt;"")*(J266=""),IF((J262&lt;=$B$434)*((J263&gt;=$C$434)+(J263&lt;2/24)),1,0),0)</f>
        <v>0</v>
      </c>
    </row>
    <row r="263" spans="1:36" x14ac:dyDescent="0.2">
      <c r="A263" s="39"/>
      <c r="B263" s="40"/>
      <c r="C263" s="15" t="s">
        <v>1</v>
      </c>
      <c r="D263" s="27"/>
      <c r="E263" s="27"/>
      <c r="F263" s="27"/>
      <c r="G263" s="27"/>
      <c r="H263" s="27">
        <v>0.95833333333333337</v>
      </c>
      <c r="I263" s="27">
        <v>0.75</v>
      </c>
      <c r="J263" s="27">
        <v>0.75</v>
      </c>
      <c r="K263" s="17"/>
      <c r="L263" s="6"/>
      <c r="M263" s="21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D263" s="6">
        <f>IF((D262&lt;&gt;"")*(D266=""),IF((D262&lt;=$B$435)*((D263&gt;=$C$435)+(D263&lt;2/24)),1,0),0)</f>
        <v>0</v>
      </c>
      <c r="AE263" s="6">
        <f>IF((E262&lt;&gt;"")*(E266=""),IF((E262&lt;=$B$435)*((E263&gt;=$C$435)+(E263&lt;2/24)),1,0),0)</f>
        <v>0</v>
      </c>
      <c r="AF263" s="6">
        <f>IF((F262&lt;&gt;"")*(F266=""),IF((F262&lt;=$B$435)*((F263&gt;=$C$435)+(F263&lt;2/24)),1,0),0)</f>
        <v>0</v>
      </c>
      <c r="AG263" s="6">
        <f>IF((G262&lt;&gt;"")*(G266=""),IF((G262&lt;=$B$435)*((G263&gt;=$C$435)+(G263&lt;2/24)),1,0),0)</f>
        <v>0</v>
      </c>
      <c r="AH263" s="6">
        <f>IF((H262&lt;&gt;"")*(H266=""),IF((H262&lt;=$B$435)*((H263&gt;=$C$435)+(H263&lt;2/24)),1,0),0)</f>
        <v>0</v>
      </c>
      <c r="AI263" s="6">
        <f>IF((I262&lt;&gt;"")*(I266=""),IF((I262&lt;=$B$435)*((I263&gt;=$C$435)+(I263&lt;2/24)),1,0),0)</f>
        <v>0</v>
      </c>
      <c r="AJ263" s="6">
        <f>IF((J262&lt;&gt;"")*(J266=""),IF((J262&lt;=$B$435)*((J263&gt;=$C$435)+(J263&lt;2/24)),1,0),0)</f>
        <v>0</v>
      </c>
    </row>
    <row r="264" spans="1:36" x14ac:dyDescent="0.2">
      <c r="A264" s="39"/>
      <c r="B264" s="40"/>
      <c r="C264" s="15" t="s">
        <v>2</v>
      </c>
      <c r="D264" s="4"/>
      <c r="E264" s="4"/>
      <c r="F264" s="4"/>
      <c r="G264" s="4"/>
      <c r="H264" s="4"/>
      <c r="I264" s="4"/>
      <c r="J264" s="4"/>
      <c r="K264" s="17"/>
      <c r="L264" s="6"/>
      <c r="M264" s="21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D264" s="6">
        <f>IF((D262&lt;&gt;"")*(D266=""),IF((D262&lt;=$B$436)*((D263&gt;=$C$436)+(D263&lt;2/24)),1,0),0)</f>
        <v>0</v>
      </c>
      <c r="AE264" s="6">
        <f>IF((E262&lt;&gt;"")*(E266=""),IF((E262&lt;=$B$436)*((E263&gt;=$C$436)+(E263&lt;2/24)),1,0),0)</f>
        <v>0</v>
      </c>
      <c r="AF264" s="6">
        <f>IF((F262&lt;&gt;"")*(F266=""),IF((F262&lt;=$B$436)*((F263&gt;=$C$436)+(F263&lt;2/24)),1,0),0)</f>
        <v>0</v>
      </c>
      <c r="AG264" s="6">
        <f>IF((G262&lt;&gt;"")*(G266=""),IF((G262&lt;=$B$436)*((G263&gt;=$C$436)+(G263&lt;2/24)),1,0),0)</f>
        <v>0</v>
      </c>
      <c r="AH264" s="6">
        <f>IF((H262&lt;&gt;"")*(H266=""),IF((H262&lt;=$B$436)*((H263&gt;=$C$436)+(H263&lt;2/24)),1,0),0)</f>
        <v>0</v>
      </c>
      <c r="AI264" s="6">
        <f>IF((I262&lt;&gt;"")*(I266=""),IF((I262&lt;=$B$436)*((I263&gt;=$C$436)+(I263&lt;2/24)),1,0),0)</f>
        <v>0</v>
      </c>
      <c r="AJ264" s="6">
        <f>IF((J262&lt;&gt;"")*(J266=""),IF((J262&lt;=$B$436)*((J263&gt;=$C$436)+(J263&lt;2/24)),1,0),0)</f>
        <v>0</v>
      </c>
    </row>
    <row r="265" spans="1:36" x14ac:dyDescent="0.2">
      <c r="A265" s="39"/>
      <c r="B265" s="40"/>
      <c r="C265" s="15" t="s">
        <v>3</v>
      </c>
      <c r="D265" s="43" t="str">
        <f t="shared" ref="D265:H265" si="122">IF(D262="","",IF(D263&gt;D262,(D263-D262-D264)*24,(1-D262-D264+D263)*24))</f>
        <v/>
      </c>
      <c r="E265" s="43" t="str">
        <f t="shared" si="122"/>
        <v/>
      </c>
      <c r="F265" s="43" t="str">
        <f t="shared" si="122"/>
        <v/>
      </c>
      <c r="G265" s="43" t="str">
        <f t="shared" si="122"/>
        <v/>
      </c>
      <c r="H265" s="43">
        <f t="shared" si="122"/>
        <v>4.5</v>
      </c>
      <c r="I265" s="43">
        <v>5</v>
      </c>
      <c r="J265" s="44">
        <v>5</v>
      </c>
      <c r="K265" s="18">
        <f>SUMIF(D266:J266,"",D265:J265)</f>
        <v>14.5</v>
      </c>
      <c r="L265" s="12">
        <f>SUM(D265:J265)</f>
        <v>14.5</v>
      </c>
      <c r="M265" s="24"/>
      <c r="N265" s="10" t="str">
        <f t="shared" ref="N265" si="123">IF(D266="",D265,0)</f>
        <v/>
      </c>
      <c r="O265" s="10" t="str">
        <f t="shared" ref="O265" si="124">IF(E266="",E265,0)</f>
        <v/>
      </c>
      <c r="P265" s="10" t="str">
        <f t="shared" ref="P265" si="125">IF(F266="",F265,0)</f>
        <v/>
      </c>
      <c r="Q265" s="10" t="str">
        <f t="shared" ref="Q265" si="126">IF(G266="",G265,0)</f>
        <v/>
      </c>
      <c r="R265" s="10">
        <f t="shared" ref="R265" si="127">IF(H266="",H265,0)</f>
        <v>4.5</v>
      </c>
      <c r="S265" s="10">
        <f t="shared" ref="S265" si="128">IF(I266="",I265,0)</f>
        <v>5</v>
      </c>
      <c r="T265" s="10">
        <f t="shared" ref="T265" si="129">IF(J266="",J265,0)</f>
        <v>5</v>
      </c>
      <c r="U265" s="10"/>
      <c r="V265" s="10" t="str">
        <f t="shared" ref="V265" si="130">D265</f>
        <v/>
      </c>
      <c r="W265" s="10" t="str">
        <f t="shared" ref="W265" si="131">E265</f>
        <v/>
      </c>
      <c r="X265" s="10" t="str">
        <f t="shared" ref="X265" si="132">F265</f>
        <v/>
      </c>
      <c r="Y265" s="10" t="str">
        <f t="shared" ref="Y265" si="133">G265</f>
        <v/>
      </c>
      <c r="Z265" s="10">
        <f t="shared" ref="Z265" si="134">H265</f>
        <v>4.5</v>
      </c>
      <c r="AA265" s="10">
        <f t="shared" ref="AA265" si="135">I265</f>
        <v>5</v>
      </c>
      <c r="AB265" s="10">
        <f t="shared" ref="AB265" si="136">J265</f>
        <v>5</v>
      </c>
      <c r="AD265" s="6">
        <f>IF((D262&lt;&gt;"")*(D266=""),IF((D262&lt;=$B$437)*((D263&gt;=$C$437)+(D263&lt;2/24)),1,0),0)</f>
        <v>0</v>
      </c>
      <c r="AE265" s="6">
        <f>IF((E262&lt;&gt;"")*(E266=""),IF((E262&lt;=$B$437)*((E263&gt;=$C$437)+(E263&lt;2/24)),1,0),0)</f>
        <v>0</v>
      </c>
      <c r="AF265" s="6">
        <f>IF((F262&lt;&gt;"")*(F266=""),IF((F262&lt;=$B$437)*((F263&gt;=$C$437)+(F263&lt;2/24)),1,0),0)</f>
        <v>0</v>
      </c>
      <c r="AG265" s="6">
        <f>IF((G262&lt;&gt;"")*(G266=""),IF((G262&lt;=$B$437)*((G263&gt;=$C$437)+(G263&lt;2/24)),1,0),0)</f>
        <v>0</v>
      </c>
      <c r="AH265" s="6">
        <f>IF((H262&lt;&gt;"")*(H266=""),IF((H262&lt;=$B$437)*((H263&gt;=$C$437)+(H263&lt;2/24)),1,0),0)</f>
        <v>0</v>
      </c>
      <c r="AI265" s="6">
        <f>IF((I262&lt;&gt;"")*(I266=""),IF((I262&lt;=$B$437)*((I263&gt;=$C$437)+(I263&lt;2/24)),1,0),0)</f>
        <v>0</v>
      </c>
      <c r="AJ265" s="6">
        <f>IF((J262&lt;&gt;"")*(J266=""),IF((J262&lt;=$B$437)*((J263&gt;=$C$437)+(J263&lt;2/24)),1,0),0)</f>
        <v>0</v>
      </c>
    </row>
    <row r="266" spans="1:36" x14ac:dyDescent="0.2">
      <c r="A266" s="39"/>
      <c r="B266" s="40"/>
      <c r="C266" s="32" t="s">
        <v>4</v>
      </c>
      <c r="D266" s="33"/>
      <c r="E266" s="68"/>
      <c r="F266" s="33"/>
      <c r="G266" s="33"/>
      <c r="H266" s="33"/>
      <c r="I266" s="33"/>
      <c r="J266" s="33"/>
      <c r="K266" s="17"/>
      <c r="L266" s="6"/>
      <c r="M266" s="25"/>
      <c r="N266" s="6"/>
      <c r="O266" s="6"/>
      <c r="P266" s="6"/>
      <c r="Q266" s="6"/>
      <c r="R266" s="6"/>
      <c r="S266" s="6"/>
      <c r="T266" s="6"/>
      <c r="U266" s="6"/>
      <c r="V266" s="20"/>
      <c r="W266" s="20"/>
      <c r="X266" s="20"/>
      <c r="Y266" s="20"/>
      <c r="Z266" s="20"/>
      <c r="AA266" s="20"/>
      <c r="AB266" s="20"/>
      <c r="AD266" s="6">
        <f>IF((D262&lt;&gt;"")*(D266=""),IF((D262&lt;=$B$438)*((D263&gt;=$C$438)+(D263&lt;2/24)),1,0),0)</f>
        <v>0</v>
      </c>
      <c r="AE266" s="6">
        <f>IF((E262&lt;&gt;"")*(E266=""),IF((E262&lt;=$B$438)*((E263&gt;=$C$438)+(E263&lt;2/24)),1,0),0)</f>
        <v>0</v>
      </c>
      <c r="AF266" s="6">
        <f>IF((F262&lt;&gt;"")*(F266=""),IF((F262&lt;=$B$438)*((F263&gt;=$C$438)+(F263&lt;2/24)),1,0),0)</f>
        <v>0</v>
      </c>
      <c r="AG266" s="6">
        <f>IF((G262&lt;&gt;"")*(G266=""),IF((G262&lt;=$B$438)*((G263&gt;=$C$438)+(G263&lt;2/24)),1,0),0)</f>
        <v>0</v>
      </c>
      <c r="AH266" s="6">
        <f>IF((H262&lt;&gt;"")*(H266=""),IF((H262&lt;=$B$438)*((H263&gt;=$C$438)+(H263&lt;2/24)),1,0),0)</f>
        <v>0</v>
      </c>
      <c r="AI266" s="6">
        <f>IF((I262&lt;&gt;"")*(I266=""),IF((I262&lt;=$B$438)*((I263&gt;=$C$438)+(I263&lt;2/24)),1,0),0)</f>
        <v>0</v>
      </c>
      <c r="AJ266" s="6">
        <f>IF((J262&lt;&gt;"")*(J266=""),IF((J262&lt;=$B$438)*((J263&gt;=$C$438)+(J263&lt;2/24)),1,0),0)</f>
        <v>0</v>
      </c>
    </row>
    <row r="267" spans="1:36" ht="13.5" thickBot="1" x14ac:dyDescent="0.25">
      <c r="A267" s="41"/>
      <c r="B267" s="42"/>
      <c r="C267" s="35" t="s">
        <v>28</v>
      </c>
      <c r="D267" s="36"/>
      <c r="E267" s="36"/>
      <c r="F267" s="36"/>
      <c r="G267" s="36"/>
      <c r="H267" s="36"/>
      <c r="I267" s="36"/>
      <c r="J267" s="36"/>
      <c r="K267" s="34"/>
      <c r="L267" s="6"/>
      <c r="M267" s="25"/>
      <c r="N267" s="6"/>
      <c r="O267" s="6"/>
      <c r="P267" s="6"/>
      <c r="Q267" s="6"/>
      <c r="R267" s="6"/>
      <c r="S267" s="6"/>
      <c r="T267" s="6"/>
      <c r="U267" s="6"/>
      <c r="V267" s="20"/>
      <c r="W267" s="20"/>
      <c r="X267" s="20"/>
      <c r="Y267" s="20"/>
      <c r="Z267" s="20"/>
      <c r="AA267" s="20"/>
      <c r="AB267" s="20"/>
      <c r="AD267" s="6"/>
      <c r="AE267" s="6"/>
      <c r="AF267" s="6"/>
      <c r="AG267" s="6"/>
      <c r="AH267" s="6"/>
      <c r="AI267" s="6"/>
      <c r="AJ267" s="6"/>
    </row>
    <row r="268" spans="1:36" x14ac:dyDescent="0.2">
      <c r="A268" s="37" t="s">
        <v>53</v>
      </c>
      <c r="B268" s="38" t="s">
        <v>54</v>
      </c>
      <c r="C268" s="14" t="s">
        <v>0</v>
      </c>
      <c r="D268" s="26"/>
      <c r="E268" s="26"/>
      <c r="F268" s="26"/>
      <c r="G268" s="26"/>
      <c r="H268" s="26"/>
      <c r="I268" s="26"/>
      <c r="J268" s="26">
        <v>0.77083333333333337</v>
      </c>
      <c r="K268" s="16"/>
      <c r="L268" s="6"/>
      <c r="M268" s="21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D268" s="6">
        <f>IF((D268&lt;&gt;"")*(D272=""),IF((D268&lt;=#REF!)*((D269&gt;=#REF!)+(D269&lt;2/24)),1,0),0)</f>
        <v>0</v>
      </c>
      <c r="AE268" s="6">
        <f>IF((E268&lt;&gt;"")*(E272=""),IF((E268&lt;=#REF!)*((E269&gt;=#REF!)+(E269&lt;2/24)),1,0),0)</f>
        <v>0</v>
      </c>
      <c r="AF268" s="6">
        <f>IF((F268&lt;&gt;"")*(F272=""),IF((F268&lt;=#REF!)*((F269&gt;=#REF!)+(F269&lt;2/24)),1,0),0)</f>
        <v>0</v>
      </c>
      <c r="AG268" s="6">
        <f>IF((G268&lt;&gt;"")*(G272=""),IF((G268&lt;=#REF!)*((G269&gt;=#REF!)+(G269&lt;2/24)),1,0),0)</f>
        <v>0</v>
      </c>
      <c r="AH268" s="6">
        <f>IF((H268&lt;&gt;"")*(H272=""),IF((H268&lt;=#REF!)*((H269&gt;=#REF!)+(H269&lt;2/24)),1,0),0)</f>
        <v>0</v>
      </c>
      <c r="AI268" s="6">
        <f>IF((I268&lt;&gt;"")*(I272=""),IF((I268&lt;=#REF!)*((I269&gt;=#REF!)+(I269&lt;2/24)),1,0),0)</f>
        <v>0</v>
      </c>
      <c r="AJ268" s="6" t="e">
        <f>IF((J268&lt;&gt;"")*(J272=""),IF((J268&lt;=#REF!)*((J269&gt;=#REF!)+(J269&lt;2/24)),1,0),0)</f>
        <v>#REF!</v>
      </c>
    </row>
    <row r="269" spans="1:36" x14ac:dyDescent="0.2">
      <c r="A269" s="39"/>
      <c r="B269" s="40"/>
      <c r="C269" s="15" t="s">
        <v>1</v>
      </c>
      <c r="D269" s="27"/>
      <c r="E269" s="27"/>
      <c r="F269" s="27"/>
      <c r="G269" s="27"/>
      <c r="H269" s="27"/>
      <c r="I269" s="27"/>
      <c r="J269" s="27">
        <v>0.95833333333333337</v>
      </c>
      <c r="K269" s="17"/>
      <c r="L269" s="6"/>
      <c r="M269" s="21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D269" s="6">
        <f>IF((D268&lt;&gt;"")*(D272=""),IF((D268&lt;=#REF!)*((D269&gt;=#REF!)+(D269&lt;2/24)),1,0),0)</f>
        <v>0</v>
      </c>
      <c r="AE269" s="6">
        <f>IF((E268&lt;&gt;"")*(E272=""),IF((E268&lt;=#REF!)*((E269&gt;=#REF!)+(E269&lt;2/24)),1,0),0)</f>
        <v>0</v>
      </c>
      <c r="AF269" s="6">
        <f>IF((F268&lt;&gt;"")*(F272=""),IF((F268&lt;=#REF!)*((F269&gt;=#REF!)+(F269&lt;2/24)),1,0),0)</f>
        <v>0</v>
      </c>
      <c r="AG269" s="6">
        <f>IF((G268&lt;&gt;"")*(G272=""),IF((G268&lt;=#REF!)*((G269&gt;=#REF!)+(G269&lt;2/24)),1,0),0)</f>
        <v>0</v>
      </c>
      <c r="AH269" s="6">
        <f>IF((H268&lt;&gt;"")*(H272=""),IF((H268&lt;=#REF!)*((H269&gt;=#REF!)+(H269&lt;2/24)),1,0),0)</f>
        <v>0</v>
      </c>
      <c r="AI269" s="6">
        <f>IF((I268&lt;&gt;"")*(I272=""),IF((I268&lt;=#REF!)*((I269&gt;=#REF!)+(I269&lt;2/24)),1,0),0)</f>
        <v>0</v>
      </c>
      <c r="AJ269" s="6" t="e">
        <f>IF((J268&lt;&gt;"")*(J272=""),IF((J268&lt;=#REF!)*((J269&gt;=#REF!)+(J269&lt;2/24)),1,0),0)</f>
        <v>#REF!</v>
      </c>
    </row>
    <row r="270" spans="1:36" x14ac:dyDescent="0.2">
      <c r="A270" s="39"/>
      <c r="B270" s="40"/>
      <c r="C270" s="15" t="s">
        <v>2</v>
      </c>
      <c r="D270" s="4"/>
      <c r="E270" s="4"/>
      <c r="F270" s="4"/>
      <c r="G270" s="58"/>
      <c r="H270" s="4"/>
      <c r="I270" s="4"/>
      <c r="J270" s="4"/>
      <c r="K270" s="17"/>
      <c r="L270" s="6"/>
      <c r="M270" s="21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D270" s="6">
        <f>IF((D268&lt;&gt;"")*(D272=""),IF((D268&lt;=#REF!)*((D269&gt;=#REF!)+(D269&lt;2/24)),1,0),0)</f>
        <v>0</v>
      </c>
      <c r="AE270" s="6">
        <f>IF((E268&lt;&gt;"")*(E272=""),IF((E268&lt;=#REF!)*((E269&gt;=#REF!)+(E269&lt;2/24)),1,0),0)</f>
        <v>0</v>
      </c>
      <c r="AF270" s="6">
        <f>IF((F268&lt;&gt;"")*(F272=""),IF((F268&lt;=#REF!)*((F269&gt;=#REF!)+(F269&lt;2/24)),1,0),0)</f>
        <v>0</v>
      </c>
      <c r="AG270" s="6">
        <f>IF((G268&lt;&gt;"")*(G272=""),IF((G268&lt;=#REF!)*((G269&gt;=#REF!)+(G269&lt;2/24)),1,0),0)</f>
        <v>0</v>
      </c>
      <c r="AH270" s="6">
        <f>IF((H268&lt;&gt;"")*(H272=""),IF((H268&lt;=#REF!)*((H269&gt;=#REF!)+(H269&lt;2/24)),1,0),0)</f>
        <v>0</v>
      </c>
      <c r="AI270" s="6">
        <f>IF((I268&lt;&gt;"")*(I272=""),IF((I268&lt;=#REF!)*((I269&gt;=#REF!)+(I269&lt;2/24)),1,0),0)</f>
        <v>0</v>
      </c>
      <c r="AJ270" s="6" t="e">
        <f>IF((J268&lt;&gt;"")*(J272=""),IF((J268&lt;=#REF!)*((J269&gt;=#REF!)+(J269&lt;2/24)),1,0),0)</f>
        <v>#REF!</v>
      </c>
    </row>
    <row r="271" spans="1:36" x14ac:dyDescent="0.2">
      <c r="A271" s="39"/>
      <c r="B271" s="40"/>
      <c r="C271" s="15" t="s">
        <v>3</v>
      </c>
      <c r="D271" s="43" t="str">
        <f t="shared" ref="D271:J271" si="137">IF(D268="","",IF(D269&gt;D268,(D269-D268-D270)*24,(1-D268-D270+D269)*24))</f>
        <v/>
      </c>
      <c r="E271" s="43" t="str">
        <f t="shared" si="137"/>
        <v/>
      </c>
      <c r="F271" s="43" t="str">
        <f t="shared" si="137"/>
        <v/>
      </c>
      <c r="G271" s="55" t="str">
        <f t="shared" si="137"/>
        <v/>
      </c>
      <c r="H271" s="55"/>
      <c r="I271" s="55"/>
      <c r="J271" s="71">
        <f t="shared" si="137"/>
        <v>4.5</v>
      </c>
      <c r="K271" s="18">
        <f>SUMIF(D272:J272,"",D271:J271)</f>
        <v>4.5</v>
      </c>
      <c r="L271" s="12">
        <f>SUM(D271:J271)</f>
        <v>4.5</v>
      </c>
      <c r="M271" s="24"/>
      <c r="N271" s="10" t="str">
        <f t="shared" ref="N271:T271" si="138">IF(D272="",D271,0)</f>
        <v/>
      </c>
      <c r="O271" s="10" t="str">
        <f t="shared" si="138"/>
        <v/>
      </c>
      <c r="P271" s="10" t="str">
        <f t="shared" si="138"/>
        <v/>
      </c>
      <c r="Q271" s="10" t="str">
        <f t="shared" si="138"/>
        <v/>
      </c>
      <c r="R271" s="10">
        <f t="shared" si="138"/>
        <v>0</v>
      </c>
      <c r="S271" s="10">
        <f t="shared" si="138"/>
        <v>0</v>
      </c>
      <c r="T271" s="10">
        <f t="shared" si="138"/>
        <v>4.5</v>
      </c>
      <c r="U271" s="10"/>
      <c r="V271" s="10" t="str">
        <f t="shared" ref="V271:AB271" si="139">D271</f>
        <v/>
      </c>
      <c r="W271" s="10" t="str">
        <f t="shared" si="139"/>
        <v/>
      </c>
      <c r="X271" s="10" t="str">
        <f t="shared" si="139"/>
        <v/>
      </c>
      <c r="Y271" s="10" t="str">
        <f t="shared" si="139"/>
        <v/>
      </c>
      <c r="Z271" s="10">
        <f t="shared" si="139"/>
        <v>0</v>
      </c>
      <c r="AA271" s="10">
        <f t="shared" si="139"/>
        <v>0</v>
      </c>
      <c r="AB271" s="10">
        <f t="shared" si="139"/>
        <v>4.5</v>
      </c>
      <c r="AD271" s="6">
        <f>IF((D268&lt;&gt;"")*(D272=""),IF((D268&lt;=#REF!)*((D269&gt;=#REF!)+(D269&lt;2/24)),1,0),0)</f>
        <v>0</v>
      </c>
      <c r="AE271" s="6">
        <f>IF((E268&lt;&gt;"")*(E272=""),IF((E268&lt;=#REF!)*((E269&gt;=#REF!)+(E269&lt;2/24)),1,0),0)</f>
        <v>0</v>
      </c>
      <c r="AF271" s="6">
        <f>IF((F268&lt;&gt;"")*(F272=""),IF((F268&lt;=#REF!)*((F269&gt;=#REF!)+(F269&lt;2/24)),1,0),0)</f>
        <v>0</v>
      </c>
      <c r="AG271" s="6">
        <f>IF((G268&lt;&gt;"")*(G272=""),IF((G268&lt;=#REF!)*((G269&gt;=#REF!)+(G269&lt;2/24)),1,0),0)</f>
        <v>0</v>
      </c>
      <c r="AH271" s="6">
        <f>IF((H268&lt;&gt;"")*(H272=""),IF((H268&lt;=#REF!)*((H269&gt;=#REF!)+(H269&lt;2/24)),1,0),0)</f>
        <v>0</v>
      </c>
      <c r="AI271" s="6">
        <f>IF((I268&lt;&gt;"")*(I272=""),IF((I268&lt;=#REF!)*((I269&gt;=#REF!)+(I269&lt;2/24)),1,0),0)</f>
        <v>0</v>
      </c>
      <c r="AJ271" s="6" t="e">
        <f>IF((J268&lt;&gt;"")*(J272=""),IF((J268&lt;=#REF!)*((J269&gt;=#REF!)+(J269&lt;2/24)),1,0),0)</f>
        <v>#REF!</v>
      </c>
    </row>
    <row r="272" spans="1:36" x14ac:dyDescent="0.2">
      <c r="A272" s="39"/>
      <c r="B272" s="40"/>
      <c r="C272" s="32" t="s">
        <v>4</v>
      </c>
      <c r="D272" s="33"/>
      <c r="E272" s="33"/>
      <c r="F272" s="33"/>
      <c r="G272" s="33"/>
      <c r="H272" s="33"/>
      <c r="I272" s="33"/>
      <c r="J272" s="33"/>
      <c r="K272" s="17"/>
      <c r="L272" s="6"/>
      <c r="M272" s="25"/>
      <c r="N272" s="6"/>
      <c r="O272" s="6"/>
      <c r="P272" s="6"/>
      <c r="Q272" s="6"/>
      <c r="R272" s="6"/>
      <c r="S272" s="6"/>
      <c r="T272" s="6"/>
      <c r="U272" s="6"/>
      <c r="V272" s="20"/>
      <c r="W272" s="20"/>
      <c r="X272" s="20"/>
      <c r="Y272" s="20"/>
      <c r="Z272" s="20"/>
      <c r="AA272" s="20"/>
      <c r="AB272" s="20"/>
      <c r="AD272" s="6">
        <f>IF((D268&lt;&gt;"")*(D272=""),IF((D268&lt;=#REF!)*((D269&gt;=#REF!)+(D269&lt;2/24)),1,0),0)</f>
        <v>0</v>
      </c>
      <c r="AE272" s="6">
        <f>IF((E268&lt;&gt;"")*(E272=""),IF((E268&lt;=#REF!)*((E269&gt;=#REF!)+(E269&lt;2/24)),1,0),0)</f>
        <v>0</v>
      </c>
      <c r="AF272" s="6">
        <f>IF((F268&lt;&gt;"")*(F272=""),IF((F268&lt;=#REF!)*((F269&gt;=#REF!)+(F269&lt;2/24)),1,0),0)</f>
        <v>0</v>
      </c>
      <c r="AG272" s="6">
        <f>IF((G268&lt;&gt;"")*(G272=""),IF((G268&lt;=#REF!)*((G269&gt;=#REF!)+(G269&lt;2/24)),1,0),0)</f>
        <v>0</v>
      </c>
      <c r="AH272" s="6">
        <f>IF((H268&lt;&gt;"")*(H272=""),IF((H268&lt;=#REF!)*((H269&gt;=#REF!)+(H269&lt;2/24)),1,0),0)</f>
        <v>0</v>
      </c>
      <c r="AI272" s="6">
        <f>IF((I268&lt;&gt;"")*(I272=""),IF((I268&lt;=#REF!)*((I269&gt;=#REF!)+(I269&lt;2/24)),1,0),0)</f>
        <v>0</v>
      </c>
      <c r="AJ272" s="6" t="e">
        <f>IF((J268&lt;&gt;"")*(J272=""),IF((J268&lt;=#REF!)*((J269&gt;=#REF!)+(J269&lt;2/24)),1,0),0)</f>
        <v>#REF!</v>
      </c>
    </row>
    <row r="273" spans="1:36" ht="13.5" thickBot="1" x14ac:dyDescent="0.25">
      <c r="A273" s="41"/>
      <c r="B273" s="42"/>
      <c r="C273" s="35" t="s">
        <v>28</v>
      </c>
      <c r="D273" s="36"/>
      <c r="E273" s="36"/>
      <c r="F273" s="36"/>
      <c r="G273" s="36"/>
      <c r="H273" s="36"/>
      <c r="I273" s="36"/>
      <c r="J273" s="36"/>
      <c r="K273" s="34"/>
      <c r="L273" s="6"/>
      <c r="M273" s="25"/>
      <c r="N273" s="6"/>
      <c r="O273" s="6"/>
      <c r="P273" s="6"/>
      <c r="Q273" s="6"/>
      <c r="R273" s="6"/>
      <c r="S273" s="6"/>
      <c r="T273" s="6"/>
      <c r="U273" s="6"/>
      <c r="V273" s="20"/>
      <c r="W273" s="20"/>
      <c r="X273" s="20"/>
      <c r="Y273" s="20"/>
      <c r="Z273" s="20"/>
      <c r="AA273" s="20"/>
      <c r="AB273" s="20"/>
      <c r="AD273" s="6"/>
      <c r="AE273" s="6"/>
      <c r="AF273" s="6"/>
      <c r="AG273" s="6"/>
      <c r="AH273" s="6"/>
      <c r="AI273" s="6"/>
      <c r="AJ273" s="6"/>
    </row>
    <row r="274" spans="1:36" ht="10.5" customHeight="1" x14ac:dyDescent="0.2">
      <c r="A274" s="37" t="s">
        <v>84</v>
      </c>
      <c r="B274" s="38" t="s">
        <v>85</v>
      </c>
      <c r="C274" s="14" t="s">
        <v>0</v>
      </c>
      <c r="D274" s="26"/>
      <c r="E274" s="26"/>
      <c r="F274" s="26"/>
      <c r="G274" s="26"/>
      <c r="H274" s="26"/>
      <c r="I274" s="26"/>
      <c r="J274" s="26"/>
      <c r="K274" s="16"/>
      <c r="L274" s="6"/>
      <c r="M274" s="21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D274" s="6">
        <f>IF((D274&lt;&gt;"")*(D278=""),IF((D274&lt;=#REF!)*((D275&gt;=#REF!)+(D275&lt;2/24)),1,0),0)</f>
        <v>0</v>
      </c>
      <c r="AE274" s="6">
        <f>IF((E274&lt;&gt;"")*(E278=""),IF((E274&lt;=#REF!)*((E275&gt;=#REF!)+(E275&lt;2/24)),1,0),0)</f>
        <v>0</v>
      </c>
      <c r="AF274" s="6">
        <f>IF((F274&lt;&gt;"")*(F278=""),IF((F274&lt;=#REF!)*((F275&gt;=#REF!)+(F275&lt;2/24)),1,0),0)</f>
        <v>0</v>
      </c>
      <c r="AG274" s="6">
        <f>IF((G274&lt;&gt;"")*(G278=""),IF((G274&lt;=#REF!)*((G275&gt;=#REF!)+(G275&lt;2/24)),1,0),0)</f>
        <v>0</v>
      </c>
      <c r="AH274" s="6">
        <f>IF((H274&lt;&gt;"")*(H278=""),IF((H274&lt;=#REF!)*((H275&gt;=#REF!)+(H275&lt;2/24)),1,0),0)</f>
        <v>0</v>
      </c>
      <c r="AI274" s="6">
        <f>IF((I274&lt;&gt;"")*(I278=""),IF((I274&lt;=#REF!)*((I275&gt;=#REF!)+(I275&lt;2/24)),1,0),0)</f>
        <v>0</v>
      </c>
      <c r="AJ274" s="6">
        <f>IF((J274&lt;&gt;"")*(J278=""),IF((J274&lt;=#REF!)*((J275&gt;=#REF!)+(J275&lt;2/24)),1,0),0)</f>
        <v>0</v>
      </c>
    </row>
    <row r="275" spans="1:36" x14ac:dyDescent="0.2">
      <c r="A275" s="39"/>
      <c r="B275" s="40"/>
      <c r="C275" s="15" t="s">
        <v>1</v>
      </c>
      <c r="D275" s="27"/>
      <c r="E275" s="27"/>
      <c r="F275" s="27"/>
      <c r="G275" s="27"/>
      <c r="H275" s="27"/>
      <c r="I275" s="27"/>
      <c r="J275" s="27"/>
      <c r="K275" s="17"/>
      <c r="L275" s="6"/>
      <c r="M275" s="21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D275" s="6">
        <f>IF((D274&lt;&gt;"")*(D278=""),IF((D274&lt;=#REF!)*((D275&gt;=#REF!)+(D275&lt;2/24)),1,0),0)</f>
        <v>0</v>
      </c>
      <c r="AE275" s="6">
        <f>IF((E274&lt;&gt;"")*(E278=""),IF((E274&lt;=#REF!)*((E275&gt;=#REF!)+(E275&lt;2/24)),1,0),0)</f>
        <v>0</v>
      </c>
      <c r="AF275" s="6">
        <f>IF((F274&lt;&gt;"")*(F278=""),IF((F274&lt;=#REF!)*((F275&gt;=#REF!)+(F275&lt;2/24)),1,0),0)</f>
        <v>0</v>
      </c>
      <c r="AG275" s="6">
        <f>IF((G274&lt;&gt;"")*(G278=""),IF((G274&lt;=#REF!)*((G275&gt;=#REF!)+(G275&lt;2/24)),1,0),0)</f>
        <v>0</v>
      </c>
      <c r="AH275" s="6">
        <f>IF((H274&lt;&gt;"")*(H278=""),IF((H274&lt;=#REF!)*((H275&gt;=#REF!)+(H275&lt;2/24)),1,0),0)</f>
        <v>0</v>
      </c>
      <c r="AI275" s="6">
        <f>IF((I274&lt;&gt;"")*(I278=""),IF((I274&lt;=#REF!)*((I275&gt;=#REF!)+(I275&lt;2/24)),1,0),0)</f>
        <v>0</v>
      </c>
      <c r="AJ275" s="6">
        <f>IF((J274&lt;&gt;"")*(J278=""),IF((J274&lt;=#REF!)*((J275&gt;=#REF!)+(J275&lt;2/24)),1,0),0)</f>
        <v>0</v>
      </c>
    </row>
    <row r="276" spans="1:36" x14ac:dyDescent="0.2">
      <c r="A276" s="39"/>
      <c r="B276" s="40"/>
      <c r="C276" s="15" t="s">
        <v>2</v>
      </c>
      <c r="D276" s="4"/>
      <c r="E276" s="4"/>
      <c r="F276" s="4"/>
      <c r="G276" s="58"/>
      <c r="H276" s="4"/>
      <c r="I276" s="4"/>
      <c r="J276" s="4"/>
      <c r="K276" s="17"/>
      <c r="L276" s="6"/>
      <c r="M276" s="21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D276" s="6">
        <f>IF((D274&lt;&gt;"")*(D278=""),IF((D274&lt;=#REF!)*((D275&gt;=#REF!)+(D275&lt;2/24)),1,0),0)</f>
        <v>0</v>
      </c>
      <c r="AE276" s="6">
        <f>IF((E274&lt;&gt;"")*(E278=""),IF((E274&lt;=#REF!)*((E275&gt;=#REF!)+(E275&lt;2/24)),1,0),0)</f>
        <v>0</v>
      </c>
      <c r="AF276" s="6">
        <f>IF((F274&lt;&gt;"")*(F278=""),IF((F274&lt;=#REF!)*((F275&gt;=#REF!)+(F275&lt;2/24)),1,0),0)</f>
        <v>0</v>
      </c>
      <c r="AG276" s="6">
        <f>IF((G274&lt;&gt;"")*(G278=""),IF((G274&lt;=#REF!)*((G275&gt;=#REF!)+(G275&lt;2/24)),1,0),0)</f>
        <v>0</v>
      </c>
      <c r="AH276" s="6">
        <f>IF((H274&lt;&gt;"")*(H278=""),IF((H274&lt;=#REF!)*((H275&gt;=#REF!)+(H275&lt;2/24)),1,0),0)</f>
        <v>0</v>
      </c>
      <c r="AI276" s="6">
        <f>IF((I274&lt;&gt;"")*(I278=""),IF((I274&lt;=#REF!)*((I275&gt;=#REF!)+(I275&lt;2/24)),1,0),0)</f>
        <v>0</v>
      </c>
      <c r="AJ276" s="6">
        <f>IF((J274&lt;&gt;"")*(J278=""),IF((J274&lt;=#REF!)*((J275&gt;=#REF!)+(J275&lt;2/24)),1,0),0)</f>
        <v>0</v>
      </c>
    </row>
    <row r="277" spans="1:36" x14ac:dyDescent="0.2">
      <c r="A277" s="39"/>
      <c r="B277" s="40"/>
      <c r="C277" s="15" t="s">
        <v>3</v>
      </c>
      <c r="D277" s="43" t="str">
        <f t="shared" ref="D277:J277" si="140">IF(D274="","",IF(D275&gt;D274,(D275-D274-D276)*24,(1-D274-D276+D275)*24))</f>
        <v/>
      </c>
      <c r="E277" s="43" t="str">
        <f t="shared" si="140"/>
        <v/>
      </c>
      <c r="F277" s="43" t="str">
        <f t="shared" si="140"/>
        <v/>
      </c>
      <c r="G277" s="55" t="str">
        <f t="shared" si="140"/>
        <v/>
      </c>
      <c r="H277" s="55" t="str">
        <f t="shared" si="140"/>
        <v/>
      </c>
      <c r="I277" s="43"/>
      <c r="J277" s="44" t="str">
        <f t="shared" si="140"/>
        <v/>
      </c>
      <c r="K277" s="18">
        <f>SUMIF(D278:J278,"",D277:J277)</f>
        <v>0</v>
      </c>
      <c r="L277" s="12">
        <f>SUM(D277:J277)</f>
        <v>0</v>
      </c>
      <c r="M277" s="24"/>
      <c r="N277" s="10" t="str">
        <f t="shared" ref="N277" si="141">IF(D278="",D277,0)</f>
        <v/>
      </c>
      <c r="O277" s="10" t="str">
        <f t="shared" ref="O277" si="142">IF(E278="",E277,0)</f>
        <v/>
      </c>
      <c r="P277" s="10" t="str">
        <f t="shared" ref="P277" si="143">IF(F278="",F277,0)</f>
        <v/>
      </c>
      <c r="Q277" s="10" t="str">
        <f t="shared" ref="Q277" si="144">IF(G278="",G277,0)</f>
        <v/>
      </c>
      <c r="R277" s="10" t="str">
        <f t="shared" ref="R277" si="145">IF(H278="",H277,0)</f>
        <v/>
      </c>
      <c r="S277" s="10">
        <f t="shared" ref="S277" si="146">IF(I278="",I277,0)</f>
        <v>0</v>
      </c>
      <c r="T277" s="10" t="str">
        <f t="shared" ref="T277" si="147">IF(J278="",J277,0)</f>
        <v/>
      </c>
      <c r="U277" s="10"/>
      <c r="V277" s="10" t="str">
        <f t="shared" ref="V277" si="148">D277</f>
        <v/>
      </c>
      <c r="W277" s="10" t="str">
        <f t="shared" ref="W277" si="149">E277</f>
        <v/>
      </c>
      <c r="X277" s="10" t="str">
        <f t="shared" ref="X277" si="150">F277</f>
        <v/>
      </c>
      <c r="Y277" s="10" t="str">
        <f t="shared" ref="Y277" si="151">G277</f>
        <v/>
      </c>
      <c r="Z277" s="10" t="str">
        <f t="shared" ref="Z277" si="152">H277</f>
        <v/>
      </c>
      <c r="AA277" s="10">
        <f t="shared" ref="AA277" si="153">I277</f>
        <v>0</v>
      </c>
      <c r="AB277" s="10" t="str">
        <f t="shared" ref="AB277" si="154">J277</f>
        <v/>
      </c>
      <c r="AD277" s="6">
        <f>IF((D274&lt;&gt;"")*(D278=""),IF((D274&lt;=#REF!)*((D275&gt;=#REF!)+(D275&lt;2/24)),1,0),0)</f>
        <v>0</v>
      </c>
      <c r="AE277" s="6">
        <f>IF((E274&lt;&gt;"")*(E278=""),IF((E274&lt;=#REF!)*((E275&gt;=#REF!)+(E275&lt;2/24)),1,0),0)</f>
        <v>0</v>
      </c>
      <c r="AF277" s="6">
        <f>IF((F274&lt;&gt;"")*(F278=""),IF((F274&lt;=#REF!)*((F275&gt;=#REF!)+(F275&lt;2/24)),1,0),0)</f>
        <v>0</v>
      </c>
      <c r="AG277" s="6">
        <f>IF((G274&lt;&gt;"")*(G278=""),IF((G274&lt;=#REF!)*((G275&gt;=#REF!)+(G275&lt;2/24)),1,0),0)</f>
        <v>0</v>
      </c>
      <c r="AH277" s="6">
        <f>IF((H274&lt;&gt;"")*(H278=""),IF((H274&lt;=#REF!)*((H275&gt;=#REF!)+(H275&lt;2/24)),1,0),0)</f>
        <v>0</v>
      </c>
      <c r="AI277" s="6">
        <f>IF((I274&lt;&gt;"")*(I278=""),IF((I274&lt;=#REF!)*((I275&gt;=#REF!)+(I275&lt;2/24)),1,0),0)</f>
        <v>0</v>
      </c>
      <c r="AJ277" s="6">
        <f>IF((J274&lt;&gt;"")*(J278=""),IF((J274&lt;=#REF!)*((J275&gt;=#REF!)+(J275&lt;2/24)),1,0),0)</f>
        <v>0</v>
      </c>
    </row>
    <row r="278" spans="1:36" x14ac:dyDescent="0.2">
      <c r="A278" s="39"/>
      <c r="B278" s="40"/>
      <c r="C278" s="32" t="s">
        <v>4</v>
      </c>
      <c r="D278" s="33"/>
      <c r="E278" s="33"/>
      <c r="F278" s="33"/>
      <c r="G278" s="33"/>
      <c r="H278" s="33"/>
      <c r="I278" s="33"/>
      <c r="J278" s="33"/>
      <c r="K278" s="17"/>
      <c r="L278" s="6"/>
      <c r="M278" s="25"/>
      <c r="N278" s="6"/>
      <c r="O278" s="6"/>
      <c r="P278" s="6"/>
      <c r="Q278" s="6"/>
      <c r="R278" s="6"/>
      <c r="S278" s="6"/>
      <c r="T278" s="6"/>
      <c r="U278" s="6"/>
      <c r="V278" s="20"/>
      <c r="W278" s="20"/>
      <c r="X278" s="20"/>
      <c r="Y278" s="20"/>
      <c r="Z278" s="20"/>
      <c r="AA278" s="20"/>
      <c r="AB278" s="20"/>
      <c r="AD278" s="6">
        <f>IF((D274&lt;&gt;"")*(D278=""),IF((D274&lt;=#REF!)*((D275&gt;=#REF!)+(D275&lt;2/24)),1,0),0)</f>
        <v>0</v>
      </c>
      <c r="AE278" s="6">
        <f>IF((E274&lt;&gt;"")*(E278=""),IF((E274&lt;=#REF!)*((E275&gt;=#REF!)+(E275&lt;2/24)),1,0),0)</f>
        <v>0</v>
      </c>
      <c r="AF278" s="6">
        <f>IF((F274&lt;&gt;"")*(F278=""),IF((F274&lt;=#REF!)*((F275&gt;=#REF!)+(F275&lt;2/24)),1,0),0)</f>
        <v>0</v>
      </c>
      <c r="AG278" s="6">
        <f>IF((G274&lt;&gt;"")*(G278=""),IF((G274&lt;=#REF!)*((G275&gt;=#REF!)+(G275&lt;2/24)),1,0),0)</f>
        <v>0</v>
      </c>
      <c r="AH278" s="6">
        <f>IF((H274&lt;&gt;"")*(H278=""),IF((H274&lt;=#REF!)*((H275&gt;=#REF!)+(H275&lt;2/24)),1,0),0)</f>
        <v>0</v>
      </c>
      <c r="AI278" s="6">
        <f>IF((I274&lt;&gt;"")*(I278=""),IF((I274&lt;=#REF!)*((I275&gt;=#REF!)+(I275&lt;2/24)),1,0),0)</f>
        <v>0</v>
      </c>
      <c r="AJ278" s="6">
        <f>IF((J274&lt;&gt;"")*(J278=""),IF((J274&lt;=#REF!)*((J275&gt;=#REF!)+(J275&lt;2/24)),1,0),0)</f>
        <v>0</v>
      </c>
    </row>
    <row r="279" spans="1:36" ht="13.5" thickBot="1" x14ac:dyDescent="0.25">
      <c r="A279" s="41"/>
      <c r="B279" s="42"/>
      <c r="C279" s="35" t="s">
        <v>28</v>
      </c>
      <c r="D279" s="36"/>
      <c r="E279" s="36"/>
      <c r="F279" s="36"/>
      <c r="G279" s="36"/>
      <c r="H279" s="36"/>
      <c r="I279" s="36"/>
      <c r="J279" s="36"/>
      <c r="K279" s="34"/>
      <c r="L279" s="6"/>
      <c r="M279" s="25"/>
      <c r="N279" s="6"/>
      <c r="O279" s="6"/>
      <c r="P279" s="6"/>
      <c r="Q279" s="6"/>
      <c r="R279" s="6"/>
      <c r="S279" s="6"/>
      <c r="T279" s="6"/>
      <c r="U279" s="6"/>
      <c r="V279" s="20"/>
      <c r="W279" s="20"/>
      <c r="X279" s="20"/>
      <c r="Y279" s="20"/>
      <c r="Z279" s="20"/>
      <c r="AA279" s="20"/>
      <c r="AB279" s="20"/>
      <c r="AD279" s="6"/>
      <c r="AE279" s="6"/>
      <c r="AF279" s="6"/>
      <c r="AG279" s="6"/>
      <c r="AH279" s="6"/>
      <c r="AI279" s="6"/>
      <c r="AJ279" s="6"/>
    </row>
    <row r="280" spans="1:36" x14ac:dyDescent="0.2">
      <c r="A280" s="37" t="s">
        <v>95</v>
      </c>
      <c r="B280" s="38" t="s">
        <v>96</v>
      </c>
      <c r="C280" s="14" t="s">
        <v>0</v>
      </c>
      <c r="D280" s="26">
        <v>0.54166666666666663</v>
      </c>
      <c r="E280" s="26">
        <v>0.54166666666666663</v>
      </c>
      <c r="F280" s="26">
        <v>0.54166666666666663</v>
      </c>
      <c r="G280" s="26">
        <v>0.54166666666666663</v>
      </c>
      <c r="H280" s="26">
        <v>0.77083333333333337</v>
      </c>
      <c r="I280" s="26"/>
      <c r="J280" s="26"/>
      <c r="K280" s="16"/>
      <c r="L280" s="6"/>
      <c r="M280" s="21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D280" s="6" t="e">
        <f>IF((D280&lt;&gt;"")*(D284=""),IF((D280&lt;=#REF!)*((D281&gt;=#REF!)+(D281&lt;2/24)),1,0),0)</f>
        <v>#REF!</v>
      </c>
      <c r="AE280" s="6" t="e">
        <f>IF((E280&lt;&gt;"")*(E284=""),IF((E280&lt;=#REF!)*((E281&gt;=#REF!)+(E281&lt;2/24)),1,0),0)</f>
        <v>#REF!</v>
      </c>
      <c r="AF280" s="6" t="e">
        <f>IF((F280&lt;&gt;"")*(F284=""),IF((F280&lt;=#REF!)*((F281&gt;=#REF!)+(F281&lt;2/24)),1,0),0)</f>
        <v>#REF!</v>
      </c>
      <c r="AG280" s="6" t="e">
        <f>IF((G280&lt;&gt;"")*(G284=""),IF((G280&lt;=#REF!)*((G281&gt;=#REF!)+(G281&lt;2/24)),1,0),0)</f>
        <v>#REF!</v>
      </c>
      <c r="AH280" s="6" t="e">
        <f>IF((H280&lt;&gt;"")*(H284=""),IF((H280&lt;=#REF!)*((H281&gt;=#REF!)+(H281&lt;2/24)),1,0),0)</f>
        <v>#REF!</v>
      </c>
      <c r="AI280" s="6">
        <f>IF((I280&lt;&gt;"")*(I284=""),IF((I280&lt;=#REF!)*((I281&gt;=#REF!)+(I281&lt;2/24)),1,0),0)</f>
        <v>0</v>
      </c>
      <c r="AJ280" s="6">
        <f>IF((J280&lt;&gt;"")*(J284=""),IF((J280&lt;=#REF!)*((J281&gt;=#REF!)+(J281&lt;2/24)),1,0),0)</f>
        <v>0</v>
      </c>
    </row>
    <row r="281" spans="1:36" x14ac:dyDescent="0.2">
      <c r="A281" s="39"/>
      <c r="B281" s="40"/>
      <c r="C281" s="15" t="s">
        <v>1</v>
      </c>
      <c r="D281" s="27">
        <v>0.95833333333333337</v>
      </c>
      <c r="E281" s="27">
        <v>0.95833333333333337</v>
      </c>
      <c r="F281" s="27">
        <v>0.75</v>
      </c>
      <c r="G281" s="27">
        <v>0.75</v>
      </c>
      <c r="H281" s="27">
        <v>0.95833333333333337</v>
      </c>
      <c r="I281" s="27"/>
      <c r="J281" s="27"/>
      <c r="K281" s="17"/>
      <c r="L281" s="6"/>
      <c r="M281" s="21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D281" s="6" t="e">
        <f>IF((D280&lt;&gt;"")*(D284=""),IF((D280&lt;=#REF!)*((D281&gt;=#REF!)+(D281&lt;2/24)),1,0),0)</f>
        <v>#REF!</v>
      </c>
      <c r="AE281" s="6" t="e">
        <f>IF((E280&lt;&gt;"")*(E284=""),IF((E280&lt;=#REF!)*((E281&gt;=#REF!)+(E281&lt;2/24)),1,0),0)</f>
        <v>#REF!</v>
      </c>
      <c r="AF281" s="6" t="e">
        <f>IF((F280&lt;&gt;"")*(F284=""),IF((F280&lt;=#REF!)*((F281&gt;=#REF!)+(F281&lt;2/24)),1,0),0)</f>
        <v>#REF!</v>
      </c>
      <c r="AG281" s="6" t="e">
        <f>IF((G280&lt;&gt;"")*(G284=""),IF((G280&lt;=#REF!)*((G281&gt;=#REF!)+(G281&lt;2/24)),1,0),0)</f>
        <v>#REF!</v>
      </c>
      <c r="AH281" s="6" t="e">
        <f>IF((H280&lt;&gt;"")*(H284=""),IF((H280&lt;=#REF!)*((H281&gt;=#REF!)+(H281&lt;2/24)),1,0),0)</f>
        <v>#REF!</v>
      </c>
      <c r="AI281" s="6">
        <f>IF((I280&lt;&gt;"")*(I284=""),IF((I280&lt;=#REF!)*((I281&gt;=#REF!)+(I281&lt;2/24)),1,0),0)</f>
        <v>0</v>
      </c>
      <c r="AJ281" s="6">
        <f>IF((J280&lt;&gt;"")*(J284=""),IF((J280&lt;=#REF!)*((J281&gt;=#REF!)+(J281&lt;2/24)),1,0),0)</f>
        <v>0</v>
      </c>
    </row>
    <row r="282" spans="1:36" x14ac:dyDescent="0.2">
      <c r="A282" s="39"/>
      <c r="B282" s="40"/>
      <c r="C282" s="15" t="s">
        <v>2</v>
      </c>
      <c r="D282" s="4">
        <v>4.1666666666666664E-2</v>
      </c>
      <c r="E282" s="4">
        <v>4.1666666666666664E-2</v>
      </c>
      <c r="F282" s="4"/>
      <c r="G282" s="58"/>
      <c r="H282" s="4"/>
      <c r="I282" s="4"/>
      <c r="J282" s="4"/>
      <c r="K282" s="17"/>
      <c r="L282" s="6"/>
      <c r="M282" s="21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D282" s="6" t="e">
        <f>IF((D280&lt;&gt;"")*(D284=""),IF((D280&lt;=#REF!)*((D281&gt;=#REF!)+(D281&lt;2/24)),1,0),0)</f>
        <v>#REF!</v>
      </c>
      <c r="AE282" s="6" t="e">
        <f>IF((E280&lt;&gt;"")*(E284=""),IF((E280&lt;=#REF!)*((E281&gt;=#REF!)+(E281&lt;2/24)),1,0),0)</f>
        <v>#REF!</v>
      </c>
      <c r="AF282" s="6" t="e">
        <f>IF((F280&lt;&gt;"")*(F284=""),IF((F280&lt;=#REF!)*((F281&gt;=#REF!)+(F281&lt;2/24)),1,0),0)</f>
        <v>#REF!</v>
      </c>
      <c r="AG282" s="6" t="e">
        <f>IF((G280&lt;&gt;"")*(G284=""),IF((G280&lt;=#REF!)*((G281&gt;=#REF!)+(G281&lt;2/24)),1,0),0)</f>
        <v>#REF!</v>
      </c>
      <c r="AH282" s="6" t="e">
        <f>IF((H280&lt;&gt;"")*(H284=""),IF((H280&lt;=#REF!)*((H281&gt;=#REF!)+(H281&lt;2/24)),1,0),0)</f>
        <v>#REF!</v>
      </c>
      <c r="AI282" s="6">
        <f>IF((I280&lt;&gt;"")*(I284=""),IF((I280&lt;=#REF!)*((I281&gt;=#REF!)+(I281&lt;2/24)),1,0),0)</f>
        <v>0</v>
      </c>
      <c r="AJ282" s="6">
        <f>IF((J280&lt;&gt;"")*(J284=""),IF((J280&lt;=#REF!)*((J281&gt;=#REF!)+(J281&lt;2/24)),1,0),0)</f>
        <v>0</v>
      </c>
    </row>
    <row r="283" spans="1:36" x14ac:dyDescent="0.2">
      <c r="A283" s="39"/>
      <c r="B283" s="40"/>
      <c r="C283" s="15" t="s">
        <v>3</v>
      </c>
      <c r="D283" s="43">
        <f t="shared" ref="D283:J283" si="155">IF(D280="","",IF(D281&gt;D280,(D281-D280-D282)*24,(1-D280-D282+D281)*24))</f>
        <v>9.0000000000000018</v>
      </c>
      <c r="E283" s="43">
        <f t="shared" si="155"/>
        <v>9.0000000000000018</v>
      </c>
      <c r="F283" s="43">
        <f t="shared" si="155"/>
        <v>5.0000000000000009</v>
      </c>
      <c r="G283" s="55">
        <f t="shared" si="155"/>
        <v>5.0000000000000009</v>
      </c>
      <c r="H283" s="55">
        <f t="shared" si="155"/>
        <v>4.5</v>
      </c>
      <c r="I283" s="43" t="str">
        <f t="shared" si="155"/>
        <v/>
      </c>
      <c r="J283" s="44" t="str">
        <f t="shared" si="155"/>
        <v/>
      </c>
      <c r="K283" s="18">
        <f>SUMIF(D284:J284,"",D283:J283)</f>
        <v>32.5</v>
      </c>
      <c r="L283" s="12">
        <f>SUM(D283:J283)</f>
        <v>32.5</v>
      </c>
      <c r="M283" s="24"/>
      <c r="N283" s="10">
        <f t="shared" ref="N283:T283" si="156">IF(D284="",D283,0)</f>
        <v>9.0000000000000018</v>
      </c>
      <c r="O283" s="10">
        <f t="shared" si="156"/>
        <v>9.0000000000000018</v>
      </c>
      <c r="P283" s="10">
        <f t="shared" si="156"/>
        <v>5.0000000000000009</v>
      </c>
      <c r="Q283" s="10">
        <f t="shared" si="156"/>
        <v>5.0000000000000009</v>
      </c>
      <c r="R283" s="10">
        <f t="shared" si="156"/>
        <v>4.5</v>
      </c>
      <c r="S283" s="10" t="str">
        <f t="shared" si="156"/>
        <v/>
      </c>
      <c r="T283" s="10" t="str">
        <f t="shared" si="156"/>
        <v/>
      </c>
      <c r="U283" s="10"/>
      <c r="V283" s="10">
        <f t="shared" ref="V283:AB283" si="157">D283</f>
        <v>9.0000000000000018</v>
      </c>
      <c r="W283" s="10">
        <f t="shared" si="157"/>
        <v>9.0000000000000018</v>
      </c>
      <c r="X283" s="10">
        <f t="shared" si="157"/>
        <v>5.0000000000000009</v>
      </c>
      <c r="Y283" s="10">
        <f t="shared" si="157"/>
        <v>5.0000000000000009</v>
      </c>
      <c r="Z283" s="10">
        <f t="shared" si="157"/>
        <v>4.5</v>
      </c>
      <c r="AA283" s="10" t="str">
        <f t="shared" si="157"/>
        <v/>
      </c>
      <c r="AB283" s="10" t="str">
        <f t="shared" si="157"/>
        <v/>
      </c>
      <c r="AD283" s="6" t="e">
        <f>IF((D280&lt;&gt;"")*(D284=""),IF((D280&lt;=#REF!)*((D281&gt;=#REF!)+(D281&lt;2/24)),1,0),0)</f>
        <v>#REF!</v>
      </c>
      <c r="AE283" s="6" t="e">
        <f>IF((E280&lt;&gt;"")*(E284=""),IF((E280&lt;=#REF!)*((E281&gt;=#REF!)+(E281&lt;2/24)),1,0),0)</f>
        <v>#REF!</v>
      </c>
      <c r="AF283" s="6" t="e">
        <f>IF((F280&lt;&gt;"")*(F284=""),IF((F280&lt;=#REF!)*((F281&gt;=#REF!)+(F281&lt;2/24)),1,0),0)</f>
        <v>#REF!</v>
      </c>
      <c r="AG283" s="6" t="e">
        <f>IF((G280&lt;&gt;"")*(G284=""),IF((G280&lt;=#REF!)*((G281&gt;=#REF!)+(G281&lt;2/24)),1,0),0)</f>
        <v>#REF!</v>
      </c>
      <c r="AH283" s="6" t="e">
        <f>IF((H280&lt;&gt;"")*(H284=""),IF((H280&lt;=#REF!)*((H281&gt;=#REF!)+(H281&lt;2/24)),1,0),0)</f>
        <v>#REF!</v>
      </c>
      <c r="AI283" s="6">
        <f>IF((I280&lt;&gt;"")*(I284=""),IF((I280&lt;=#REF!)*((I281&gt;=#REF!)+(I281&lt;2/24)),1,0),0)</f>
        <v>0</v>
      </c>
      <c r="AJ283" s="6">
        <f>IF((J280&lt;&gt;"")*(J284=""),IF((J280&lt;=#REF!)*((J281&gt;=#REF!)+(J281&lt;2/24)),1,0),0)</f>
        <v>0</v>
      </c>
    </row>
    <row r="284" spans="1:36" x14ac:dyDescent="0.2">
      <c r="A284" s="39"/>
      <c r="B284" s="40"/>
      <c r="C284" s="32" t="s">
        <v>4</v>
      </c>
      <c r="D284" s="33"/>
      <c r="E284" s="33"/>
      <c r="F284" s="33"/>
      <c r="G284" s="33"/>
      <c r="H284" s="33"/>
      <c r="I284" s="33"/>
      <c r="J284" s="33"/>
      <c r="K284" s="17"/>
      <c r="L284" s="6"/>
      <c r="M284" s="25"/>
      <c r="N284" s="6"/>
      <c r="O284" s="6"/>
      <c r="P284" s="6"/>
      <c r="Q284" s="6"/>
      <c r="R284" s="6"/>
      <c r="S284" s="6"/>
      <c r="T284" s="6"/>
      <c r="U284" s="6"/>
      <c r="V284" s="20"/>
      <c r="W284" s="20"/>
      <c r="X284" s="20"/>
      <c r="Y284" s="20"/>
      <c r="Z284" s="20"/>
      <c r="AA284" s="20"/>
      <c r="AB284" s="20"/>
      <c r="AD284" s="6" t="e">
        <f>IF((D280&lt;&gt;"")*(D284=""),IF((D280&lt;=#REF!)*((D281&gt;=#REF!)+(D281&lt;2/24)),1,0),0)</f>
        <v>#REF!</v>
      </c>
      <c r="AE284" s="6" t="e">
        <f>IF((E280&lt;&gt;"")*(E284=""),IF((E280&lt;=#REF!)*((E281&gt;=#REF!)+(E281&lt;2/24)),1,0),0)</f>
        <v>#REF!</v>
      </c>
      <c r="AF284" s="6" t="e">
        <f>IF((F280&lt;&gt;"")*(F284=""),IF((F280&lt;=#REF!)*((F281&gt;=#REF!)+(F281&lt;2/24)),1,0),0)</f>
        <v>#REF!</v>
      </c>
      <c r="AG284" s="6" t="e">
        <f>IF((G280&lt;&gt;"")*(G284=""),IF((G280&lt;=#REF!)*((G281&gt;=#REF!)+(G281&lt;2/24)),1,0),0)</f>
        <v>#REF!</v>
      </c>
      <c r="AH284" s="6" t="e">
        <f>IF((H280&lt;&gt;"")*(H284=""),IF((H280&lt;=#REF!)*((H281&gt;=#REF!)+(H281&lt;2/24)),1,0),0)</f>
        <v>#REF!</v>
      </c>
      <c r="AI284" s="6">
        <f>IF((I280&lt;&gt;"")*(I284=""),IF((I280&lt;=#REF!)*((I281&gt;=#REF!)+(I281&lt;2/24)),1,0),0)</f>
        <v>0</v>
      </c>
      <c r="AJ284" s="6">
        <f>IF((J280&lt;&gt;"")*(J284=""),IF((J280&lt;=#REF!)*((J281&gt;=#REF!)+(J281&lt;2/24)),1,0),0)</f>
        <v>0</v>
      </c>
    </row>
    <row r="285" spans="1:36" ht="13.5" thickBot="1" x14ac:dyDescent="0.25">
      <c r="A285" s="41"/>
      <c r="B285" s="42"/>
      <c r="C285" s="35" t="s">
        <v>28</v>
      </c>
      <c r="D285" s="93"/>
      <c r="E285" s="93"/>
      <c r="F285" s="93"/>
      <c r="G285" s="93"/>
      <c r="H285" s="93"/>
      <c r="I285" s="93"/>
      <c r="J285" s="93"/>
      <c r="K285" s="94"/>
      <c r="L285" s="6"/>
      <c r="M285" s="25"/>
      <c r="N285" s="6"/>
      <c r="O285" s="6"/>
      <c r="P285" s="6"/>
      <c r="Q285" s="6"/>
      <c r="R285" s="6"/>
      <c r="S285" s="6"/>
      <c r="T285" s="6"/>
      <c r="U285" s="6"/>
      <c r="V285" s="20"/>
      <c r="W285" s="20"/>
      <c r="X285" s="20"/>
      <c r="Y285" s="20"/>
      <c r="Z285" s="20"/>
      <c r="AA285" s="20"/>
      <c r="AB285" s="20"/>
      <c r="AD285" s="6"/>
      <c r="AE285" s="6"/>
      <c r="AF285" s="6"/>
      <c r="AG285" s="6"/>
      <c r="AH285" s="6"/>
      <c r="AI285" s="6"/>
      <c r="AJ285" s="6"/>
    </row>
    <row r="286" spans="1:36" x14ac:dyDescent="0.2">
      <c r="A286" s="37" t="s">
        <v>173</v>
      </c>
      <c r="B286" s="38" t="s">
        <v>104</v>
      </c>
      <c r="C286" s="14" t="s">
        <v>0</v>
      </c>
      <c r="D286" s="26"/>
      <c r="E286" s="26"/>
      <c r="F286" s="26"/>
      <c r="G286" s="26"/>
      <c r="H286" s="26"/>
      <c r="I286" s="26"/>
      <c r="J286" s="26"/>
      <c r="K286" s="16"/>
      <c r="L286" s="6"/>
      <c r="M286" s="25"/>
      <c r="N286" s="6"/>
      <c r="O286" s="6"/>
      <c r="P286" s="6"/>
      <c r="Q286" s="6"/>
      <c r="R286" s="6"/>
      <c r="S286" s="6"/>
      <c r="T286" s="6"/>
      <c r="U286" s="6"/>
      <c r="V286" s="20"/>
      <c r="W286" s="20"/>
      <c r="X286" s="20"/>
      <c r="Y286" s="20"/>
      <c r="Z286" s="20"/>
      <c r="AA286" s="20"/>
      <c r="AB286" s="20"/>
      <c r="AD286" s="6"/>
      <c r="AE286" s="6"/>
      <c r="AF286" s="6"/>
      <c r="AG286" s="6"/>
      <c r="AH286" s="6"/>
      <c r="AI286" s="6"/>
      <c r="AJ286" s="6"/>
    </row>
    <row r="287" spans="1:36" x14ac:dyDescent="0.2">
      <c r="A287" s="39"/>
      <c r="B287" s="40"/>
      <c r="C287" s="15" t="s">
        <v>1</v>
      </c>
      <c r="D287" s="27"/>
      <c r="E287" s="27"/>
      <c r="F287" s="27"/>
      <c r="G287" s="27"/>
      <c r="H287" s="27"/>
      <c r="I287" s="27"/>
      <c r="J287" s="27"/>
      <c r="K287" s="17"/>
      <c r="L287" s="6"/>
      <c r="M287" s="25"/>
      <c r="N287" s="6"/>
      <c r="O287" s="6"/>
      <c r="P287" s="6"/>
      <c r="Q287" s="6"/>
      <c r="R287" s="6"/>
      <c r="S287" s="6"/>
      <c r="T287" s="6"/>
      <c r="U287" s="6"/>
      <c r="V287" s="20"/>
      <c r="W287" s="20"/>
      <c r="X287" s="20"/>
      <c r="Y287" s="20"/>
      <c r="Z287" s="20"/>
      <c r="AA287" s="20"/>
      <c r="AB287" s="20"/>
      <c r="AD287" s="6"/>
      <c r="AE287" s="6"/>
      <c r="AF287" s="6"/>
      <c r="AG287" s="6"/>
      <c r="AH287" s="6"/>
      <c r="AI287" s="6"/>
      <c r="AJ287" s="6"/>
    </row>
    <row r="288" spans="1:36" x14ac:dyDescent="0.2">
      <c r="A288" s="39"/>
      <c r="B288" s="40"/>
      <c r="C288" s="15" t="s">
        <v>2</v>
      </c>
      <c r="D288" s="4"/>
      <c r="E288" s="4"/>
      <c r="F288" s="4"/>
      <c r="G288" s="58"/>
      <c r="H288" s="4"/>
      <c r="I288" s="4"/>
      <c r="J288" s="4"/>
      <c r="K288" s="17"/>
      <c r="L288" s="6"/>
      <c r="M288" s="25"/>
      <c r="N288" s="6"/>
      <c r="O288" s="6"/>
      <c r="P288" s="6"/>
      <c r="Q288" s="6"/>
      <c r="R288" s="6"/>
      <c r="S288" s="6"/>
      <c r="T288" s="6"/>
      <c r="U288" s="6"/>
      <c r="V288" s="20"/>
      <c r="W288" s="20"/>
      <c r="X288" s="20"/>
      <c r="Y288" s="20"/>
      <c r="Z288" s="20"/>
      <c r="AA288" s="20"/>
      <c r="AB288" s="20"/>
      <c r="AD288" s="6"/>
      <c r="AE288" s="6"/>
      <c r="AF288" s="6"/>
      <c r="AG288" s="6"/>
      <c r="AH288" s="6"/>
      <c r="AI288" s="6"/>
      <c r="AJ288" s="6"/>
    </row>
    <row r="289" spans="1:36" x14ac:dyDescent="0.2">
      <c r="A289" s="39"/>
      <c r="B289" s="40"/>
      <c r="C289" s="15" t="s">
        <v>3</v>
      </c>
      <c r="D289" s="43" t="str">
        <f t="shared" ref="D289:J289" si="158">IF(D286="","",IF(D287&gt;D286,(D287-D286-D288)*24,(1-D286-D288+D287)*24))</f>
        <v/>
      </c>
      <c r="E289" s="43" t="str">
        <f t="shared" si="158"/>
        <v/>
      </c>
      <c r="F289" s="43" t="str">
        <f t="shared" si="158"/>
        <v/>
      </c>
      <c r="G289" s="55" t="str">
        <f t="shared" si="158"/>
        <v/>
      </c>
      <c r="H289" s="55" t="str">
        <f t="shared" si="158"/>
        <v/>
      </c>
      <c r="I289" s="43" t="str">
        <f t="shared" si="158"/>
        <v/>
      </c>
      <c r="J289" s="44" t="str">
        <f t="shared" si="158"/>
        <v/>
      </c>
      <c r="K289" s="18">
        <f>SUMIF(D290:J290,"",D289:J289)</f>
        <v>0</v>
      </c>
      <c r="L289" s="12">
        <f>SUM(D289:J289)</f>
        <v>0</v>
      </c>
      <c r="M289" s="25"/>
      <c r="N289" s="6"/>
      <c r="O289" s="6"/>
      <c r="P289" s="6"/>
      <c r="Q289" s="6"/>
      <c r="R289" s="6"/>
      <c r="S289" s="6"/>
      <c r="T289" s="6"/>
      <c r="U289" s="6"/>
      <c r="V289" s="20"/>
      <c r="W289" s="20"/>
      <c r="X289" s="20"/>
      <c r="Y289" s="20"/>
      <c r="Z289" s="20"/>
      <c r="AA289" s="20"/>
      <c r="AB289" s="20"/>
      <c r="AD289" s="6"/>
      <c r="AE289" s="6"/>
      <c r="AF289" s="6"/>
      <c r="AG289" s="6"/>
      <c r="AH289" s="6"/>
      <c r="AI289" s="6"/>
      <c r="AJ289" s="6"/>
    </row>
    <row r="290" spans="1:36" x14ac:dyDescent="0.2">
      <c r="A290" s="39"/>
      <c r="B290" s="40"/>
      <c r="C290" s="32" t="s">
        <v>4</v>
      </c>
      <c r="D290" s="33"/>
      <c r="E290" s="33"/>
      <c r="F290" s="33"/>
      <c r="G290" s="33"/>
      <c r="H290" s="33"/>
      <c r="I290" s="33"/>
      <c r="J290" s="33"/>
      <c r="K290" s="17"/>
      <c r="L290" s="6"/>
      <c r="M290" s="25"/>
      <c r="N290" s="6"/>
      <c r="O290" s="6"/>
      <c r="P290" s="6"/>
      <c r="Q290" s="6"/>
      <c r="R290" s="6"/>
      <c r="S290" s="6"/>
      <c r="T290" s="6"/>
      <c r="U290" s="6"/>
      <c r="V290" s="20"/>
      <c r="W290" s="20"/>
      <c r="X290" s="20"/>
      <c r="Y290" s="20"/>
      <c r="Z290" s="20"/>
      <c r="AA290" s="20"/>
      <c r="AB290" s="20"/>
      <c r="AD290" s="6"/>
      <c r="AE290" s="6"/>
      <c r="AF290" s="6"/>
      <c r="AG290" s="6"/>
      <c r="AH290" s="6"/>
      <c r="AI290" s="6"/>
      <c r="AJ290" s="6"/>
    </row>
    <row r="291" spans="1:36" ht="13.5" thickBot="1" x14ac:dyDescent="0.25">
      <c r="A291" s="41"/>
      <c r="B291" s="42"/>
      <c r="C291" s="35" t="s">
        <v>28</v>
      </c>
      <c r="D291" s="93"/>
      <c r="E291" s="93"/>
      <c r="F291" s="93"/>
      <c r="G291" s="93"/>
      <c r="H291" s="93"/>
      <c r="I291" s="93"/>
      <c r="J291" s="93"/>
      <c r="K291" s="94"/>
      <c r="L291" s="6"/>
      <c r="M291" s="25"/>
      <c r="N291" s="6"/>
      <c r="O291" s="6"/>
      <c r="P291" s="6"/>
      <c r="Q291" s="6"/>
      <c r="R291" s="6"/>
      <c r="S291" s="6"/>
      <c r="T291" s="6"/>
      <c r="U291" s="6"/>
      <c r="V291" s="20"/>
      <c r="W291" s="20"/>
      <c r="X291" s="20"/>
      <c r="Y291" s="20"/>
      <c r="Z291" s="20"/>
      <c r="AA291" s="20"/>
      <c r="AB291" s="20"/>
      <c r="AD291" s="6"/>
      <c r="AE291" s="6"/>
      <c r="AF291" s="6"/>
      <c r="AG291" s="6"/>
      <c r="AH291" s="6"/>
      <c r="AI291" s="6"/>
      <c r="AJ291" s="6"/>
    </row>
    <row r="292" spans="1:36" x14ac:dyDescent="0.2">
      <c r="A292" s="37" t="s">
        <v>46</v>
      </c>
      <c r="B292" s="38" t="s">
        <v>47</v>
      </c>
      <c r="C292" s="14" t="s">
        <v>0</v>
      </c>
      <c r="D292" s="26"/>
      <c r="E292" s="26"/>
      <c r="F292" s="26">
        <v>0.77083333333333337</v>
      </c>
      <c r="G292" s="26"/>
      <c r="H292" s="26"/>
      <c r="I292" s="26"/>
      <c r="J292" s="26"/>
      <c r="K292" s="16"/>
      <c r="L292" s="6"/>
      <c r="M292" s="21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D292" s="6">
        <f>IF((D292&lt;&gt;"")*(D302=""),IF((D292&lt;=$B$438)*((D293&gt;=$C$438)+(D293&lt;2/24)),1,0),0)</f>
        <v>0</v>
      </c>
      <c r="AE292" s="6">
        <f>IF((E292&lt;&gt;"")*(E302=""),IF((E292&lt;=$B$438)*((E293&gt;=$C$438)+(E293&lt;2/24)),1,0),0)</f>
        <v>0</v>
      </c>
      <c r="AF292" s="6">
        <f>IF((F292&lt;&gt;"")*(F302=""),IF((F292&lt;=$B$438)*((F293&gt;=$C$438)+(F293&lt;2/24)),1,0),0)</f>
        <v>0</v>
      </c>
      <c r="AG292" s="6">
        <f>IF((G292&lt;&gt;"")*(G302=""),IF((G292&lt;=$B$438)*((G293&gt;=$C$438)+(G293&lt;2/24)),1,0),0)</f>
        <v>0</v>
      </c>
      <c r="AH292" s="6">
        <f>IF((H292&lt;&gt;"")*(H302=""),IF((H292&lt;=$B$438)*((H293&gt;=$C$438)+(H293&lt;2/24)),1,0),0)</f>
        <v>0</v>
      </c>
      <c r="AI292" s="6">
        <f>IF((I292&lt;&gt;"")*(I302=""),IF((I292&lt;=$B$438)*((I293&gt;=$C$438)+(I293&lt;2/24)),1,0),0)</f>
        <v>0</v>
      </c>
      <c r="AJ292" s="6">
        <f>IF((J292&lt;&gt;"")*(J302=""),IF((J292&lt;=$B$438)*((J293&gt;=$C$438)+(J293&lt;2/24)),1,0),0)</f>
        <v>0</v>
      </c>
    </row>
    <row r="293" spans="1:36" x14ac:dyDescent="0.2">
      <c r="A293" s="39"/>
      <c r="B293" s="40"/>
      <c r="C293" s="15" t="s">
        <v>1</v>
      </c>
      <c r="D293" s="27"/>
      <c r="E293" s="27"/>
      <c r="F293" s="27">
        <v>0.95833333333333337</v>
      </c>
      <c r="G293" s="27"/>
      <c r="H293" s="27"/>
      <c r="I293" s="27"/>
      <c r="J293" s="27"/>
      <c r="K293" s="17"/>
      <c r="L293" s="6"/>
      <c r="M293" s="21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D293" s="6">
        <f>IF((D292&lt;&gt;"")*(D302=""),IF((D292&lt;=$B$439)*((D293&gt;=$C$439)+(D293&lt;2/24)),1,0),0)</f>
        <v>0</v>
      </c>
      <c r="AE293" s="6">
        <f>IF((E292&lt;&gt;"")*(E302=""),IF((E292&lt;=$B$439)*((E293&gt;=$C$439)+(E293&lt;2/24)),1,0),0)</f>
        <v>0</v>
      </c>
      <c r="AF293" s="6">
        <f>IF((F292&lt;&gt;"")*(F302=""),IF((F292&lt;=$B$439)*((F293&gt;=$C$439)+(F293&lt;2/24)),1,0),0)</f>
        <v>0</v>
      </c>
      <c r="AG293" s="6">
        <f>IF((G292&lt;&gt;"")*(G302=""),IF((G292&lt;=$B$439)*((G293&gt;=$C$439)+(G293&lt;2/24)),1,0),0)</f>
        <v>0</v>
      </c>
      <c r="AH293" s="6">
        <f>IF((H292&lt;&gt;"")*(H302=""),IF((H292&lt;=$B$439)*((H293&gt;=$C$439)+(H293&lt;2/24)),1,0),0)</f>
        <v>0</v>
      </c>
      <c r="AI293" s="6">
        <f>IF((I292&lt;&gt;"")*(I302=""),IF((I292&lt;=$B$439)*((I293&gt;=$C$439)+(I293&lt;2/24)),1,0),0)</f>
        <v>0</v>
      </c>
      <c r="AJ293" s="6">
        <f>IF((J292&lt;&gt;"")*(J302=""),IF((J292&lt;=$B$439)*((J293&gt;=$C$439)+(J293&lt;2/24)),1,0),0)</f>
        <v>0</v>
      </c>
    </row>
    <row r="294" spans="1:36" x14ac:dyDescent="0.2">
      <c r="A294" s="39"/>
      <c r="B294" s="40"/>
      <c r="C294" s="15" t="s">
        <v>2</v>
      </c>
      <c r="D294" s="4"/>
      <c r="E294" s="4"/>
      <c r="F294" s="4"/>
      <c r="G294" s="4"/>
      <c r="H294" s="4"/>
      <c r="I294" s="4"/>
      <c r="J294" s="4"/>
      <c r="K294" s="17"/>
      <c r="L294" s="6"/>
      <c r="M294" s="21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D294" s="6">
        <f>IF((D292&lt;&gt;"")*(D302=""),IF((D292&lt;=$B$440)*((D293&gt;=$C$440)+(D293&lt;2/24)),1,0),0)</f>
        <v>0</v>
      </c>
      <c r="AE294" s="6">
        <f>IF((E292&lt;&gt;"")*(E302=""),IF((E292&lt;=$B$440)*((E293&gt;=$C$440)+(E293&lt;2/24)),1,0),0)</f>
        <v>0</v>
      </c>
      <c r="AF294" s="6">
        <f>IF((F292&lt;&gt;"")*(F302=""),IF((F292&lt;=$B$440)*((F293&gt;=$C$440)+(F293&lt;2/24)),1,0),0)</f>
        <v>0</v>
      </c>
      <c r="AG294" s="6">
        <f>IF((G292&lt;&gt;"")*(G302=""),IF((G292&lt;=$B$440)*((G293&gt;=$C$440)+(G293&lt;2/24)),1,0),0)</f>
        <v>0</v>
      </c>
      <c r="AH294" s="6">
        <f>IF((H292&lt;&gt;"")*(H302=""),IF((H292&lt;=$B$440)*((H293&gt;=$C$440)+(H293&lt;2/24)),1,0),0)</f>
        <v>0</v>
      </c>
      <c r="AI294" s="6">
        <f>IF((I292&lt;&gt;"")*(I302=""),IF((I292&lt;=$B$440)*((I293&gt;=$C$440)+(I293&lt;2/24)),1,0),0)</f>
        <v>0</v>
      </c>
      <c r="AJ294" s="6">
        <f>IF((J292&lt;&gt;"")*(J302=""),IF((J292&lt;=$B$440)*((J293&gt;=$C$440)+(J293&lt;2/24)),1,0),0)</f>
        <v>0</v>
      </c>
    </row>
    <row r="295" spans="1:36" x14ac:dyDescent="0.2">
      <c r="A295" s="39"/>
      <c r="B295" s="40"/>
      <c r="C295" s="15" t="s">
        <v>3</v>
      </c>
      <c r="D295" s="43" t="str">
        <f t="shared" ref="D295:J295" si="159">IF(D292="","",IF(D293&gt;D292,(D293-D292-D294)*24,(1-D292-D294+D293)*24))</f>
        <v/>
      </c>
      <c r="E295" s="43" t="str">
        <f t="shared" si="159"/>
        <v/>
      </c>
      <c r="F295" s="43">
        <f t="shared" si="159"/>
        <v>4.5</v>
      </c>
      <c r="G295" s="43" t="str">
        <f t="shared" si="159"/>
        <v/>
      </c>
      <c r="H295" s="43"/>
      <c r="I295" s="43"/>
      <c r="J295" s="44" t="str">
        <f t="shared" si="159"/>
        <v/>
      </c>
      <c r="K295" s="18">
        <f>SUMIF(D302:J302,"",D295:J295)</f>
        <v>4.5</v>
      </c>
      <c r="L295" s="12">
        <f>SUM(D295:J295)</f>
        <v>4.5</v>
      </c>
      <c r="M295" s="24"/>
      <c r="N295" s="10" t="str">
        <f t="shared" ref="N295" si="160">IF(D302="",D295,0)</f>
        <v/>
      </c>
      <c r="O295" s="10" t="str">
        <f t="shared" ref="O295" si="161">IF(E302="",E295,0)</f>
        <v/>
      </c>
      <c r="P295" s="10">
        <f t="shared" ref="P295" si="162">IF(F302="",F295,0)</f>
        <v>4.5</v>
      </c>
      <c r="Q295" s="10" t="str">
        <f t="shared" ref="Q295" si="163">IF(G302="",G295,0)</f>
        <v/>
      </c>
      <c r="R295" s="10">
        <f t="shared" ref="R295" si="164">IF(H302="",H295,0)</f>
        <v>0</v>
      </c>
      <c r="S295" s="10">
        <f t="shared" ref="S295" si="165">IF(I302="",I295,0)</f>
        <v>0</v>
      </c>
      <c r="T295" s="10" t="str">
        <f t="shared" ref="T295" si="166">IF(J302="",J295,0)</f>
        <v/>
      </c>
      <c r="U295" s="10"/>
      <c r="V295" s="10" t="str">
        <f t="shared" ref="V295" si="167">D295</f>
        <v/>
      </c>
      <c r="W295" s="10" t="str">
        <f t="shared" ref="W295" si="168">E295</f>
        <v/>
      </c>
      <c r="X295" s="10">
        <f t="shared" ref="X295" si="169">F295</f>
        <v>4.5</v>
      </c>
      <c r="Y295" s="10" t="str">
        <f t="shared" ref="Y295" si="170">G295</f>
        <v/>
      </c>
      <c r="Z295" s="10">
        <f t="shared" ref="Z295" si="171">H295</f>
        <v>0</v>
      </c>
      <c r="AA295" s="10">
        <f t="shared" ref="AA295" si="172">I295</f>
        <v>0</v>
      </c>
      <c r="AB295" s="10" t="str">
        <f t="shared" ref="AB295" si="173">J295</f>
        <v/>
      </c>
      <c r="AD295" s="6">
        <f>IF((D292&lt;&gt;"")*(D302=""),IF((D292&lt;=$B$441)*((D293&gt;=$C$441)+(D293&lt;2/24)),1,0),0)</f>
        <v>0</v>
      </c>
      <c r="AE295" s="6">
        <f>IF((E292&lt;&gt;"")*(E302=""),IF((E292&lt;=$B$441)*((E293&gt;=$C$441)+(E293&lt;2/24)),1,0),0)</f>
        <v>0</v>
      </c>
      <c r="AF295" s="6">
        <f>IF((F292&lt;&gt;"")*(F302=""),IF((F292&lt;=$B$441)*((F293&gt;=$C$441)+(F293&lt;2/24)),1,0),0)</f>
        <v>1</v>
      </c>
      <c r="AG295" s="6">
        <f>IF((G292&lt;&gt;"")*(G302=""),IF((G292&lt;=$B$441)*((G293&gt;=$C$441)+(G293&lt;2/24)),1,0),0)</f>
        <v>0</v>
      </c>
      <c r="AH295" s="6">
        <f>IF((H292&lt;&gt;"")*(H302=""),IF((H292&lt;=$B$441)*((H293&gt;=$C$441)+(H293&lt;2/24)),1,0),0)</f>
        <v>0</v>
      </c>
      <c r="AI295" s="6">
        <f>IF((I292&lt;&gt;"")*(I302=""),IF((I292&lt;=$B$441)*((I293&gt;=$C$441)+(I293&lt;2/24)),1,0),0)</f>
        <v>0</v>
      </c>
      <c r="AJ295" s="6">
        <f>IF((J292&lt;&gt;"")*(J302=""),IF((J292&lt;=$B$441)*((J293&gt;=$C$441)+(J293&lt;2/24)),1,0),0)</f>
        <v>0</v>
      </c>
    </row>
    <row r="296" spans="1:36" ht="13.5" thickBot="1" x14ac:dyDescent="0.25">
      <c r="A296" s="41"/>
      <c r="B296" s="42"/>
      <c r="C296" s="96" t="s">
        <v>4</v>
      </c>
      <c r="D296" s="67"/>
      <c r="E296" s="67"/>
      <c r="F296" s="67"/>
      <c r="G296" s="67"/>
      <c r="H296" s="67"/>
      <c r="I296" s="67"/>
      <c r="J296" s="67"/>
      <c r="K296" s="97"/>
      <c r="L296" s="12"/>
      <c r="M296" s="24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D296" s="6"/>
      <c r="AE296" s="6"/>
      <c r="AF296" s="6"/>
      <c r="AG296" s="6"/>
      <c r="AH296" s="6"/>
      <c r="AI296" s="6"/>
      <c r="AJ296" s="6"/>
    </row>
    <row r="297" spans="1:36" x14ac:dyDescent="0.2">
      <c r="A297" s="39" t="s">
        <v>159</v>
      </c>
      <c r="B297" s="40" t="s">
        <v>109</v>
      </c>
      <c r="C297" s="90" t="s">
        <v>0</v>
      </c>
      <c r="D297" s="95"/>
      <c r="E297" s="95"/>
      <c r="F297" s="95"/>
      <c r="G297" s="95">
        <v>0.77083333333333337</v>
      </c>
      <c r="H297" s="95"/>
      <c r="I297" s="95"/>
      <c r="J297" s="95"/>
      <c r="K297" s="18"/>
      <c r="L297" s="12"/>
      <c r="M297" s="24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D297" s="6"/>
      <c r="AE297" s="6"/>
      <c r="AF297" s="6"/>
      <c r="AG297" s="6"/>
      <c r="AH297" s="6"/>
      <c r="AI297" s="6"/>
      <c r="AJ297" s="6"/>
    </row>
    <row r="298" spans="1:36" x14ac:dyDescent="0.2">
      <c r="A298" s="39"/>
      <c r="B298" s="40"/>
      <c r="C298" s="32" t="s">
        <v>1</v>
      </c>
      <c r="D298" s="27"/>
      <c r="E298" s="27"/>
      <c r="F298" s="27"/>
      <c r="G298" s="27">
        <v>0.95833333333333337</v>
      </c>
      <c r="H298" s="27"/>
      <c r="I298" s="27"/>
      <c r="J298" s="27"/>
      <c r="K298" s="18"/>
      <c r="L298" s="12"/>
      <c r="M298" s="24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D298" s="6"/>
      <c r="AE298" s="6"/>
      <c r="AF298" s="6"/>
      <c r="AG298" s="6"/>
      <c r="AH298" s="6"/>
      <c r="AI298" s="6"/>
      <c r="AJ298" s="6"/>
    </row>
    <row r="299" spans="1:36" x14ac:dyDescent="0.2">
      <c r="A299" s="39"/>
      <c r="B299" s="40"/>
      <c r="C299" s="32" t="s">
        <v>2</v>
      </c>
      <c r="D299" s="27"/>
      <c r="E299" s="27"/>
      <c r="F299" s="27"/>
      <c r="G299" s="27"/>
      <c r="H299" s="27"/>
      <c r="I299" s="27"/>
      <c r="J299" s="27"/>
      <c r="K299" s="18"/>
      <c r="L299" s="12"/>
      <c r="M299" s="24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D299" s="6"/>
      <c r="AE299" s="6"/>
      <c r="AF299" s="6"/>
      <c r="AG299" s="6"/>
      <c r="AH299" s="6"/>
      <c r="AI299" s="6"/>
      <c r="AJ299" s="6"/>
    </row>
    <row r="300" spans="1:36" x14ac:dyDescent="0.2">
      <c r="A300" s="39"/>
      <c r="B300" s="40"/>
      <c r="C300" s="32" t="s">
        <v>3</v>
      </c>
      <c r="D300" s="43" t="str">
        <f t="shared" ref="D300:J300" si="174">IF(D297="","",IF(D298&gt;D297,(D298-D297-D299)*24,(1-D297-D299+D298)*24))</f>
        <v/>
      </c>
      <c r="E300" s="43" t="str">
        <f t="shared" si="174"/>
        <v/>
      </c>
      <c r="F300" s="43" t="str">
        <f t="shared" si="174"/>
        <v/>
      </c>
      <c r="G300" s="43">
        <f t="shared" si="174"/>
        <v>4.5</v>
      </c>
      <c r="H300" s="43"/>
      <c r="I300" s="43"/>
      <c r="J300" s="44" t="str">
        <f t="shared" si="174"/>
        <v/>
      </c>
      <c r="K300" s="18" t="e">
        <f>SUMIF(#REF!,"",D300:J300)</f>
        <v>#REF!</v>
      </c>
      <c r="L300" s="12">
        <f>SUM(D300:J300)</f>
        <v>4.5</v>
      </c>
      <c r="M300" s="24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D300" s="6"/>
      <c r="AE300" s="6"/>
      <c r="AF300" s="6"/>
      <c r="AG300" s="6"/>
      <c r="AH300" s="6"/>
      <c r="AI300" s="6"/>
      <c r="AJ300" s="6"/>
    </row>
    <row r="301" spans="1:36" x14ac:dyDescent="0.2">
      <c r="A301" s="39"/>
      <c r="B301" s="40"/>
      <c r="C301" s="32" t="s">
        <v>4</v>
      </c>
      <c r="D301" s="27"/>
      <c r="E301" s="27"/>
      <c r="F301" s="27"/>
      <c r="G301" s="27"/>
      <c r="H301" s="27"/>
      <c r="I301" s="27"/>
      <c r="J301" s="27"/>
      <c r="K301" s="18"/>
      <c r="L301" s="12"/>
      <c r="M301" s="24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D301" s="6"/>
      <c r="AE301" s="6"/>
      <c r="AF301" s="6"/>
      <c r="AG301" s="6"/>
      <c r="AH301" s="6"/>
      <c r="AI301" s="6"/>
      <c r="AJ301" s="6"/>
    </row>
    <row r="302" spans="1:36" ht="13.5" thickBot="1" x14ac:dyDescent="0.25">
      <c r="A302" s="39"/>
      <c r="B302" s="40"/>
      <c r="C302" s="32" t="s">
        <v>28</v>
      </c>
      <c r="D302" s="33"/>
      <c r="E302" s="33"/>
      <c r="F302" s="33"/>
      <c r="G302" s="33"/>
      <c r="H302" s="33"/>
      <c r="I302" s="33"/>
      <c r="J302" s="33"/>
      <c r="K302" s="17"/>
      <c r="L302" s="6"/>
      <c r="M302" s="25"/>
      <c r="N302" s="6"/>
      <c r="O302" s="6"/>
      <c r="P302" s="6"/>
      <c r="Q302" s="6"/>
      <c r="R302" s="6"/>
      <c r="S302" s="6"/>
      <c r="T302" s="6"/>
      <c r="U302" s="6"/>
      <c r="V302" s="20"/>
      <c r="W302" s="20"/>
      <c r="X302" s="20"/>
      <c r="Y302" s="20"/>
      <c r="Z302" s="20"/>
      <c r="AA302" s="20"/>
      <c r="AB302" s="20"/>
      <c r="AD302" s="6">
        <f>IF((D292&lt;&gt;"")*(D302=""),IF((D292&lt;=$B$442)*((D293&gt;=$C$442)+(D293&lt;2/24)),1,0),0)</f>
        <v>0</v>
      </c>
      <c r="AE302" s="6">
        <f>IF((E292&lt;&gt;"")*(E302=""),IF((E292&lt;=$B$442)*((E293&gt;=$C$442)+(E293&lt;2/24)),1,0),0)</f>
        <v>0</v>
      </c>
      <c r="AF302" s="6">
        <f>IF((F292&lt;&gt;"")*(F302=""),IF((F292&lt;=$B$442)*((F293&gt;=$C$442)+(F293&lt;2/24)),1,0),0)</f>
        <v>1</v>
      </c>
      <c r="AG302" s="6">
        <f>IF((G292&lt;&gt;"")*(G302=""),IF((G292&lt;=$B$442)*((G293&gt;=$C$442)+(G293&lt;2/24)),1,0),0)</f>
        <v>0</v>
      </c>
      <c r="AH302" s="6">
        <f>IF((H292&lt;&gt;"")*(H302=""),IF((H292&lt;=$B$442)*((H293&gt;=$C$442)+(H293&lt;2/24)),1,0),0)</f>
        <v>0</v>
      </c>
      <c r="AI302" s="6">
        <f>IF((I292&lt;&gt;"")*(I302=""),IF((I292&lt;=$B$442)*((I293&gt;=$C$442)+(I293&lt;2/24)),1,0),0)</f>
        <v>0</v>
      </c>
      <c r="AJ302" s="6">
        <f>IF((J292&lt;&gt;"")*(J302=""),IF((J292&lt;=$B$442)*((J293&gt;=$C$442)+(J293&lt;2/24)),1,0),0)</f>
        <v>0</v>
      </c>
    </row>
    <row r="303" spans="1:36" x14ac:dyDescent="0.2">
      <c r="A303" s="37" t="s">
        <v>107</v>
      </c>
      <c r="B303" s="38" t="s">
        <v>113</v>
      </c>
      <c r="C303" s="14" t="s">
        <v>0</v>
      </c>
      <c r="D303" s="26"/>
      <c r="E303" s="26"/>
      <c r="F303" s="26"/>
      <c r="G303" s="26"/>
      <c r="H303" s="26"/>
      <c r="I303" s="26"/>
      <c r="J303" s="26"/>
      <c r="K303" s="16"/>
      <c r="L303" s="6"/>
      <c r="M303" s="21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D303" s="6">
        <f>IF((D303&lt;&gt;"")*(D307=""),IF((D303&lt;=#REF!)*((D304&gt;=#REF!)+(D304&lt;2/24)),1,0),0)</f>
        <v>0</v>
      </c>
      <c r="AE303" s="6">
        <f>IF((E303&lt;&gt;"")*(E307=""),IF((E303&lt;=#REF!)*((E304&gt;=#REF!)+(E304&lt;2/24)),1,0),0)</f>
        <v>0</v>
      </c>
      <c r="AF303" s="6">
        <f>IF((F303&lt;&gt;"")*(F307=""),IF((F303&lt;=#REF!)*((F304&gt;=#REF!)+(F304&lt;2/24)),1,0),0)</f>
        <v>0</v>
      </c>
      <c r="AG303" s="6">
        <f>IF((G303&lt;&gt;"")*(G307=""),IF((G303&lt;=#REF!)*((G304&gt;=#REF!)+(G304&lt;2/24)),1,0),0)</f>
        <v>0</v>
      </c>
      <c r="AH303" s="6">
        <f>IF((H303&lt;&gt;"")*(H307=""),IF((H303&lt;=#REF!)*((H304&gt;=#REF!)+(H304&lt;2/24)),1,0),0)</f>
        <v>0</v>
      </c>
      <c r="AI303" s="6">
        <f>IF((I303&lt;&gt;"")*(I307=""),IF((I303&lt;=#REF!)*((I304&gt;=#REF!)+(I304&lt;2/24)),1,0),0)</f>
        <v>0</v>
      </c>
      <c r="AJ303" s="6">
        <f>IF((J303&lt;&gt;"")*(J307=""),IF((J303&lt;=#REF!)*((J304&gt;=#REF!)+(J304&lt;2/24)),1,0),0)</f>
        <v>0</v>
      </c>
    </row>
    <row r="304" spans="1:36" x14ac:dyDescent="0.2">
      <c r="A304" s="39"/>
      <c r="B304" s="40"/>
      <c r="C304" s="15" t="s">
        <v>1</v>
      </c>
      <c r="D304" s="27"/>
      <c r="E304" s="27"/>
      <c r="F304" s="27"/>
      <c r="G304" s="27"/>
      <c r="H304" s="27"/>
      <c r="I304" s="27"/>
      <c r="J304" s="27"/>
      <c r="K304" s="17"/>
      <c r="L304" s="6"/>
      <c r="M304" s="21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D304" s="6">
        <f>IF((D303&lt;&gt;"")*(D307=""),IF((D303&lt;=#REF!)*((D304&gt;=#REF!)+(D304&lt;2/24)),1,0),0)</f>
        <v>0</v>
      </c>
      <c r="AE304" s="6">
        <f>IF((E303&lt;&gt;"")*(E307=""),IF((E303&lt;=#REF!)*((E304&gt;=#REF!)+(E304&lt;2/24)),1,0),0)</f>
        <v>0</v>
      </c>
      <c r="AF304" s="6">
        <f>IF((F303&lt;&gt;"")*(F307=""),IF((F303&lt;=#REF!)*((F304&gt;=#REF!)+(F304&lt;2/24)),1,0),0)</f>
        <v>0</v>
      </c>
      <c r="AG304" s="6">
        <f>IF((G303&lt;&gt;"")*(G307=""),IF((G303&lt;=#REF!)*((G304&gt;=#REF!)+(G304&lt;2/24)),1,0),0)</f>
        <v>0</v>
      </c>
      <c r="AH304" s="6">
        <f>IF((H303&lt;&gt;"")*(H307=""),IF((H303&lt;=#REF!)*((H304&gt;=#REF!)+(H304&lt;2/24)),1,0),0)</f>
        <v>0</v>
      </c>
      <c r="AI304" s="6">
        <f>IF((I303&lt;&gt;"")*(I307=""),IF((I303&lt;=#REF!)*((I304&gt;=#REF!)+(I304&lt;2/24)),1,0),0)</f>
        <v>0</v>
      </c>
      <c r="AJ304" s="6">
        <f>IF((J303&lt;&gt;"")*(J307=""),IF((J303&lt;=#REF!)*((J304&gt;=#REF!)+(J304&lt;2/24)),1,0),0)</f>
        <v>0</v>
      </c>
    </row>
    <row r="305" spans="1:36" x14ac:dyDescent="0.2">
      <c r="A305" s="39"/>
      <c r="B305" s="40"/>
      <c r="C305" s="15" t="s">
        <v>2</v>
      </c>
      <c r="D305" s="4"/>
      <c r="E305" s="4"/>
      <c r="F305" s="4"/>
      <c r="G305" s="58"/>
      <c r="H305" s="4"/>
      <c r="I305" s="4"/>
      <c r="J305" s="4"/>
      <c r="K305" s="17"/>
      <c r="L305" s="6"/>
      <c r="M305" s="21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D305" s="6">
        <f>IF((D303&lt;&gt;"")*(D307=""),IF((D303&lt;=#REF!)*((D304&gt;=#REF!)+(D304&lt;2/24)),1,0),0)</f>
        <v>0</v>
      </c>
      <c r="AE305" s="6">
        <f>IF((E303&lt;&gt;"")*(E307=""),IF((E303&lt;=#REF!)*((E304&gt;=#REF!)+(E304&lt;2/24)),1,0),0)</f>
        <v>0</v>
      </c>
      <c r="AF305" s="6">
        <f>IF((F303&lt;&gt;"")*(F307=""),IF((F303&lt;=#REF!)*((F304&gt;=#REF!)+(F304&lt;2/24)),1,0),0)</f>
        <v>0</v>
      </c>
      <c r="AG305" s="6">
        <f>IF((G303&lt;&gt;"")*(G307=""),IF((G303&lt;=#REF!)*((G304&gt;=#REF!)+(G304&lt;2/24)),1,0),0)</f>
        <v>0</v>
      </c>
      <c r="AH305" s="6">
        <f>IF((H303&lt;&gt;"")*(H307=""),IF((H303&lt;=#REF!)*((H304&gt;=#REF!)+(H304&lt;2/24)),1,0),0)</f>
        <v>0</v>
      </c>
      <c r="AI305" s="6">
        <f>IF((I303&lt;&gt;"")*(I307=""),IF((I303&lt;=#REF!)*((I304&gt;=#REF!)+(I304&lt;2/24)),1,0),0)</f>
        <v>0</v>
      </c>
      <c r="AJ305" s="6">
        <f>IF((J303&lt;&gt;"")*(J307=""),IF((J303&lt;=#REF!)*((J304&gt;=#REF!)+(J304&lt;2/24)),1,0),0)</f>
        <v>0</v>
      </c>
    </row>
    <row r="306" spans="1:36" x14ac:dyDescent="0.2">
      <c r="A306" s="39"/>
      <c r="B306" s="40"/>
      <c r="C306" s="15" t="s">
        <v>3</v>
      </c>
      <c r="D306" s="43"/>
      <c r="E306" s="43" t="str">
        <f t="shared" ref="E306:J306" si="175">IF(E303="","",IF(E304&gt;E303,(E304-E303-E305)*24,(1-E303-E305+E304)*24))</f>
        <v/>
      </c>
      <c r="F306" s="43" t="str">
        <f t="shared" si="175"/>
        <v/>
      </c>
      <c r="G306" s="55" t="str">
        <f t="shared" si="175"/>
        <v/>
      </c>
      <c r="H306" s="55" t="str">
        <f t="shared" si="175"/>
        <v/>
      </c>
      <c r="I306" s="43" t="str">
        <f t="shared" si="175"/>
        <v/>
      </c>
      <c r="J306" s="44" t="str">
        <f t="shared" si="175"/>
        <v/>
      </c>
      <c r="K306" s="18">
        <f>SUMIF(D307:J307,"",D306:J306)</f>
        <v>0</v>
      </c>
      <c r="L306" s="12">
        <f>SUM(D306:J306)</f>
        <v>0</v>
      </c>
      <c r="M306" s="24"/>
      <c r="N306" s="10">
        <f t="shared" ref="N306:T306" si="176">IF(D307="",D306,0)</f>
        <v>0</v>
      </c>
      <c r="O306" s="10" t="str">
        <f t="shared" si="176"/>
        <v/>
      </c>
      <c r="P306" s="10" t="str">
        <f t="shared" si="176"/>
        <v/>
      </c>
      <c r="Q306" s="10" t="str">
        <f t="shared" si="176"/>
        <v/>
      </c>
      <c r="R306" s="10" t="str">
        <f t="shared" si="176"/>
        <v/>
      </c>
      <c r="S306" s="10" t="str">
        <f t="shared" si="176"/>
        <v/>
      </c>
      <c r="T306" s="10" t="str">
        <f t="shared" si="176"/>
        <v/>
      </c>
      <c r="U306" s="10"/>
      <c r="V306" s="10">
        <f t="shared" ref="V306:AB306" si="177">D306</f>
        <v>0</v>
      </c>
      <c r="W306" s="10" t="str">
        <f t="shared" si="177"/>
        <v/>
      </c>
      <c r="X306" s="10" t="str">
        <f t="shared" si="177"/>
        <v/>
      </c>
      <c r="Y306" s="10" t="str">
        <f t="shared" si="177"/>
        <v/>
      </c>
      <c r="Z306" s="10" t="str">
        <f t="shared" si="177"/>
        <v/>
      </c>
      <c r="AA306" s="10" t="str">
        <f t="shared" si="177"/>
        <v/>
      </c>
      <c r="AB306" s="10" t="str">
        <f t="shared" si="177"/>
        <v/>
      </c>
      <c r="AD306" s="6">
        <f>IF((D303&lt;&gt;"")*(D307=""),IF((D303&lt;=#REF!)*((D304&gt;=#REF!)+(D304&lt;2/24)),1,0),0)</f>
        <v>0</v>
      </c>
      <c r="AE306" s="6">
        <f>IF((E303&lt;&gt;"")*(E307=""),IF((E303&lt;=#REF!)*((E304&gt;=#REF!)+(E304&lt;2/24)),1,0),0)</f>
        <v>0</v>
      </c>
      <c r="AF306" s="6">
        <f>IF((F303&lt;&gt;"")*(F307=""),IF((F303&lt;=#REF!)*((F304&gt;=#REF!)+(F304&lt;2/24)),1,0),0)</f>
        <v>0</v>
      </c>
      <c r="AG306" s="6">
        <f>IF((G303&lt;&gt;"")*(G307=""),IF((G303&lt;=#REF!)*((G304&gt;=#REF!)+(G304&lt;2/24)),1,0),0)</f>
        <v>0</v>
      </c>
      <c r="AH306" s="6">
        <f>IF((H303&lt;&gt;"")*(H307=""),IF((H303&lt;=#REF!)*((H304&gt;=#REF!)+(H304&lt;2/24)),1,0),0)</f>
        <v>0</v>
      </c>
      <c r="AI306" s="6">
        <f>IF((I303&lt;&gt;"")*(I307=""),IF((I303&lt;=#REF!)*((I304&gt;=#REF!)+(I304&lt;2/24)),1,0),0)</f>
        <v>0</v>
      </c>
      <c r="AJ306" s="6">
        <f>IF((J303&lt;&gt;"")*(J307=""),IF((J303&lt;=#REF!)*((J304&gt;=#REF!)+(J304&lt;2/24)),1,0),0)</f>
        <v>0</v>
      </c>
    </row>
    <row r="307" spans="1:36" x14ac:dyDescent="0.2">
      <c r="A307" s="39"/>
      <c r="B307" s="40"/>
      <c r="C307" s="32" t="s">
        <v>4</v>
      </c>
      <c r="D307" s="33"/>
      <c r="E307" s="33"/>
      <c r="F307" s="33"/>
      <c r="G307" s="33"/>
      <c r="H307" s="33"/>
      <c r="I307" s="33"/>
      <c r="J307" s="33"/>
      <c r="K307" s="17"/>
      <c r="L307" s="6"/>
      <c r="M307" s="25"/>
      <c r="N307" s="6"/>
      <c r="O307" s="6"/>
      <c r="P307" s="6"/>
      <c r="Q307" s="6"/>
      <c r="R307" s="6"/>
      <c r="S307" s="6"/>
      <c r="T307" s="6"/>
      <c r="U307" s="6"/>
      <c r="V307" s="20"/>
      <c r="W307" s="20"/>
      <c r="X307" s="20"/>
      <c r="Y307" s="20"/>
      <c r="Z307" s="20"/>
      <c r="AA307" s="20"/>
      <c r="AB307" s="20"/>
      <c r="AD307" s="6">
        <f>IF((D303&lt;&gt;"")*(D307=""),IF((D303&lt;=#REF!)*((D304&gt;=#REF!)+(D304&lt;2/24)),1,0),0)</f>
        <v>0</v>
      </c>
      <c r="AE307" s="6">
        <f>IF((E303&lt;&gt;"")*(E307=""),IF((E303&lt;=#REF!)*((E304&gt;=#REF!)+(E304&lt;2/24)),1,0),0)</f>
        <v>0</v>
      </c>
      <c r="AF307" s="6">
        <f>IF((F303&lt;&gt;"")*(F307=""),IF((F303&lt;=#REF!)*((F304&gt;=#REF!)+(F304&lt;2/24)),1,0),0)</f>
        <v>0</v>
      </c>
      <c r="AG307" s="6">
        <f>IF((G303&lt;&gt;"")*(G307=""),IF((G303&lt;=#REF!)*((G304&gt;=#REF!)+(G304&lt;2/24)),1,0),0)</f>
        <v>0</v>
      </c>
      <c r="AH307" s="6">
        <f>IF((H303&lt;&gt;"")*(H307=""),IF((H303&lt;=#REF!)*((H304&gt;=#REF!)+(H304&lt;2/24)),1,0),0)</f>
        <v>0</v>
      </c>
      <c r="AI307" s="6">
        <f>IF((I303&lt;&gt;"")*(I307=""),IF((I303&lt;=#REF!)*((I304&gt;=#REF!)+(I304&lt;2/24)),1,0),0)</f>
        <v>0</v>
      </c>
      <c r="AJ307" s="6">
        <f>IF((J303&lt;&gt;"")*(J307=""),IF((J303&lt;=#REF!)*((J304&gt;=#REF!)+(J304&lt;2/24)),1,0),0)</f>
        <v>0</v>
      </c>
    </row>
    <row r="308" spans="1:36" ht="13.5" thickBot="1" x14ac:dyDescent="0.25">
      <c r="A308" s="41"/>
      <c r="B308" s="42"/>
      <c r="C308" s="35" t="s">
        <v>28</v>
      </c>
      <c r="D308" s="36"/>
      <c r="E308" s="36"/>
      <c r="F308" s="36"/>
      <c r="G308" s="36"/>
      <c r="H308" s="36"/>
      <c r="I308" s="36"/>
      <c r="J308" s="36"/>
      <c r="K308" s="34"/>
      <c r="L308" s="6"/>
      <c r="M308" s="25"/>
      <c r="N308" s="6"/>
      <c r="O308" s="6"/>
      <c r="P308" s="6"/>
      <c r="Q308" s="6"/>
      <c r="R308" s="6"/>
      <c r="S308" s="6"/>
      <c r="T308" s="6"/>
      <c r="U308" s="6"/>
      <c r="V308" s="20"/>
      <c r="W308" s="20"/>
      <c r="X308" s="20"/>
      <c r="Y308" s="20"/>
      <c r="Z308" s="20"/>
      <c r="AA308" s="20"/>
      <c r="AB308" s="20"/>
      <c r="AD308" s="6"/>
      <c r="AE308" s="6"/>
      <c r="AF308" s="6"/>
      <c r="AG308" s="6"/>
      <c r="AH308" s="6"/>
      <c r="AI308" s="6"/>
      <c r="AJ308" s="6"/>
    </row>
    <row r="309" spans="1:36" ht="10.5" customHeight="1" x14ac:dyDescent="0.2">
      <c r="A309" s="37" t="s">
        <v>131</v>
      </c>
      <c r="B309" s="38" t="s">
        <v>132</v>
      </c>
      <c r="C309" s="14" t="s">
        <v>0</v>
      </c>
      <c r="D309" s="26"/>
      <c r="E309" s="26">
        <v>0.54166666666666663</v>
      </c>
      <c r="F309" s="26">
        <v>0.54166666666666663</v>
      </c>
      <c r="G309" s="26">
        <v>0.54166666666666663</v>
      </c>
      <c r="H309" s="26"/>
      <c r="I309" s="26"/>
      <c r="J309" s="26"/>
      <c r="K309" s="16"/>
      <c r="L309" s="6"/>
      <c r="M309" s="21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D309" s="6">
        <f>IF((D309&lt;&gt;"")*(D313=""),IF((D309&lt;=#REF!)*((D310&gt;=#REF!)+(D310&lt;2/24)),1,0),0)</f>
        <v>0</v>
      </c>
      <c r="AE309" s="6" t="e">
        <f>IF((E309&lt;&gt;"")*(E313=""),IF((E309&lt;=#REF!)*((E310&gt;=#REF!)+(E310&lt;2/24)),1,0),0)</f>
        <v>#REF!</v>
      </c>
      <c r="AF309" s="6" t="e">
        <f>IF((F309&lt;&gt;"")*(F313=""),IF((F309&lt;=#REF!)*((F310&gt;=#REF!)+(F310&lt;2/24)),1,0),0)</f>
        <v>#REF!</v>
      </c>
      <c r="AG309" s="6" t="e">
        <f>IF((G309&lt;&gt;"")*(G313=""),IF((G309&lt;=#REF!)*((G310&gt;=#REF!)+(G310&lt;2/24)),1,0),0)</f>
        <v>#REF!</v>
      </c>
      <c r="AH309" s="6">
        <f>IF((H309&lt;&gt;"")*(H313=""),IF((H309&lt;=#REF!)*((H310&gt;=#REF!)+(H310&lt;2/24)),1,0),0)</f>
        <v>0</v>
      </c>
      <c r="AI309" s="6">
        <f>IF((I309&lt;&gt;"")*(I313=""),IF((I309&lt;=#REF!)*((I310&gt;=#REF!)+(I310&lt;2/24)),1,0),0)</f>
        <v>0</v>
      </c>
      <c r="AJ309" s="6">
        <f>IF((J309&lt;&gt;"")*(J313=""),IF((J309&lt;=#REF!)*((J310&gt;=#REF!)+(J310&lt;2/24)),1,0),0)</f>
        <v>0</v>
      </c>
    </row>
    <row r="310" spans="1:36" x14ac:dyDescent="0.2">
      <c r="A310" s="39"/>
      <c r="B310" s="40"/>
      <c r="C310" s="15" t="s">
        <v>1</v>
      </c>
      <c r="D310" s="27"/>
      <c r="E310" s="27">
        <v>0.95833333333333337</v>
      </c>
      <c r="F310" s="27">
        <v>0.75</v>
      </c>
      <c r="G310" s="27">
        <v>0.95833333333333337</v>
      </c>
      <c r="H310" s="27"/>
      <c r="I310" s="27"/>
      <c r="J310" s="27"/>
      <c r="K310" s="17"/>
      <c r="L310" s="6"/>
      <c r="M310" s="21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D310" s="6">
        <f>IF((D309&lt;&gt;"")*(D313=""),IF((D309&lt;=#REF!)*((D310&gt;=#REF!)+(D310&lt;2/24)),1,0),0)</f>
        <v>0</v>
      </c>
      <c r="AE310" s="6" t="e">
        <f>IF((E309&lt;&gt;"")*(E313=""),IF((E309&lt;=#REF!)*((E310&gt;=#REF!)+(E310&lt;2/24)),1,0),0)</f>
        <v>#REF!</v>
      </c>
      <c r="AF310" s="6" t="e">
        <f>IF((F309&lt;&gt;"")*(F313=""),IF((F309&lt;=#REF!)*((F310&gt;=#REF!)+(F310&lt;2/24)),1,0),0)</f>
        <v>#REF!</v>
      </c>
      <c r="AG310" s="6" t="e">
        <f>IF((G309&lt;&gt;"")*(G313=""),IF((G309&lt;=#REF!)*((G310&gt;=#REF!)+(G310&lt;2/24)),1,0),0)</f>
        <v>#REF!</v>
      </c>
      <c r="AH310" s="6">
        <f>IF((H309&lt;&gt;"")*(H313=""),IF((H309&lt;=#REF!)*((H310&gt;=#REF!)+(H310&lt;2/24)),1,0),0)</f>
        <v>0</v>
      </c>
      <c r="AI310" s="6">
        <f>IF((I309&lt;&gt;"")*(I313=""),IF((I309&lt;=#REF!)*((I310&gt;=#REF!)+(I310&lt;2/24)),1,0),0)</f>
        <v>0</v>
      </c>
      <c r="AJ310" s="6">
        <f>IF((J309&lt;&gt;"")*(J313=""),IF((J309&lt;=#REF!)*((J310&gt;=#REF!)+(J310&lt;2/24)),1,0),0)</f>
        <v>0</v>
      </c>
    </row>
    <row r="311" spans="1:36" x14ac:dyDescent="0.2">
      <c r="A311" s="39"/>
      <c r="B311" s="40"/>
      <c r="C311" s="15" t="s">
        <v>2</v>
      </c>
      <c r="D311" s="4"/>
      <c r="E311" s="4">
        <v>4.1666666666666664E-2</v>
      </c>
      <c r="F311" s="4"/>
      <c r="G311" s="4">
        <v>4.1666666666666664E-2</v>
      </c>
      <c r="H311" s="4"/>
      <c r="I311" s="4"/>
      <c r="J311" s="4"/>
      <c r="K311" s="17"/>
      <c r="L311" s="6"/>
      <c r="M311" s="21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D311" s="6">
        <f>IF((D309&lt;&gt;"")*(D313=""),IF((D309&lt;=#REF!)*((D310&gt;=#REF!)+(D310&lt;2/24)),1,0),0)</f>
        <v>0</v>
      </c>
      <c r="AE311" s="6" t="e">
        <f>IF((E309&lt;&gt;"")*(E313=""),IF((E309&lt;=#REF!)*((E310&gt;=#REF!)+(E310&lt;2/24)),1,0),0)</f>
        <v>#REF!</v>
      </c>
      <c r="AF311" s="6" t="e">
        <f>IF((F309&lt;&gt;"")*(F313=""),IF((F309&lt;=#REF!)*((F310&gt;=#REF!)+(F310&lt;2/24)),1,0),0)</f>
        <v>#REF!</v>
      </c>
      <c r="AG311" s="6" t="e">
        <f>IF((G309&lt;&gt;"")*(G313=""),IF((G309&lt;=#REF!)*((G310&gt;=#REF!)+(G310&lt;2/24)),1,0),0)</f>
        <v>#REF!</v>
      </c>
      <c r="AH311" s="6">
        <f>IF((H309&lt;&gt;"")*(H313=""),IF((H309&lt;=#REF!)*((H310&gt;=#REF!)+(H310&lt;2/24)),1,0),0)</f>
        <v>0</v>
      </c>
      <c r="AI311" s="6">
        <f>IF((I309&lt;&gt;"")*(I313=""),IF((I309&lt;=#REF!)*((I310&gt;=#REF!)+(I310&lt;2/24)),1,0),0)</f>
        <v>0</v>
      </c>
      <c r="AJ311" s="6">
        <f>IF((J309&lt;&gt;"")*(J313=""),IF((J309&lt;=#REF!)*((J310&gt;=#REF!)+(J310&lt;2/24)),1,0),0)</f>
        <v>0</v>
      </c>
    </row>
    <row r="312" spans="1:36" x14ac:dyDescent="0.2">
      <c r="A312" s="39"/>
      <c r="B312" s="40"/>
      <c r="C312" s="15" t="s">
        <v>3</v>
      </c>
      <c r="D312" s="43" t="str">
        <f t="shared" ref="D312:J312" si="178">IF(D309="","",IF(D310&gt;D309,(D310-D309-D311)*24,(1-D309-D311+D310)*24))</f>
        <v/>
      </c>
      <c r="E312" s="43">
        <f t="shared" si="178"/>
        <v>9.0000000000000018</v>
      </c>
      <c r="F312" s="43">
        <f t="shared" si="178"/>
        <v>5.0000000000000009</v>
      </c>
      <c r="G312" s="55">
        <f t="shared" si="178"/>
        <v>9.0000000000000018</v>
      </c>
      <c r="H312" s="55" t="str">
        <f t="shared" si="178"/>
        <v/>
      </c>
      <c r="I312" s="43" t="str">
        <f t="shared" si="178"/>
        <v/>
      </c>
      <c r="J312" s="44" t="str">
        <f t="shared" si="178"/>
        <v/>
      </c>
      <c r="K312" s="18">
        <f>SUMIF(D313:J313,"",D312:J312)</f>
        <v>23.000000000000007</v>
      </c>
      <c r="L312" s="12">
        <f>SUM(D312:J312)</f>
        <v>23.000000000000007</v>
      </c>
      <c r="M312" s="24"/>
      <c r="N312" s="10" t="str">
        <f t="shared" ref="N312:T312" si="179">IF(D313="",D312,0)</f>
        <v/>
      </c>
      <c r="O312" s="10">
        <f t="shared" si="179"/>
        <v>9.0000000000000018</v>
      </c>
      <c r="P312" s="10">
        <f t="shared" si="179"/>
        <v>5.0000000000000009</v>
      </c>
      <c r="Q312" s="10">
        <f t="shared" si="179"/>
        <v>9.0000000000000018</v>
      </c>
      <c r="R312" s="10" t="str">
        <f t="shared" si="179"/>
        <v/>
      </c>
      <c r="S312" s="10" t="str">
        <f t="shared" si="179"/>
        <v/>
      </c>
      <c r="T312" s="10" t="str">
        <f t="shared" si="179"/>
        <v/>
      </c>
      <c r="U312" s="10"/>
      <c r="V312" s="10" t="str">
        <f t="shared" ref="V312:AB312" si="180">D312</f>
        <v/>
      </c>
      <c r="W312" s="10">
        <f t="shared" si="180"/>
        <v>9.0000000000000018</v>
      </c>
      <c r="X312" s="10">
        <f t="shared" si="180"/>
        <v>5.0000000000000009</v>
      </c>
      <c r="Y312" s="10">
        <f t="shared" si="180"/>
        <v>9.0000000000000018</v>
      </c>
      <c r="Z312" s="10" t="str">
        <f t="shared" si="180"/>
        <v/>
      </c>
      <c r="AA312" s="10" t="str">
        <f t="shared" si="180"/>
        <v/>
      </c>
      <c r="AB312" s="10" t="str">
        <f t="shared" si="180"/>
        <v/>
      </c>
      <c r="AD312" s="6">
        <f>IF((D309&lt;&gt;"")*(D313=""),IF((D309&lt;=#REF!)*((D310&gt;=#REF!)+(D310&lt;2/24)),1,0),0)</f>
        <v>0</v>
      </c>
      <c r="AE312" s="6" t="e">
        <f>IF((E309&lt;&gt;"")*(E313=""),IF((E309&lt;=#REF!)*((E310&gt;=#REF!)+(E310&lt;2/24)),1,0),0)</f>
        <v>#REF!</v>
      </c>
      <c r="AF312" s="6" t="e">
        <f>IF((F309&lt;&gt;"")*(F313=""),IF((F309&lt;=#REF!)*((F310&gt;=#REF!)+(F310&lt;2/24)),1,0),0)</f>
        <v>#REF!</v>
      </c>
      <c r="AG312" s="6" t="e">
        <f>IF((G309&lt;&gt;"")*(G313=""),IF((G309&lt;=#REF!)*((G310&gt;=#REF!)+(G310&lt;2/24)),1,0),0)</f>
        <v>#REF!</v>
      </c>
      <c r="AH312" s="6">
        <f>IF((H309&lt;&gt;"")*(H313=""),IF((H309&lt;=#REF!)*((H310&gt;=#REF!)+(H310&lt;2/24)),1,0),0)</f>
        <v>0</v>
      </c>
      <c r="AI312" s="6">
        <f>IF((I309&lt;&gt;"")*(I313=""),IF((I309&lt;=#REF!)*((I310&gt;=#REF!)+(I310&lt;2/24)),1,0),0)</f>
        <v>0</v>
      </c>
      <c r="AJ312" s="6">
        <f>IF((J309&lt;&gt;"")*(J313=""),IF((J309&lt;=#REF!)*((J310&gt;=#REF!)+(J310&lt;2/24)),1,0),0)</f>
        <v>0</v>
      </c>
    </row>
    <row r="313" spans="1:36" x14ac:dyDescent="0.2">
      <c r="A313" s="39"/>
      <c r="B313" s="40"/>
      <c r="C313" s="32" t="s">
        <v>4</v>
      </c>
      <c r="D313" s="33"/>
      <c r="E313" s="33"/>
      <c r="F313" s="33"/>
      <c r="G313" s="33"/>
      <c r="H313" s="33"/>
      <c r="I313" s="33"/>
      <c r="J313" s="33"/>
      <c r="K313" s="17"/>
      <c r="L313" s="6"/>
      <c r="M313" s="25"/>
      <c r="N313" s="6"/>
      <c r="O313" s="6"/>
      <c r="P313" s="6"/>
      <c r="Q313" s="6"/>
      <c r="R313" s="6"/>
      <c r="S313" s="6"/>
      <c r="T313" s="6"/>
      <c r="U313" s="6"/>
      <c r="V313" s="20"/>
      <c r="W313" s="20"/>
      <c r="X313" s="20"/>
      <c r="Y313" s="20"/>
      <c r="Z313" s="20"/>
      <c r="AA313" s="20"/>
      <c r="AB313" s="20"/>
      <c r="AD313" s="6">
        <f>IF((D309&lt;&gt;"")*(D313=""),IF((D309&lt;=#REF!)*((D310&gt;=#REF!)+(D310&lt;2/24)),1,0),0)</f>
        <v>0</v>
      </c>
      <c r="AE313" s="6" t="e">
        <f>IF((E309&lt;&gt;"")*(E313=""),IF((E309&lt;=#REF!)*((E310&gt;=#REF!)+(E310&lt;2/24)),1,0),0)</f>
        <v>#REF!</v>
      </c>
      <c r="AF313" s="6" t="e">
        <f>IF((F309&lt;&gt;"")*(F313=""),IF((F309&lt;=#REF!)*((F310&gt;=#REF!)+(F310&lt;2/24)),1,0),0)</f>
        <v>#REF!</v>
      </c>
      <c r="AG313" s="6" t="e">
        <f>IF((G309&lt;&gt;"")*(G313=""),IF((G309&lt;=#REF!)*((G310&gt;=#REF!)+(G310&lt;2/24)),1,0),0)</f>
        <v>#REF!</v>
      </c>
      <c r="AH313" s="6">
        <f>IF((H309&lt;&gt;"")*(H313=""),IF((H309&lt;=#REF!)*((H310&gt;=#REF!)+(H310&lt;2/24)),1,0),0)</f>
        <v>0</v>
      </c>
      <c r="AI313" s="6">
        <f>IF((I309&lt;&gt;"")*(I313=""),IF((I309&lt;=#REF!)*((I310&gt;=#REF!)+(I310&lt;2/24)),1,0),0)</f>
        <v>0</v>
      </c>
      <c r="AJ313" s="6">
        <f>IF((J309&lt;&gt;"")*(J313=""),IF((J309&lt;=#REF!)*((J310&gt;=#REF!)+(J310&lt;2/24)),1,0),0)</f>
        <v>0</v>
      </c>
    </row>
    <row r="314" spans="1:36" ht="13.5" thickBot="1" x14ac:dyDescent="0.25">
      <c r="A314" s="41"/>
      <c r="B314" s="42"/>
      <c r="C314" s="35" t="s">
        <v>28</v>
      </c>
      <c r="D314" s="36"/>
      <c r="E314" s="36"/>
      <c r="F314" s="36"/>
      <c r="G314" s="36"/>
      <c r="H314" s="36"/>
      <c r="I314" s="36"/>
      <c r="J314" s="36"/>
      <c r="K314" s="34"/>
      <c r="L314" s="6"/>
      <c r="M314" s="25"/>
      <c r="N314" s="6"/>
      <c r="O314" s="6"/>
      <c r="P314" s="6"/>
      <c r="Q314" s="6"/>
      <c r="R314" s="6"/>
      <c r="S314" s="6"/>
      <c r="T314" s="6"/>
      <c r="U314" s="6"/>
      <c r="V314" s="20"/>
      <c r="W314" s="20"/>
      <c r="X314" s="20"/>
      <c r="Y314" s="20"/>
      <c r="Z314" s="20"/>
      <c r="AA314" s="20"/>
      <c r="AB314" s="20"/>
      <c r="AD314" s="6"/>
      <c r="AE314" s="6"/>
      <c r="AF314" s="6"/>
      <c r="AG314" s="6"/>
      <c r="AH314" s="6"/>
      <c r="AI314" s="6"/>
      <c r="AJ314" s="6"/>
    </row>
    <row r="315" spans="1:36" ht="13.5" customHeight="1" x14ac:dyDescent="0.2">
      <c r="A315" s="37" t="s">
        <v>135</v>
      </c>
      <c r="B315" s="38" t="s">
        <v>136</v>
      </c>
      <c r="C315" s="14" t="s">
        <v>0</v>
      </c>
      <c r="D315" s="26"/>
      <c r="E315" s="26"/>
      <c r="F315" s="26"/>
      <c r="G315" s="26"/>
      <c r="H315" s="26"/>
      <c r="I315" s="26"/>
      <c r="J315" s="26"/>
      <c r="K315" s="16"/>
      <c r="L315" s="6"/>
      <c r="M315" s="21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D315" s="6">
        <f>IF((D315&lt;&gt;"")*(D319=""),IF((D315&lt;=#REF!)*((D316&gt;=#REF!)+(D316&lt;2/24)),1,0),0)</f>
        <v>0</v>
      </c>
      <c r="AE315" s="6">
        <f>IF((E315&lt;&gt;"")*(E319=""),IF((E315&lt;=#REF!)*((E316&gt;=#REF!)+(E316&lt;2/24)),1,0),0)</f>
        <v>0</v>
      </c>
      <c r="AF315" s="6">
        <f>IF((F315&lt;&gt;"")*(F319=""),IF((F315&lt;=#REF!)*((F316&gt;=#REF!)+(F316&lt;2/24)),1,0),0)</f>
        <v>0</v>
      </c>
      <c r="AG315" s="6">
        <f>IF((G315&lt;&gt;"")*(G319=""),IF((G315&lt;=#REF!)*((G316&gt;=#REF!)+(G316&lt;2/24)),1,0),0)</f>
        <v>0</v>
      </c>
      <c r="AH315" s="6">
        <f>IF((H315&lt;&gt;"")*(H319=""),IF((H315&lt;=#REF!)*((H316&gt;=#REF!)+(H316&lt;2/24)),1,0),0)</f>
        <v>0</v>
      </c>
      <c r="AI315" s="6">
        <f>IF((I315&lt;&gt;"")*(I319=""),IF((I315&lt;=#REF!)*((I316&gt;=#REF!)+(I316&lt;2/24)),1,0),0)</f>
        <v>0</v>
      </c>
      <c r="AJ315" s="6">
        <f>IF((J315&lt;&gt;"")*(J319=""),IF((J315&lt;=#REF!)*((J316&gt;=#REF!)+(J316&lt;2/24)),1,0),0)</f>
        <v>0</v>
      </c>
    </row>
    <row r="316" spans="1:36" x14ac:dyDescent="0.2">
      <c r="A316" s="39"/>
      <c r="B316" s="40"/>
      <c r="C316" s="15" t="s">
        <v>1</v>
      </c>
      <c r="D316" s="27"/>
      <c r="E316" s="27"/>
      <c r="F316" s="27"/>
      <c r="G316" s="27"/>
      <c r="H316" s="27"/>
      <c r="I316" s="27"/>
      <c r="J316" s="27"/>
      <c r="K316" s="17"/>
      <c r="L316" s="6"/>
      <c r="M316" s="21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D316" s="6">
        <f>IF((D315&lt;&gt;"")*(D319=""),IF((D315&lt;=#REF!)*((D316&gt;=#REF!)+(D316&lt;2/24)),1,0),0)</f>
        <v>0</v>
      </c>
      <c r="AE316" s="6">
        <f>IF((E315&lt;&gt;"")*(E319=""),IF((E315&lt;=#REF!)*((E316&gt;=#REF!)+(E316&lt;2/24)),1,0),0)</f>
        <v>0</v>
      </c>
      <c r="AF316" s="6">
        <f>IF((F315&lt;&gt;"")*(F319=""),IF((F315&lt;=#REF!)*((F316&gt;=#REF!)+(F316&lt;2/24)),1,0),0)</f>
        <v>0</v>
      </c>
      <c r="AG316" s="6">
        <f>IF((G315&lt;&gt;"")*(G319=""),IF((G315&lt;=#REF!)*((G316&gt;=#REF!)+(G316&lt;2/24)),1,0),0)</f>
        <v>0</v>
      </c>
      <c r="AH316" s="6">
        <f>IF((H315&lt;&gt;"")*(H319=""),IF((H315&lt;=#REF!)*((H316&gt;=#REF!)+(H316&lt;2/24)),1,0),0)</f>
        <v>0</v>
      </c>
      <c r="AI316" s="6">
        <f>IF((I315&lt;&gt;"")*(I319=""),IF((I315&lt;=#REF!)*((I316&gt;=#REF!)+(I316&lt;2/24)),1,0),0)</f>
        <v>0</v>
      </c>
      <c r="AJ316" s="6">
        <f>IF((J315&lt;&gt;"")*(J319=""),IF((J315&lt;=#REF!)*((J316&gt;=#REF!)+(J316&lt;2/24)),1,0),0)</f>
        <v>0</v>
      </c>
    </row>
    <row r="317" spans="1:36" x14ac:dyDescent="0.2">
      <c r="A317" s="39"/>
      <c r="B317" s="40"/>
      <c r="C317" s="15" t="s">
        <v>2</v>
      </c>
      <c r="D317" s="4"/>
      <c r="E317" s="4"/>
      <c r="F317" s="4"/>
      <c r="G317" s="58"/>
      <c r="H317" s="4"/>
      <c r="I317" s="4"/>
      <c r="J317" s="4"/>
      <c r="K317" s="17"/>
      <c r="L317" s="6"/>
      <c r="M317" s="21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D317" s="6">
        <f>IF((D315&lt;&gt;"")*(D319=""),IF((D315&lt;=#REF!)*((D316&gt;=#REF!)+(D316&lt;2/24)),1,0),0)</f>
        <v>0</v>
      </c>
      <c r="AE317" s="6">
        <f>IF((E315&lt;&gt;"")*(E319=""),IF((E315&lt;=#REF!)*((E316&gt;=#REF!)+(E316&lt;2/24)),1,0),0)</f>
        <v>0</v>
      </c>
      <c r="AF317" s="6">
        <f>IF((F315&lt;&gt;"")*(F319=""),IF((F315&lt;=#REF!)*((F316&gt;=#REF!)+(F316&lt;2/24)),1,0),0)</f>
        <v>0</v>
      </c>
      <c r="AG317" s="6">
        <f>IF((G315&lt;&gt;"")*(G319=""),IF((G315&lt;=#REF!)*((G316&gt;=#REF!)+(G316&lt;2/24)),1,0),0)</f>
        <v>0</v>
      </c>
      <c r="AH317" s="6">
        <f>IF((H315&lt;&gt;"")*(H319=""),IF((H315&lt;=#REF!)*((H316&gt;=#REF!)+(H316&lt;2/24)),1,0),0)</f>
        <v>0</v>
      </c>
      <c r="AI317" s="6">
        <f>IF((I315&lt;&gt;"")*(I319=""),IF((I315&lt;=#REF!)*((I316&gt;=#REF!)+(I316&lt;2/24)),1,0),0)</f>
        <v>0</v>
      </c>
      <c r="AJ317" s="6">
        <f>IF((J315&lt;&gt;"")*(J319=""),IF((J315&lt;=#REF!)*((J316&gt;=#REF!)+(J316&lt;2/24)),1,0),0)</f>
        <v>0</v>
      </c>
    </row>
    <row r="318" spans="1:36" x14ac:dyDescent="0.2">
      <c r="A318" s="39"/>
      <c r="B318" s="40"/>
      <c r="C318" s="15" t="s">
        <v>3</v>
      </c>
      <c r="D318" s="43" t="str">
        <f t="shared" ref="D318:J318" si="181">IF(D315="","",IF(D316&gt;D315,(D316-D315-D317)*24,(1-D315-D317+D316)*24))</f>
        <v/>
      </c>
      <c r="E318" s="43" t="str">
        <f t="shared" si="181"/>
        <v/>
      </c>
      <c r="F318" s="43" t="str">
        <f t="shared" si="181"/>
        <v/>
      </c>
      <c r="G318" s="55" t="str">
        <f t="shared" si="181"/>
        <v/>
      </c>
      <c r="H318" s="55" t="str">
        <f t="shared" si="181"/>
        <v/>
      </c>
      <c r="I318" s="43" t="str">
        <f t="shared" si="181"/>
        <v/>
      </c>
      <c r="J318" s="44" t="str">
        <f t="shared" si="181"/>
        <v/>
      </c>
      <c r="K318" s="18">
        <f>SUMIF(D319:J319,"",D318:J318)</f>
        <v>0</v>
      </c>
      <c r="L318" s="12">
        <f>SUM(D318:J318)</f>
        <v>0</v>
      </c>
      <c r="M318" s="24"/>
      <c r="N318" s="10" t="str">
        <f t="shared" ref="N318:T318" si="182">IF(D319="",D318,0)</f>
        <v/>
      </c>
      <c r="O318" s="10" t="str">
        <f t="shared" si="182"/>
        <v/>
      </c>
      <c r="P318" s="10" t="str">
        <f t="shared" si="182"/>
        <v/>
      </c>
      <c r="Q318" s="10" t="str">
        <f t="shared" si="182"/>
        <v/>
      </c>
      <c r="R318" s="10" t="str">
        <f t="shared" si="182"/>
        <v/>
      </c>
      <c r="S318" s="10" t="str">
        <f t="shared" si="182"/>
        <v/>
      </c>
      <c r="T318" s="10" t="str">
        <f t="shared" si="182"/>
        <v/>
      </c>
      <c r="U318" s="10"/>
      <c r="V318" s="10" t="str">
        <f t="shared" ref="V318:AB318" si="183">D318</f>
        <v/>
      </c>
      <c r="W318" s="10" t="str">
        <f t="shared" si="183"/>
        <v/>
      </c>
      <c r="X318" s="10" t="str">
        <f t="shared" si="183"/>
        <v/>
      </c>
      <c r="Y318" s="10" t="str">
        <f t="shared" si="183"/>
        <v/>
      </c>
      <c r="Z318" s="10" t="str">
        <f t="shared" si="183"/>
        <v/>
      </c>
      <c r="AA318" s="10" t="str">
        <f t="shared" si="183"/>
        <v/>
      </c>
      <c r="AB318" s="10" t="str">
        <f t="shared" si="183"/>
        <v/>
      </c>
      <c r="AD318" s="6">
        <f>IF((D315&lt;&gt;"")*(D319=""),IF((D315&lt;=#REF!)*((D316&gt;=#REF!)+(D316&lt;2/24)),1,0),0)</f>
        <v>0</v>
      </c>
      <c r="AE318" s="6">
        <f>IF((E315&lt;&gt;"")*(E319=""),IF((E315&lt;=#REF!)*((E316&gt;=#REF!)+(E316&lt;2/24)),1,0),0)</f>
        <v>0</v>
      </c>
      <c r="AF318" s="6">
        <f>IF((F315&lt;&gt;"")*(F319=""),IF((F315&lt;=#REF!)*((F316&gt;=#REF!)+(F316&lt;2/24)),1,0),0)</f>
        <v>0</v>
      </c>
      <c r="AG318" s="6">
        <f>IF((G315&lt;&gt;"")*(G319=""),IF((G315&lt;=#REF!)*((G316&gt;=#REF!)+(G316&lt;2/24)),1,0),0)</f>
        <v>0</v>
      </c>
      <c r="AH318" s="6">
        <f>IF((H315&lt;&gt;"")*(H319=""),IF((H315&lt;=#REF!)*((H316&gt;=#REF!)+(H316&lt;2/24)),1,0),0)</f>
        <v>0</v>
      </c>
      <c r="AI318" s="6">
        <f>IF((I315&lt;&gt;"")*(I319=""),IF((I315&lt;=#REF!)*((I316&gt;=#REF!)+(I316&lt;2/24)),1,0),0)</f>
        <v>0</v>
      </c>
      <c r="AJ318" s="6">
        <f>IF((J315&lt;&gt;"")*(J319=""),IF((J315&lt;=#REF!)*((J316&gt;=#REF!)+(J316&lt;2/24)),1,0),0)</f>
        <v>0</v>
      </c>
    </row>
    <row r="319" spans="1:36" x14ac:dyDescent="0.2">
      <c r="A319" s="39"/>
      <c r="B319" s="40"/>
      <c r="C319" s="32" t="s">
        <v>4</v>
      </c>
      <c r="D319" s="33"/>
      <c r="E319" s="33"/>
      <c r="F319" s="33"/>
      <c r="G319" s="33"/>
      <c r="H319" s="33"/>
      <c r="I319" s="33"/>
      <c r="J319" s="33"/>
      <c r="K319" s="17"/>
      <c r="L319" s="6"/>
      <c r="M319" s="25"/>
      <c r="N319" s="6"/>
      <c r="O319" s="6"/>
      <c r="P319" s="6"/>
      <c r="Q319" s="6"/>
      <c r="R319" s="6"/>
      <c r="S319" s="6"/>
      <c r="T319" s="6"/>
      <c r="U319" s="6"/>
      <c r="V319" s="20"/>
      <c r="W319" s="20"/>
      <c r="X319" s="20"/>
      <c r="Y319" s="20"/>
      <c r="Z319" s="20"/>
      <c r="AA319" s="20"/>
      <c r="AB319" s="20"/>
      <c r="AD319" s="6">
        <f>IF((D315&lt;&gt;"")*(D319=""),IF((D315&lt;=#REF!)*((D316&gt;=#REF!)+(D316&lt;2/24)),1,0),0)</f>
        <v>0</v>
      </c>
      <c r="AE319" s="6">
        <f>IF((E315&lt;&gt;"")*(E319=""),IF((E315&lt;=#REF!)*((E316&gt;=#REF!)+(E316&lt;2/24)),1,0),0)</f>
        <v>0</v>
      </c>
      <c r="AF319" s="6">
        <f>IF((F315&lt;&gt;"")*(F319=""),IF((F315&lt;=#REF!)*((F316&gt;=#REF!)+(F316&lt;2/24)),1,0),0)</f>
        <v>0</v>
      </c>
      <c r="AG319" s="6">
        <f>IF((G315&lt;&gt;"")*(G319=""),IF((G315&lt;=#REF!)*((G316&gt;=#REF!)+(G316&lt;2/24)),1,0),0)</f>
        <v>0</v>
      </c>
      <c r="AH319" s="6">
        <f>IF((H315&lt;&gt;"")*(H319=""),IF((H315&lt;=#REF!)*((H316&gt;=#REF!)+(H316&lt;2/24)),1,0),0)</f>
        <v>0</v>
      </c>
      <c r="AI319" s="6">
        <f>IF((I315&lt;&gt;"")*(I319=""),IF((I315&lt;=#REF!)*((I316&gt;=#REF!)+(I316&lt;2/24)),1,0),0)</f>
        <v>0</v>
      </c>
      <c r="AJ319" s="6">
        <f>IF((J315&lt;&gt;"")*(J319=""),IF((J315&lt;=#REF!)*((J316&gt;=#REF!)+(J316&lt;2/24)),1,0),0)</f>
        <v>0</v>
      </c>
    </row>
    <row r="320" spans="1:36" ht="13.5" thickBot="1" x14ac:dyDescent="0.25">
      <c r="A320" s="41"/>
      <c r="B320" s="42"/>
      <c r="C320" s="35" t="s">
        <v>28</v>
      </c>
      <c r="D320" s="36"/>
      <c r="E320" s="36"/>
      <c r="F320" s="36"/>
      <c r="G320" s="36"/>
      <c r="H320" s="36"/>
      <c r="I320" s="36"/>
      <c r="J320" s="36"/>
      <c r="K320" s="34"/>
      <c r="L320" s="6"/>
      <c r="M320" s="25"/>
      <c r="N320" s="6"/>
      <c r="O320" s="6"/>
      <c r="P320" s="6"/>
      <c r="Q320" s="6"/>
      <c r="R320" s="6"/>
      <c r="S320" s="6"/>
      <c r="T320" s="6"/>
      <c r="U320" s="6"/>
      <c r="V320" s="20"/>
      <c r="W320" s="20"/>
      <c r="X320" s="20"/>
      <c r="Y320" s="20"/>
      <c r="Z320" s="20"/>
      <c r="AA320" s="20"/>
      <c r="AB320" s="20"/>
      <c r="AD320" s="6"/>
      <c r="AE320" s="6"/>
      <c r="AF320" s="6"/>
      <c r="AG320" s="6"/>
      <c r="AH320" s="6"/>
      <c r="AI320" s="6"/>
      <c r="AJ320" s="6"/>
    </row>
    <row r="321" spans="1:36" ht="13.5" customHeight="1" x14ac:dyDescent="0.2">
      <c r="A321" s="37" t="s">
        <v>137</v>
      </c>
      <c r="B321" s="38" t="s">
        <v>138</v>
      </c>
      <c r="C321" s="14" t="s">
        <v>0</v>
      </c>
      <c r="D321" s="26"/>
      <c r="E321" s="26"/>
      <c r="F321" s="26">
        <v>0.77083333333333337</v>
      </c>
      <c r="G321" s="26"/>
      <c r="H321" s="26"/>
      <c r="I321" s="26"/>
      <c r="J321" s="26"/>
      <c r="K321" s="16"/>
      <c r="L321" s="6"/>
      <c r="M321" s="21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D321" s="6">
        <f>IF((D321&lt;&gt;"")*(D325=""),IF((D321&lt;=#REF!)*((D322&gt;=#REF!)+(D322&lt;2/24)),1,0),0)</f>
        <v>0</v>
      </c>
      <c r="AE321" s="6">
        <f>IF((E321&lt;&gt;"")*(E325=""),IF((E321&lt;=#REF!)*((E322&gt;=#REF!)+(E322&lt;2/24)),1,0),0)</f>
        <v>0</v>
      </c>
      <c r="AF321" s="6" t="e">
        <f>IF((F321&lt;&gt;"")*(F325=""),IF((F321&lt;=#REF!)*((F322&gt;=#REF!)+(F322&lt;2/24)),1,0),0)</f>
        <v>#REF!</v>
      </c>
      <c r="AG321" s="6">
        <f>IF((G321&lt;&gt;"")*(G325=""),IF((G321&lt;=#REF!)*((G322&gt;=#REF!)+(G322&lt;2/24)),1,0),0)</f>
        <v>0</v>
      </c>
      <c r="AH321" s="6">
        <f>IF((H321&lt;&gt;"")*(H325=""),IF((H321&lt;=#REF!)*((H322&gt;=#REF!)+(H322&lt;2/24)),1,0),0)</f>
        <v>0</v>
      </c>
      <c r="AI321" s="6">
        <f>IF((I321&lt;&gt;"")*(I325=""),IF((I321&lt;=#REF!)*((I322&gt;=#REF!)+(I322&lt;2/24)),1,0),0)</f>
        <v>0</v>
      </c>
      <c r="AJ321" s="6">
        <f>IF((J321&lt;&gt;"")*(J325=""),IF((J321&lt;=#REF!)*((J322&gt;=#REF!)+(J322&lt;2/24)),1,0),0)</f>
        <v>0</v>
      </c>
    </row>
    <row r="322" spans="1:36" x14ac:dyDescent="0.2">
      <c r="A322" s="39"/>
      <c r="B322" s="40"/>
      <c r="C322" s="15" t="s">
        <v>1</v>
      </c>
      <c r="D322" s="27"/>
      <c r="E322" s="27"/>
      <c r="F322" s="27">
        <v>0.95833333333333337</v>
      </c>
      <c r="G322" s="27"/>
      <c r="H322" s="27"/>
      <c r="I322" s="27"/>
      <c r="J322" s="27"/>
      <c r="K322" s="17"/>
      <c r="L322" s="6"/>
      <c r="M322" s="21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D322" s="6">
        <f>IF((D321&lt;&gt;"")*(D325=""),IF((D321&lt;=#REF!)*((D322&gt;=#REF!)+(D322&lt;2/24)),1,0),0)</f>
        <v>0</v>
      </c>
      <c r="AE322" s="6">
        <f>IF((E321&lt;&gt;"")*(E325=""),IF((E321&lt;=#REF!)*((E322&gt;=#REF!)+(E322&lt;2/24)),1,0),0)</f>
        <v>0</v>
      </c>
      <c r="AF322" s="6" t="e">
        <f>IF((F321&lt;&gt;"")*(F325=""),IF((F321&lt;=#REF!)*((F322&gt;=#REF!)+(F322&lt;2/24)),1,0),0)</f>
        <v>#REF!</v>
      </c>
      <c r="AG322" s="6">
        <f>IF((G321&lt;&gt;"")*(G325=""),IF((G321&lt;=#REF!)*((G322&gt;=#REF!)+(G322&lt;2/24)),1,0),0)</f>
        <v>0</v>
      </c>
      <c r="AH322" s="6">
        <f>IF((H321&lt;&gt;"")*(H325=""),IF((H321&lt;=#REF!)*((H322&gt;=#REF!)+(H322&lt;2/24)),1,0),0)</f>
        <v>0</v>
      </c>
      <c r="AI322" s="6">
        <f>IF((I321&lt;&gt;"")*(I325=""),IF((I321&lt;=#REF!)*((I322&gt;=#REF!)+(I322&lt;2/24)),1,0),0)</f>
        <v>0</v>
      </c>
      <c r="AJ322" s="6">
        <f>IF((J321&lt;&gt;"")*(J325=""),IF((J321&lt;=#REF!)*((J322&gt;=#REF!)+(J322&lt;2/24)),1,0),0)</f>
        <v>0</v>
      </c>
    </row>
    <row r="323" spans="1:36" x14ac:dyDescent="0.2">
      <c r="A323" s="39"/>
      <c r="B323" s="40"/>
      <c r="C323" s="15" t="s">
        <v>2</v>
      </c>
      <c r="D323" s="4"/>
      <c r="E323" s="4"/>
      <c r="F323" s="4"/>
      <c r="G323" s="58"/>
      <c r="H323" s="4"/>
      <c r="I323" s="4"/>
      <c r="J323" s="4"/>
      <c r="K323" s="17"/>
      <c r="L323" s="6"/>
      <c r="M323" s="21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D323" s="6">
        <f>IF((D321&lt;&gt;"")*(D325=""),IF((D321&lt;=#REF!)*((D322&gt;=#REF!)+(D322&lt;2/24)),1,0),0)</f>
        <v>0</v>
      </c>
      <c r="AE323" s="6">
        <f>IF((E321&lt;&gt;"")*(E325=""),IF((E321&lt;=#REF!)*((E322&gt;=#REF!)+(E322&lt;2/24)),1,0),0)</f>
        <v>0</v>
      </c>
      <c r="AF323" s="6" t="e">
        <f>IF((F321&lt;&gt;"")*(F325=""),IF((F321&lt;=#REF!)*((F322&gt;=#REF!)+(F322&lt;2/24)),1,0),0)</f>
        <v>#REF!</v>
      </c>
      <c r="AG323" s="6">
        <f>IF((G321&lt;&gt;"")*(G325=""),IF((G321&lt;=#REF!)*((G322&gt;=#REF!)+(G322&lt;2/24)),1,0),0)</f>
        <v>0</v>
      </c>
      <c r="AH323" s="6">
        <f>IF((H321&lt;&gt;"")*(H325=""),IF((H321&lt;=#REF!)*((H322&gt;=#REF!)+(H322&lt;2/24)),1,0),0)</f>
        <v>0</v>
      </c>
      <c r="AI323" s="6">
        <f>IF((I321&lt;&gt;"")*(I325=""),IF((I321&lt;=#REF!)*((I322&gt;=#REF!)+(I322&lt;2/24)),1,0),0)</f>
        <v>0</v>
      </c>
      <c r="AJ323" s="6">
        <f>IF((J321&lt;&gt;"")*(J325=""),IF((J321&lt;=#REF!)*((J322&gt;=#REF!)+(J322&lt;2/24)),1,0),0)</f>
        <v>0</v>
      </c>
    </row>
    <row r="324" spans="1:36" x14ac:dyDescent="0.2">
      <c r="A324" s="39"/>
      <c r="B324" s="40"/>
      <c r="C324" s="15" t="s">
        <v>3</v>
      </c>
      <c r="D324" s="43" t="str">
        <f t="shared" ref="D324:J324" si="184">IF(D321="","",IF(D322&gt;D321,(D322-D321-D323)*24,(1-D321-D323+D322)*24))</f>
        <v/>
      </c>
      <c r="E324" s="43" t="str">
        <f t="shared" si="184"/>
        <v/>
      </c>
      <c r="F324" s="43">
        <f t="shared" si="184"/>
        <v>4.5</v>
      </c>
      <c r="G324" s="55" t="str">
        <f t="shared" si="184"/>
        <v/>
      </c>
      <c r="H324" s="55" t="str">
        <f t="shared" si="184"/>
        <v/>
      </c>
      <c r="I324" s="43" t="str">
        <f t="shared" si="184"/>
        <v/>
      </c>
      <c r="J324" s="44" t="str">
        <f t="shared" si="184"/>
        <v/>
      </c>
      <c r="K324" s="18">
        <f>SUMIF(D325:J325,"",D324:J324)</f>
        <v>4.5</v>
      </c>
      <c r="L324" s="12">
        <f>SUM(D324:J324)</f>
        <v>4.5</v>
      </c>
      <c r="M324" s="24"/>
      <c r="N324" s="10" t="str">
        <f t="shared" ref="N324" si="185">IF(D325="",D324,0)</f>
        <v/>
      </c>
      <c r="O324" s="10" t="str">
        <f t="shared" ref="O324" si="186">IF(E325="",E324,0)</f>
        <v/>
      </c>
      <c r="P324" s="10">
        <f t="shared" ref="P324" si="187">IF(F325="",F324,0)</f>
        <v>4.5</v>
      </c>
      <c r="Q324" s="10" t="str">
        <f t="shared" ref="Q324" si="188">IF(G325="",G324,0)</f>
        <v/>
      </c>
      <c r="R324" s="10" t="str">
        <f t="shared" ref="R324" si="189">IF(H325="",H324,0)</f>
        <v/>
      </c>
      <c r="S324" s="10" t="str">
        <f t="shared" ref="S324" si="190">IF(I325="",I324,0)</f>
        <v/>
      </c>
      <c r="T324" s="10" t="str">
        <f t="shared" ref="T324" si="191">IF(J325="",J324,0)</f>
        <v/>
      </c>
      <c r="U324" s="10"/>
      <c r="V324" s="10" t="str">
        <f t="shared" ref="V324" si="192">D324</f>
        <v/>
      </c>
      <c r="W324" s="10" t="str">
        <f t="shared" ref="W324" si="193">E324</f>
        <v/>
      </c>
      <c r="X324" s="10">
        <f t="shared" ref="X324" si="194">F324</f>
        <v>4.5</v>
      </c>
      <c r="Y324" s="10" t="str">
        <f t="shared" ref="Y324" si="195">G324</f>
        <v/>
      </c>
      <c r="Z324" s="10" t="str">
        <f t="shared" ref="Z324" si="196">H324</f>
        <v/>
      </c>
      <c r="AA324" s="10" t="str">
        <f t="shared" ref="AA324" si="197">I324</f>
        <v/>
      </c>
      <c r="AB324" s="10" t="str">
        <f t="shared" ref="AB324" si="198">J324</f>
        <v/>
      </c>
      <c r="AD324" s="6">
        <f>IF((D321&lt;&gt;"")*(D325=""),IF((D321&lt;=#REF!)*((D322&gt;=#REF!)+(D322&lt;2/24)),1,0),0)</f>
        <v>0</v>
      </c>
      <c r="AE324" s="6">
        <f>IF((E321&lt;&gt;"")*(E325=""),IF((E321&lt;=#REF!)*((E322&gt;=#REF!)+(E322&lt;2/24)),1,0),0)</f>
        <v>0</v>
      </c>
      <c r="AF324" s="6" t="e">
        <f>IF((F321&lt;&gt;"")*(F325=""),IF((F321&lt;=#REF!)*((F322&gt;=#REF!)+(F322&lt;2/24)),1,0),0)</f>
        <v>#REF!</v>
      </c>
      <c r="AG324" s="6">
        <f>IF((G321&lt;&gt;"")*(G325=""),IF((G321&lt;=#REF!)*((G322&gt;=#REF!)+(G322&lt;2/24)),1,0),0)</f>
        <v>0</v>
      </c>
      <c r="AH324" s="6">
        <f>IF((H321&lt;&gt;"")*(H325=""),IF((H321&lt;=#REF!)*((H322&gt;=#REF!)+(H322&lt;2/24)),1,0),0)</f>
        <v>0</v>
      </c>
      <c r="AI324" s="6">
        <f>IF((I321&lt;&gt;"")*(I325=""),IF((I321&lt;=#REF!)*((I322&gt;=#REF!)+(I322&lt;2/24)),1,0),0)</f>
        <v>0</v>
      </c>
      <c r="AJ324" s="6">
        <f>IF((J321&lt;&gt;"")*(J325=""),IF((J321&lt;=#REF!)*((J322&gt;=#REF!)+(J322&lt;2/24)),1,0),0)</f>
        <v>0</v>
      </c>
    </row>
    <row r="325" spans="1:36" x14ac:dyDescent="0.2">
      <c r="A325" s="39"/>
      <c r="B325" s="40"/>
      <c r="C325" s="32" t="s">
        <v>4</v>
      </c>
      <c r="D325" s="33"/>
      <c r="E325" s="33"/>
      <c r="F325" s="33"/>
      <c r="G325" s="33"/>
      <c r="H325" s="33"/>
      <c r="I325" s="33"/>
      <c r="J325" s="33"/>
      <c r="K325" s="17"/>
      <c r="L325" s="6"/>
      <c r="M325" s="25"/>
      <c r="N325" s="6"/>
      <c r="O325" s="6"/>
      <c r="P325" s="6"/>
      <c r="Q325" s="6"/>
      <c r="R325" s="6"/>
      <c r="S325" s="6"/>
      <c r="T325" s="6"/>
      <c r="U325" s="6"/>
      <c r="V325" s="20"/>
      <c r="W325" s="20"/>
      <c r="X325" s="20"/>
      <c r="Y325" s="20"/>
      <c r="Z325" s="20"/>
      <c r="AA325" s="20"/>
      <c r="AB325" s="20"/>
      <c r="AD325" s="6">
        <f>IF((D321&lt;&gt;"")*(D325=""),IF((D321&lt;=#REF!)*((D322&gt;=#REF!)+(D322&lt;2/24)),1,0),0)</f>
        <v>0</v>
      </c>
      <c r="AE325" s="6">
        <f>IF((E321&lt;&gt;"")*(E325=""),IF((E321&lt;=#REF!)*((E322&gt;=#REF!)+(E322&lt;2/24)),1,0),0)</f>
        <v>0</v>
      </c>
      <c r="AF325" s="6" t="e">
        <f>IF((F321&lt;&gt;"")*(F325=""),IF((F321&lt;=#REF!)*((F322&gt;=#REF!)+(F322&lt;2/24)),1,0),0)</f>
        <v>#REF!</v>
      </c>
      <c r="AG325" s="6">
        <f>IF((G321&lt;&gt;"")*(G325=""),IF((G321&lt;=#REF!)*((G322&gt;=#REF!)+(G322&lt;2/24)),1,0),0)</f>
        <v>0</v>
      </c>
      <c r="AH325" s="6">
        <f>IF((H321&lt;&gt;"")*(H325=""),IF((H321&lt;=#REF!)*((H322&gt;=#REF!)+(H322&lt;2/24)),1,0),0)</f>
        <v>0</v>
      </c>
      <c r="AI325" s="6">
        <f>IF((I321&lt;&gt;"")*(I325=""),IF((I321&lt;=#REF!)*((I322&gt;=#REF!)+(I322&lt;2/24)),1,0),0)</f>
        <v>0</v>
      </c>
      <c r="AJ325" s="6">
        <f>IF((J321&lt;&gt;"")*(J325=""),IF((J321&lt;=#REF!)*((J322&gt;=#REF!)+(J322&lt;2/24)),1,0),0)</f>
        <v>0</v>
      </c>
    </row>
    <row r="326" spans="1:36" ht="13.5" thickBot="1" x14ac:dyDescent="0.25">
      <c r="A326" s="41"/>
      <c r="B326" s="42"/>
      <c r="C326" s="35" t="s">
        <v>28</v>
      </c>
      <c r="D326" s="36"/>
      <c r="E326" s="36"/>
      <c r="F326" s="36" t="s">
        <v>160</v>
      </c>
      <c r="G326" s="36"/>
      <c r="H326" s="36"/>
      <c r="I326" s="36"/>
      <c r="J326" s="36"/>
      <c r="K326" s="34"/>
      <c r="L326" s="6"/>
      <c r="M326" s="25"/>
      <c r="N326" s="6"/>
      <c r="O326" s="6"/>
      <c r="P326" s="6"/>
      <c r="Q326" s="6"/>
      <c r="R326" s="6"/>
      <c r="S326" s="6"/>
      <c r="T326" s="6"/>
      <c r="U326" s="6"/>
      <c r="V326" s="20"/>
      <c r="W326" s="20"/>
      <c r="X326" s="20"/>
      <c r="Y326" s="20"/>
      <c r="Z326" s="20"/>
      <c r="AA326" s="20"/>
      <c r="AB326" s="20"/>
      <c r="AD326" s="6"/>
      <c r="AE326" s="6"/>
      <c r="AF326" s="6"/>
      <c r="AG326" s="6"/>
      <c r="AH326" s="6"/>
      <c r="AI326" s="6"/>
      <c r="AJ326" s="6"/>
    </row>
    <row r="327" spans="1:36" ht="13.5" customHeight="1" x14ac:dyDescent="0.2">
      <c r="A327" s="37" t="s">
        <v>139</v>
      </c>
      <c r="B327" s="38" t="s">
        <v>140</v>
      </c>
      <c r="C327" s="14" t="s">
        <v>0</v>
      </c>
      <c r="D327" s="26">
        <v>0.77083333333333337</v>
      </c>
      <c r="E327" s="26"/>
      <c r="F327" s="26"/>
      <c r="G327" s="26">
        <v>0.77083333333333337</v>
      </c>
      <c r="H327" s="26"/>
      <c r="I327" s="26">
        <v>0.77083333333333337</v>
      </c>
      <c r="J327" s="26"/>
      <c r="K327" s="16"/>
      <c r="L327" s="6"/>
      <c r="M327" s="21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D327" s="6" t="e">
        <f>IF((D327&lt;&gt;"")*(D331=""),IF((D327&lt;=#REF!)*((D328&gt;=#REF!)+(D328&lt;2/24)),1,0),0)</f>
        <v>#REF!</v>
      </c>
      <c r="AE327" s="6">
        <f>IF((E327&lt;&gt;"")*(E331=""),IF((E327&lt;=#REF!)*((E328&gt;=#REF!)+(E328&lt;2/24)),1,0),0)</f>
        <v>0</v>
      </c>
      <c r="AF327" s="6">
        <f>IF((F327&lt;&gt;"")*(F331=""),IF((F327&lt;=#REF!)*((F328&gt;=#REF!)+(F328&lt;2/24)),1,0),0)</f>
        <v>0</v>
      </c>
      <c r="AG327" s="6" t="e">
        <f>IF((G327&lt;&gt;"")*(G331=""),IF((G327&lt;=#REF!)*((G328&gt;=#REF!)+(G328&lt;2/24)),1,0),0)</f>
        <v>#REF!</v>
      </c>
      <c r="AH327" s="6">
        <f>IF((H327&lt;&gt;"")*(H331=""),IF((H327&lt;=#REF!)*((H328&gt;=#REF!)+(H328&lt;2/24)),1,0),0)</f>
        <v>0</v>
      </c>
      <c r="AI327" s="6" t="e">
        <f>IF((I327&lt;&gt;"")*(I331=""),IF((I327&lt;=#REF!)*((I328&gt;=#REF!)+(I328&lt;2/24)),1,0),0)</f>
        <v>#REF!</v>
      </c>
      <c r="AJ327" s="6">
        <f>IF((J327&lt;&gt;"")*(J331=""),IF((J327&lt;=#REF!)*((J328&gt;=#REF!)+(J328&lt;2/24)),1,0),0)</f>
        <v>0</v>
      </c>
    </row>
    <row r="328" spans="1:36" x14ac:dyDescent="0.2">
      <c r="A328" s="39"/>
      <c r="B328" s="40"/>
      <c r="C328" s="15" t="s">
        <v>1</v>
      </c>
      <c r="D328" s="27">
        <v>0.95833333333333337</v>
      </c>
      <c r="E328" s="27"/>
      <c r="F328" s="27"/>
      <c r="G328" s="27">
        <v>0.95833333333333337</v>
      </c>
      <c r="H328" s="27"/>
      <c r="I328" s="27">
        <v>0.95833333333333337</v>
      </c>
      <c r="J328" s="27"/>
      <c r="K328" s="17"/>
      <c r="L328" s="6"/>
      <c r="M328" s="21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D328" s="6" t="e">
        <f>IF((D327&lt;&gt;"")*(D331=""),IF((D327&lt;=#REF!)*((D328&gt;=#REF!)+(D328&lt;2/24)),1,0),0)</f>
        <v>#REF!</v>
      </c>
      <c r="AE328" s="6">
        <f>IF((E327&lt;&gt;"")*(E331=""),IF((E327&lt;=#REF!)*((E328&gt;=#REF!)+(E328&lt;2/24)),1,0),0)</f>
        <v>0</v>
      </c>
      <c r="AF328" s="6">
        <f>IF((F327&lt;&gt;"")*(F331=""),IF((F327&lt;=#REF!)*((F328&gt;=#REF!)+(F328&lt;2/24)),1,0),0)</f>
        <v>0</v>
      </c>
      <c r="AG328" s="6" t="e">
        <f>IF((G327&lt;&gt;"")*(G331=""),IF((G327&lt;=#REF!)*((G328&gt;=#REF!)+(G328&lt;2/24)),1,0),0)</f>
        <v>#REF!</v>
      </c>
      <c r="AH328" s="6">
        <f>IF((H327&lt;&gt;"")*(H331=""),IF((H327&lt;=#REF!)*((H328&gt;=#REF!)+(H328&lt;2/24)),1,0),0)</f>
        <v>0</v>
      </c>
      <c r="AI328" s="6" t="e">
        <f>IF((I327&lt;&gt;"")*(I331=""),IF((I327&lt;=#REF!)*((I328&gt;=#REF!)+(I328&lt;2/24)),1,0),0)</f>
        <v>#REF!</v>
      </c>
      <c r="AJ328" s="6">
        <f>IF((J327&lt;&gt;"")*(J331=""),IF((J327&lt;=#REF!)*((J328&gt;=#REF!)+(J328&lt;2/24)),1,0),0)</f>
        <v>0</v>
      </c>
    </row>
    <row r="329" spans="1:36" x14ac:dyDescent="0.2">
      <c r="A329" s="39"/>
      <c r="B329" s="40"/>
      <c r="C329" s="15" t="s">
        <v>2</v>
      </c>
      <c r="D329" s="4"/>
      <c r="E329" s="4"/>
      <c r="F329" s="4"/>
      <c r="G329" s="58"/>
      <c r="H329" s="4"/>
      <c r="I329" s="4"/>
      <c r="J329" s="4"/>
      <c r="K329" s="17"/>
      <c r="L329" s="6"/>
      <c r="M329" s="21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D329" s="6" t="e">
        <f>IF((D327&lt;&gt;"")*(D331=""),IF((D327&lt;=#REF!)*((D328&gt;=#REF!)+(D328&lt;2/24)),1,0),0)</f>
        <v>#REF!</v>
      </c>
      <c r="AE329" s="6">
        <f>IF((E327&lt;&gt;"")*(E331=""),IF((E327&lt;=#REF!)*((E328&gt;=#REF!)+(E328&lt;2/24)),1,0),0)</f>
        <v>0</v>
      </c>
      <c r="AF329" s="6">
        <f>IF((F327&lt;&gt;"")*(F331=""),IF((F327&lt;=#REF!)*((F328&gt;=#REF!)+(F328&lt;2/24)),1,0),0)</f>
        <v>0</v>
      </c>
      <c r="AG329" s="6" t="e">
        <f>IF((G327&lt;&gt;"")*(G331=""),IF((G327&lt;=#REF!)*((G328&gt;=#REF!)+(G328&lt;2/24)),1,0),0)</f>
        <v>#REF!</v>
      </c>
      <c r="AH329" s="6">
        <f>IF((H327&lt;&gt;"")*(H331=""),IF((H327&lt;=#REF!)*((H328&gt;=#REF!)+(H328&lt;2/24)),1,0),0)</f>
        <v>0</v>
      </c>
      <c r="AI329" s="6" t="e">
        <f>IF((I327&lt;&gt;"")*(I331=""),IF((I327&lt;=#REF!)*((I328&gt;=#REF!)+(I328&lt;2/24)),1,0),0)</f>
        <v>#REF!</v>
      </c>
      <c r="AJ329" s="6">
        <f>IF((J327&lt;&gt;"")*(J331=""),IF((J327&lt;=#REF!)*((J328&gt;=#REF!)+(J328&lt;2/24)),1,0),0)</f>
        <v>0</v>
      </c>
    </row>
    <row r="330" spans="1:36" x14ac:dyDescent="0.2">
      <c r="A330" s="39"/>
      <c r="B330" s="40"/>
      <c r="C330" s="15" t="s">
        <v>3</v>
      </c>
      <c r="D330" s="43">
        <f t="shared" ref="D330:J330" si="199">IF(D327="","",IF(D328&gt;D327,(D328-D327-D329)*24,(1-D327-D329+D328)*24))</f>
        <v>4.5</v>
      </c>
      <c r="E330" s="43" t="str">
        <f t="shared" si="199"/>
        <v/>
      </c>
      <c r="F330" s="43" t="str">
        <f t="shared" si="199"/>
        <v/>
      </c>
      <c r="G330" s="55">
        <f t="shared" si="199"/>
        <v>4.5</v>
      </c>
      <c r="H330" s="55" t="str">
        <f t="shared" si="199"/>
        <v/>
      </c>
      <c r="I330" s="43">
        <f t="shared" si="199"/>
        <v>4.5</v>
      </c>
      <c r="J330" s="44" t="str">
        <f t="shared" si="199"/>
        <v/>
      </c>
      <c r="K330" s="18">
        <f>SUMIF(D331:J331,"",D330:J330)</f>
        <v>13.5</v>
      </c>
      <c r="L330" s="12">
        <f>SUM(D330:J330)</f>
        <v>13.5</v>
      </c>
      <c r="M330" s="24"/>
      <c r="N330" s="10">
        <f t="shared" ref="N330:T330" si="200">IF(D331="",D330,0)</f>
        <v>4.5</v>
      </c>
      <c r="O330" s="10" t="str">
        <f t="shared" si="200"/>
        <v/>
      </c>
      <c r="P330" s="10" t="str">
        <f t="shared" si="200"/>
        <v/>
      </c>
      <c r="Q330" s="10">
        <f t="shared" si="200"/>
        <v>4.5</v>
      </c>
      <c r="R330" s="10" t="str">
        <f t="shared" si="200"/>
        <v/>
      </c>
      <c r="S330" s="10">
        <f t="shared" si="200"/>
        <v>4.5</v>
      </c>
      <c r="T330" s="10" t="str">
        <f t="shared" si="200"/>
        <v/>
      </c>
      <c r="U330" s="10"/>
      <c r="V330" s="10">
        <f t="shared" ref="V330:AB330" si="201">D330</f>
        <v>4.5</v>
      </c>
      <c r="W330" s="10" t="str">
        <f t="shared" si="201"/>
        <v/>
      </c>
      <c r="X330" s="10" t="str">
        <f t="shared" si="201"/>
        <v/>
      </c>
      <c r="Y330" s="10">
        <f t="shared" si="201"/>
        <v>4.5</v>
      </c>
      <c r="Z330" s="10" t="str">
        <f t="shared" si="201"/>
        <v/>
      </c>
      <c r="AA330" s="10">
        <f t="shared" si="201"/>
        <v>4.5</v>
      </c>
      <c r="AB330" s="10" t="str">
        <f t="shared" si="201"/>
        <v/>
      </c>
      <c r="AD330" s="6" t="e">
        <f>IF((D327&lt;&gt;"")*(D331=""),IF((D327&lt;=#REF!)*((D328&gt;=#REF!)+(D328&lt;2/24)),1,0),0)</f>
        <v>#REF!</v>
      </c>
      <c r="AE330" s="6">
        <f>IF((E327&lt;&gt;"")*(E331=""),IF((E327&lt;=#REF!)*((E328&gt;=#REF!)+(E328&lt;2/24)),1,0),0)</f>
        <v>0</v>
      </c>
      <c r="AF330" s="6">
        <f>IF((F327&lt;&gt;"")*(F331=""),IF((F327&lt;=#REF!)*((F328&gt;=#REF!)+(F328&lt;2/24)),1,0),0)</f>
        <v>0</v>
      </c>
      <c r="AG330" s="6" t="e">
        <f>IF((G327&lt;&gt;"")*(G331=""),IF((G327&lt;=#REF!)*((G328&gt;=#REF!)+(G328&lt;2/24)),1,0),0)</f>
        <v>#REF!</v>
      </c>
      <c r="AH330" s="6">
        <f>IF((H327&lt;&gt;"")*(H331=""),IF((H327&lt;=#REF!)*((H328&gt;=#REF!)+(H328&lt;2/24)),1,0),0)</f>
        <v>0</v>
      </c>
      <c r="AI330" s="6" t="e">
        <f>IF((I327&lt;&gt;"")*(I331=""),IF((I327&lt;=#REF!)*((I328&gt;=#REF!)+(I328&lt;2/24)),1,0),0)</f>
        <v>#REF!</v>
      </c>
      <c r="AJ330" s="6">
        <f>IF((J327&lt;&gt;"")*(J331=""),IF((J327&lt;=#REF!)*((J328&gt;=#REF!)+(J328&lt;2/24)),1,0),0)</f>
        <v>0</v>
      </c>
    </row>
    <row r="331" spans="1:36" x14ac:dyDescent="0.2">
      <c r="A331" s="39"/>
      <c r="B331" s="40"/>
      <c r="C331" s="32" t="s">
        <v>4</v>
      </c>
      <c r="D331" s="33"/>
      <c r="E331" s="33"/>
      <c r="F331" s="33"/>
      <c r="G331" s="33"/>
      <c r="H331" s="33"/>
      <c r="I331" s="33"/>
      <c r="J331" s="33"/>
      <c r="K331" s="17"/>
      <c r="L331" s="6"/>
      <c r="M331" s="25"/>
      <c r="N331" s="6"/>
      <c r="O331" s="6"/>
      <c r="P331" s="6"/>
      <c r="Q331" s="6"/>
      <c r="R331" s="6"/>
      <c r="S331" s="6"/>
      <c r="T331" s="6"/>
      <c r="U331" s="6"/>
      <c r="V331" s="20"/>
      <c r="W331" s="20"/>
      <c r="X331" s="20"/>
      <c r="Y331" s="20"/>
      <c r="Z331" s="20"/>
      <c r="AA331" s="20"/>
      <c r="AB331" s="20"/>
      <c r="AD331" s="6" t="e">
        <f>IF((D327&lt;&gt;"")*(D331=""),IF((D327&lt;=#REF!)*((D328&gt;=#REF!)+(D328&lt;2/24)),1,0),0)</f>
        <v>#REF!</v>
      </c>
      <c r="AE331" s="6">
        <f>IF((E327&lt;&gt;"")*(E331=""),IF((E327&lt;=#REF!)*((E328&gt;=#REF!)+(E328&lt;2/24)),1,0),0)</f>
        <v>0</v>
      </c>
      <c r="AF331" s="6">
        <f>IF((F327&lt;&gt;"")*(F331=""),IF((F327&lt;=#REF!)*((F328&gt;=#REF!)+(F328&lt;2/24)),1,0),0)</f>
        <v>0</v>
      </c>
      <c r="AG331" s="6" t="e">
        <f>IF((G327&lt;&gt;"")*(G331=""),IF((G327&lt;=#REF!)*((G328&gt;=#REF!)+(G328&lt;2/24)),1,0),0)</f>
        <v>#REF!</v>
      </c>
      <c r="AH331" s="6">
        <f>IF((H327&lt;&gt;"")*(H331=""),IF((H327&lt;=#REF!)*((H328&gt;=#REF!)+(H328&lt;2/24)),1,0),0)</f>
        <v>0</v>
      </c>
      <c r="AI331" s="6" t="e">
        <f>IF((I327&lt;&gt;"")*(I331=""),IF((I327&lt;=#REF!)*((I328&gt;=#REF!)+(I328&lt;2/24)),1,0),0)</f>
        <v>#REF!</v>
      </c>
      <c r="AJ331" s="6">
        <f>IF((J327&lt;&gt;"")*(J331=""),IF((J327&lt;=#REF!)*((J328&gt;=#REF!)+(J328&lt;2/24)),1,0),0)</f>
        <v>0</v>
      </c>
    </row>
    <row r="332" spans="1:36" ht="13.5" thickBot="1" x14ac:dyDescent="0.25">
      <c r="A332" s="41"/>
      <c r="B332" s="42"/>
      <c r="C332" s="35" t="s">
        <v>28</v>
      </c>
      <c r="D332" s="36"/>
      <c r="E332" s="36"/>
      <c r="F332" s="36"/>
      <c r="G332" s="36"/>
      <c r="H332" s="36"/>
      <c r="I332" s="36"/>
      <c r="J332" s="36"/>
      <c r="K332" s="34"/>
      <c r="L332" s="6"/>
      <c r="M332" s="25"/>
      <c r="N332" s="6"/>
      <c r="O332" s="6"/>
      <c r="P332" s="6"/>
      <c r="Q332" s="6"/>
      <c r="R332" s="6"/>
      <c r="S332" s="6"/>
      <c r="T332" s="6"/>
      <c r="U332" s="6"/>
      <c r="V332" s="20"/>
      <c r="W332" s="20"/>
      <c r="X332" s="20"/>
      <c r="Y332" s="20"/>
      <c r="Z332" s="20"/>
      <c r="AA332" s="20"/>
      <c r="AB332" s="20"/>
      <c r="AD332" s="6"/>
      <c r="AE332" s="6"/>
      <c r="AF332" s="6"/>
      <c r="AG332" s="6"/>
      <c r="AH332" s="6"/>
      <c r="AI332" s="6"/>
      <c r="AJ332" s="6"/>
    </row>
    <row r="333" spans="1:36" x14ac:dyDescent="0.2">
      <c r="A333" s="37" t="s">
        <v>100</v>
      </c>
      <c r="B333" s="38" t="s">
        <v>101</v>
      </c>
      <c r="C333" s="14" t="s">
        <v>0</v>
      </c>
      <c r="D333" s="26"/>
      <c r="E333" s="26"/>
      <c r="F333" s="26"/>
      <c r="G333" s="26"/>
      <c r="H333" s="26"/>
      <c r="I333" s="26"/>
      <c r="J333" s="26"/>
      <c r="K333" s="16"/>
      <c r="L333" s="6"/>
      <c r="M333" s="21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D333" s="6">
        <f>IF((D333&lt;&gt;"")*(D337=""),IF((D333&lt;=$B$452)*((D334&gt;=$C$452)+(D334&lt;2/24)),1,0),0)</f>
        <v>0</v>
      </c>
      <c r="AE333" s="6">
        <f>IF((E333&lt;&gt;"")*(E337=""),IF((E333&lt;=$B$452)*((E334&gt;=$C$452)+(E334&lt;2/24)),1,0),0)</f>
        <v>0</v>
      </c>
      <c r="AF333" s="6">
        <f>IF((F333&lt;&gt;"")*(F337=""),IF((F333&lt;=$B$452)*((F334&gt;=$C$452)+(F334&lt;2/24)),1,0),0)</f>
        <v>0</v>
      </c>
      <c r="AG333" s="6">
        <f>IF((G333&lt;&gt;"")*(G337=""),IF((G333&lt;=$B$452)*((G334&gt;=$C$452)+(G334&lt;2/24)),1,0),0)</f>
        <v>0</v>
      </c>
      <c r="AH333" s="6">
        <f>IF((H333&lt;&gt;"")*(H337=""),IF((H333&lt;=$B$452)*((H334&gt;=$C$452)+(H334&lt;2/24)),1,0),0)</f>
        <v>0</v>
      </c>
      <c r="AI333" s="6">
        <f>IF((I333&lt;&gt;"")*(I337=""),IF((I333&lt;=$B$452)*((I334&gt;=$C$452)+(I334&lt;2/24)),1,0),0)</f>
        <v>0</v>
      </c>
      <c r="AJ333" s="6">
        <f>IF((J333&lt;&gt;"")*(J337=""),IF((J333&lt;=$B$452)*((J334&gt;=$C$452)+(J334&lt;2/24)),1,0),0)</f>
        <v>0</v>
      </c>
    </row>
    <row r="334" spans="1:36" x14ac:dyDescent="0.2">
      <c r="A334" s="39"/>
      <c r="B334" s="40"/>
      <c r="C334" s="15" t="s">
        <v>1</v>
      </c>
      <c r="D334" s="27"/>
      <c r="E334" s="27"/>
      <c r="F334" s="27"/>
      <c r="G334" s="27"/>
      <c r="H334" s="27"/>
      <c r="I334" s="27"/>
      <c r="J334" s="27"/>
      <c r="K334" s="17"/>
      <c r="L334" s="6"/>
      <c r="M334" s="21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D334" s="6">
        <f>IF((D333&lt;&gt;"")*(D337=""),IF((D333&lt;=$B$453)*((D334&gt;=$C$453)+(D334&lt;2/24)),1,0),0)</f>
        <v>0</v>
      </c>
      <c r="AE334" s="6">
        <f>IF((E333&lt;&gt;"")*(E337=""),IF((E333&lt;=$B$453)*((E334&gt;=$C$453)+(E334&lt;2/24)),1,0),0)</f>
        <v>0</v>
      </c>
      <c r="AF334" s="6">
        <f>IF((F333&lt;&gt;"")*(F337=""),IF((F333&lt;=$B$453)*((F334&gt;=$C$453)+(F334&lt;2/24)),1,0),0)</f>
        <v>0</v>
      </c>
      <c r="AG334" s="6">
        <f>IF((G333&lt;&gt;"")*(G337=""),IF((G333&lt;=$B$453)*((G334&gt;=$C$453)+(G334&lt;2/24)),1,0),0)</f>
        <v>0</v>
      </c>
      <c r="AH334" s="6">
        <f>IF((H333&lt;&gt;"")*(H337=""),IF((H333&lt;=$B$453)*((H334&gt;=$C$453)+(H334&lt;2/24)),1,0),0)</f>
        <v>0</v>
      </c>
      <c r="AI334" s="6">
        <f>IF((I333&lt;&gt;"")*(I337=""),IF((I333&lt;=$B$453)*((I334&gt;=$C$453)+(I334&lt;2/24)),1,0),0)</f>
        <v>0</v>
      </c>
      <c r="AJ334" s="6">
        <f>IF((J333&lt;&gt;"")*(J337=""),IF((J333&lt;=$B$453)*((J334&gt;=$C$453)+(J334&lt;2/24)),1,0),0)</f>
        <v>0</v>
      </c>
    </row>
    <row r="335" spans="1:36" x14ac:dyDescent="0.2">
      <c r="A335" s="39"/>
      <c r="B335" s="40"/>
      <c r="C335" s="15" t="s">
        <v>2</v>
      </c>
      <c r="D335" s="4"/>
      <c r="E335" s="4"/>
      <c r="F335" s="4"/>
      <c r="G335" s="58"/>
      <c r="H335" s="4"/>
      <c r="I335" s="4"/>
      <c r="J335" s="4"/>
      <c r="K335" s="17"/>
      <c r="L335" s="6"/>
      <c r="M335" s="21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D335" s="6">
        <f>IF((D333&lt;&gt;"")*(D337=""),IF((D333&lt;=$B$454)*((D334&gt;=$C$454)+(D334&lt;2/24)),1,0),0)</f>
        <v>0</v>
      </c>
      <c r="AE335" s="6">
        <f>IF((E333&lt;&gt;"")*(E337=""),IF((E333&lt;=$B$454)*((E334&gt;=$C$454)+(E334&lt;2/24)),1,0),0)</f>
        <v>0</v>
      </c>
      <c r="AF335" s="6">
        <f>IF((F333&lt;&gt;"")*(F337=""),IF((F333&lt;=$B$454)*((F334&gt;=$C$454)+(F334&lt;2/24)),1,0),0)</f>
        <v>0</v>
      </c>
      <c r="AG335" s="6">
        <f>IF((G333&lt;&gt;"")*(G337=""),IF((G333&lt;=$B$454)*((G334&gt;=$C$454)+(G334&lt;2/24)),1,0),0)</f>
        <v>0</v>
      </c>
      <c r="AH335" s="6">
        <f>IF((H333&lt;&gt;"")*(H337=""),IF((H333&lt;=$B$454)*((H334&gt;=$C$454)+(H334&lt;2/24)),1,0),0)</f>
        <v>0</v>
      </c>
      <c r="AI335" s="6">
        <f>IF((I333&lt;&gt;"")*(I337=""),IF((I333&lt;=$B$454)*((I334&gt;=$C$454)+(I334&lt;2/24)),1,0),0)</f>
        <v>0</v>
      </c>
      <c r="AJ335" s="6">
        <f>IF((J333&lt;&gt;"")*(J337=""),IF((J333&lt;=$B$454)*((J334&gt;=$C$454)+(J334&lt;2/24)),1,0),0)</f>
        <v>0</v>
      </c>
    </row>
    <row r="336" spans="1:36" x14ac:dyDescent="0.2">
      <c r="A336" s="39"/>
      <c r="B336" s="40"/>
      <c r="C336" s="15" t="s">
        <v>3</v>
      </c>
      <c r="D336" s="43" t="str">
        <f t="shared" ref="D336:J336" si="202">IF(D333="","",IF(D334&gt;D333,(D334-D333-D335)*24,(1-D333-D335+D334)*24))</f>
        <v/>
      </c>
      <c r="E336" s="43" t="str">
        <f t="shared" si="202"/>
        <v/>
      </c>
      <c r="F336" s="43" t="str">
        <f t="shared" si="202"/>
        <v/>
      </c>
      <c r="G336" s="55" t="str">
        <f t="shared" si="202"/>
        <v/>
      </c>
      <c r="H336" s="55" t="str">
        <f t="shared" si="202"/>
        <v/>
      </c>
      <c r="I336" s="43" t="str">
        <f t="shared" si="202"/>
        <v/>
      </c>
      <c r="J336" s="44" t="str">
        <f t="shared" si="202"/>
        <v/>
      </c>
      <c r="K336" s="18">
        <f>SUMIF(D337:J337,"",D336:J336)</f>
        <v>0</v>
      </c>
      <c r="L336" s="12">
        <f>SUM(D336:J336)</f>
        <v>0</v>
      </c>
      <c r="M336" s="24"/>
      <c r="N336" s="10" t="str">
        <f t="shared" ref="N336:T336" si="203">IF(D337="",D336,0)</f>
        <v/>
      </c>
      <c r="O336" s="10" t="str">
        <f t="shared" si="203"/>
        <v/>
      </c>
      <c r="P336" s="10" t="str">
        <f t="shared" si="203"/>
        <v/>
      </c>
      <c r="Q336" s="10" t="str">
        <f t="shared" si="203"/>
        <v/>
      </c>
      <c r="R336" s="10" t="str">
        <f t="shared" si="203"/>
        <v/>
      </c>
      <c r="S336" s="10" t="str">
        <f t="shared" si="203"/>
        <v/>
      </c>
      <c r="T336" s="10" t="str">
        <f t="shared" si="203"/>
        <v/>
      </c>
      <c r="U336" s="10"/>
      <c r="V336" s="10" t="str">
        <f t="shared" ref="V336:AB336" si="204">D336</f>
        <v/>
      </c>
      <c r="W336" s="10" t="str">
        <f t="shared" si="204"/>
        <v/>
      </c>
      <c r="X336" s="10" t="str">
        <f t="shared" si="204"/>
        <v/>
      </c>
      <c r="Y336" s="10" t="str">
        <f t="shared" si="204"/>
        <v/>
      </c>
      <c r="Z336" s="10" t="str">
        <f t="shared" si="204"/>
        <v/>
      </c>
      <c r="AA336" s="10" t="str">
        <f t="shared" si="204"/>
        <v/>
      </c>
      <c r="AB336" s="10" t="str">
        <f t="shared" si="204"/>
        <v/>
      </c>
      <c r="AD336" s="6">
        <f>IF((D333&lt;&gt;"")*(D337=""),IF((D333&lt;=$B$455)*((D334&gt;=$C$455)+(D334&lt;2/24)),1,0),0)</f>
        <v>0</v>
      </c>
      <c r="AE336" s="6">
        <f>IF((E333&lt;&gt;"")*(E337=""),IF((E333&lt;=$B$455)*((E334&gt;=$C$455)+(E334&lt;2/24)),1,0),0)</f>
        <v>0</v>
      </c>
      <c r="AF336" s="6">
        <f>IF((F333&lt;&gt;"")*(F337=""),IF((F333&lt;=$B$455)*((F334&gt;=$C$455)+(F334&lt;2/24)),1,0),0)</f>
        <v>0</v>
      </c>
      <c r="AG336" s="6">
        <f>IF((G333&lt;&gt;"")*(G337=""),IF((G333&lt;=$B$455)*((G334&gt;=$C$455)+(G334&lt;2/24)),1,0),0)</f>
        <v>0</v>
      </c>
      <c r="AH336" s="6">
        <f>IF((H333&lt;&gt;"")*(H337=""),IF((H333&lt;=$B$455)*((H334&gt;=$C$455)+(H334&lt;2/24)),1,0),0)</f>
        <v>0</v>
      </c>
      <c r="AI336" s="6">
        <f>IF((I333&lt;&gt;"")*(I337=""),IF((I333&lt;=$B$455)*((I334&gt;=$C$455)+(I334&lt;2/24)),1,0),0)</f>
        <v>0</v>
      </c>
      <c r="AJ336" s="6">
        <f>IF((J333&lt;&gt;"")*(J337=""),IF((J333&lt;=$B$455)*((J334&gt;=$C$455)+(J334&lt;2/24)),1,0),0)</f>
        <v>0</v>
      </c>
    </row>
    <row r="337" spans="1:36" x14ac:dyDescent="0.2">
      <c r="A337" s="39"/>
      <c r="B337" s="40"/>
      <c r="C337" s="32" t="s">
        <v>4</v>
      </c>
      <c r="D337" s="33"/>
      <c r="E337" s="33"/>
      <c r="F337" s="33"/>
      <c r="G337" s="33"/>
      <c r="H337" s="33"/>
      <c r="I337" s="33"/>
      <c r="J337" s="33"/>
      <c r="K337" s="17"/>
      <c r="L337" s="6"/>
      <c r="M337" s="25"/>
      <c r="N337" s="6"/>
      <c r="O337" s="6"/>
      <c r="P337" s="6"/>
      <c r="Q337" s="6"/>
      <c r="R337" s="6"/>
      <c r="S337" s="6"/>
      <c r="T337" s="6"/>
      <c r="U337" s="6"/>
      <c r="V337" s="20"/>
      <c r="W337" s="20"/>
      <c r="X337" s="20"/>
      <c r="Y337" s="20"/>
      <c r="Z337" s="20"/>
      <c r="AA337" s="20"/>
      <c r="AB337" s="20"/>
      <c r="AD337" s="6">
        <f>IF((D333&lt;&gt;"")*(D337=""),IF((D333&lt;=$B$456)*((D334&gt;=$C$456)+(D334&lt;2/24)),1,0),0)</f>
        <v>0</v>
      </c>
      <c r="AE337" s="6">
        <f>IF((E333&lt;&gt;"")*(E337=""),IF((E333&lt;=$B$456)*((E334&gt;=$C$456)+(E334&lt;2/24)),1,0),0)</f>
        <v>0</v>
      </c>
      <c r="AF337" s="6">
        <f>IF((F333&lt;&gt;"")*(F337=""),IF((F333&lt;=$B$456)*((F334&gt;=$C$456)+(F334&lt;2/24)),1,0),0)</f>
        <v>0</v>
      </c>
      <c r="AG337" s="6">
        <f>IF((G333&lt;&gt;"")*(G337=""),IF((G333&lt;=$B$456)*((G334&gt;=$C$456)+(G334&lt;2/24)),1,0),0)</f>
        <v>0</v>
      </c>
      <c r="AH337" s="6">
        <f>IF((H333&lt;&gt;"")*(H337=""),IF((H333&lt;=$B$456)*((H334&gt;=$C$456)+(H334&lt;2/24)),1,0),0)</f>
        <v>0</v>
      </c>
      <c r="AI337" s="6">
        <f>IF((I333&lt;&gt;"")*(I337=""),IF((I333&lt;=$B$456)*((I334&gt;=$C$456)+(I334&lt;2/24)),1,0),0)</f>
        <v>0</v>
      </c>
      <c r="AJ337" s="6">
        <f>IF((J333&lt;&gt;"")*(J337=""),IF((J333&lt;=$B$456)*((J334&gt;=$C$456)+(J334&lt;2/24)),1,0),0)</f>
        <v>0</v>
      </c>
    </row>
    <row r="338" spans="1:36" ht="13.5" thickBot="1" x14ac:dyDescent="0.25">
      <c r="A338" s="41"/>
      <c r="B338" s="42"/>
      <c r="C338" s="35" t="s">
        <v>28</v>
      </c>
      <c r="D338" s="36"/>
      <c r="E338" s="36"/>
      <c r="F338" s="36"/>
      <c r="G338" s="36"/>
      <c r="H338" s="36"/>
      <c r="I338" s="36"/>
      <c r="J338" s="36"/>
      <c r="K338" s="34"/>
      <c r="L338" s="6"/>
      <c r="M338" s="25"/>
      <c r="N338" s="6"/>
      <c r="O338" s="6"/>
      <c r="P338" s="6"/>
      <c r="Q338" s="6"/>
      <c r="R338" s="6"/>
      <c r="S338" s="6"/>
      <c r="T338" s="6"/>
      <c r="U338" s="6"/>
      <c r="V338" s="20"/>
      <c r="W338" s="20"/>
      <c r="X338" s="20"/>
      <c r="Y338" s="20"/>
      <c r="Z338" s="20"/>
      <c r="AA338" s="20"/>
      <c r="AB338" s="20"/>
      <c r="AD338" s="6"/>
      <c r="AE338" s="6"/>
      <c r="AF338" s="6"/>
      <c r="AG338" s="6"/>
      <c r="AH338" s="6"/>
      <c r="AI338" s="6"/>
      <c r="AJ338" s="6"/>
    </row>
    <row r="339" spans="1:36" x14ac:dyDescent="0.2">
      <c r="A339" s="37" t="s">
        <v>108</v>
      </c>
      <c r="B339" s="38" t="s">
        <v>109</v>
      </c>
      <c r="C339" s="14" t="s">
        <v>0</v>
      </c>
      <c r="D339" s="26"/>
      <c r="E339" s="26">
        <v>0.77083333333333337</v>
      </c>
      <c r="F339" s="26">
        <v>0.77083333333333337</v>
      </c>
      <c r="G339" s="26"/>
      <c r="H339" s="26"/>
      <c r="I339" s="26"/>
      <c r="J339" s="26"/>
      <c r="K339" s="16"/>
      <c r="L339" s="6"/>
      <c r="M339" s="21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D339" s="6">
        <f>IF((D339&lt;&gt;"")*(D343=""),IF((D339&lt;=$B$440)*((D340&gt;=$C$440)+(D340&lt;2/24)),1,0),0)</f>
        <v>0</v>
      </c>
      <c r="AE339" s="6">
        <f>IF((E339&lt;&gt;"")*(E343=""),IF((E339&lt;=$B$440)*((E340&gt;=$C$440)+(E340&lt;2/24)),1,0),0)</f>
        <v>0</v>
      </c>
      <c r="AF339" s="6">
        <f>IF((F339&lt;&gt;"")*(F343=""),IF((F339&lt;=$B$440)*((F340&gt;=$C$440)+(F340&lt;2/24)),1,0),0)</f>
        <v>0</v>
      </c>
      <c r="AG339" s="6">
        <f>IF((G339&lt;&gt;"")*(G343=""),IF((G339&lt;=$B$440)*((G340&gt;=$C$440)+(G340&lt;2/24)),1,0),0)</f>
        <v>0</v>
      </c>
      <c r="AH339" s="6">
        <f>IF((H339&lt;&gt;"")*(H343=""),IF((H339&lt;=$B$440)*((H340&gt;=$C$440)+(H340&lt;2/24)),1,0),0)</f>
        <v>0</v>
      </c>
      <c r="AI339" s="6">
        <f>IF((I339&lt;&gt;"")*(I343=""),IF((I339&lt;=$B$440)*((I340&gt;=$C$440)+(I340&lt;2/24)),1,0),0)</f>
        <v>0</v>
      </c>
      <c r="AJ339" s="6">
        <f>IF((J339&lt;&gt;"")*(J343=""),IF((J339&lt;=$B$440)*((J340&gt;=$C$440)+(J340&lt;2/24)),1,0),0)</f>
        <v>0</v>
      </c>
    </row>
    <row r="340" spans="1:36" x14ac:dyDescent="0.2">
      <c r="A340" s="39"/>
      <c r="B340" s="40"/>
      <c r="C340" s="15" t="s">
        <v>1</v>
      </c>
      <c r="D340" s="27"/>
      <c r="E340" s="27">
        <v>0.95833333333333337</v>
      </c>
      <c r="F340" s="27">
        <v>0.95833333333333337</v>
      </c>
      <c r="G340" s="27"/>
      <c r="H340" s="27"/>
      <c r="I340" s="27"/>
      <c r="J340" s="27"/>
      <c r="K340" s="17"/>
      <c r="L340" s="6"/>
      <c r="M340" s="21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D340" s="6">
        <f>IF((D339&lt;&gt;"")*(D343=""),IF((D339&lt;=$B$441)*((D340&gt;=$C$441)+(D340&lt;2/24)),1,0),0)</f>
        <v>0</v>
      </c>
      <c r="AE340" s="6">
        <f>IF((E339&lt;&gt;"")*(E343=""),IF((E339&lt;=$B$441)*((E340&gt;=$C$441)+(E340&lt;2/24)),1,0),0)</f>
        <v>1</v>
      </c>
      <c r="AF340" s="6">
        <f>IF((F339&lt;&gt;"")*(F343=""),IF((F339&lt;=$B$441)*((F340&gt;=$C$441)+(F340&lt;2/24)),1,0),0)</f>
        <v>1</v>
      </c>
      <c r="AG340" s="6">
        <f>IF((G339&lt;&gt;"")*(G343=""),IF((G339&lt;=$B$441)*((G340&gt;=$C$441)+(G340&lt;2/24)),1,0),0)</f>
        <v>0</v>
      </c>
      <c r="AH340" s="6">
        <f>IF((H339&lt;&gt;"")*(H343=""),IF((H339&lt;=$B$441)*((H340&gt;=$C$441)+(H340&lt;2/24)),1,0),0)</f>
        <v>0</v>
      </c>
      <c r="AI340" s="6">
        <f>IF((I339&lt;&gt;"")*(I343=""),IF((I339&lt;=$B$441)*((I340&gt;=$C$441)+(I340&lt;2/24)),1,0),0)</f>
        <v>0</v>
      </c>
      <c r="AJ340" s="6">
        <f>IF((J339&lt;&gt;"")*(J343=""),IF((J339&lt;=$B$441)*((J340&gt;=$C$441)+(J340&lt;2/24)),1,0),0)</f>
        <v>0</v>
      </c>
    </row>
    <row r="341" spans="1:36" x14ac:dyDescent="0.2">
      <c r="A341" s="39"/>
      <c r="B341" s="40"/>
      <c r="C341" s="15" t="s">
        <v>2</v>
      </c>
      <c r="D341" s="4"/>
      <c r="E341" s="4"/>
      <c r="F341" s="4"/>
      <c r="G341" s="58"/>
      <c r="H341" s="4"/>
      <c r="I341" s="4"/>
      <c r="J341" s="4"/>
      <c r="K341" s="17"/>
      <c r="L341" s="6"/>
      <c r="M341" s="21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D341" s="6">
        <f>IF((D339&lt;&gt;"")*(D343=""),IF((D339&lt;=$B$442)*((D340&gt;=$C$442)+(D340&lt;2/24)),1,0),0)</f>
        <v>0</v>
      </c>
      <c r="AE341" s="6">
        <f>IF((E339&lt;&gt;"")*(E343=""),IF((E339&lt;=$B$442)*((E340&gt;=$C$442)+(E340&lt;2/24)),1,0),0)</f>
        <v>1</v>
      </c>
      <c r="AF341" s="6">
        <f>IF((F339&lt;&gt;"")*(F343=""),IF((F339&lt;=$B$442)*((F340&gt;=$C$442)+(F340&lt;2/24)),1,0),0)</f>
        <v>1</v>
      </c>
      <c r="AG341" s="6">
        <f>IF((G339&lt;&gt;"")*(G343=""),IF((G339&lt;=$B$442)*((G340&gt;=$C$442)+(G340&lt;2/24)),1,0),0)</f>
        <v>0</v>
      </c>
      <c r="AH341" s="6">
        <f>IF((H339&lt;&gt;"")*(H343=""),IF((H339&lt;=$B$442)*((H340&gt;=$C$442)+(H340&lt;2/24)),1,0),0)</f>
        <v>0</v>
      </c>
      <c r="AI341" s="6">
        <f>IF((I339&lt;&gt;"")*(I343=""),IF((I339&lt;=$B$442)*((I340&gt;=$C$442)+(I340&lt;2/24)),1,0),0)</f>
        <v>0</v>
      </c>
      <c r="AJ341" s="6">
        <f>IF((J339&lt;&gt;"")*(J343=""),IF((J339&lt;=$B$442)*((J340&gt;=$C$442)+(J340&lt;2/24)),1,0),0)</f>
        <v>0</v>
      </c>
    </row>
    <row r="342" spans="1:36" x14ac:dyDescent="0.2">
      <c r="A342" s="39"/>
      <c r="B342" s="40"/>
      <c r="C342" s="15" t="s">
        <v>3</v>
      </c>
      <c r="D342" s="43"/>
      <c r="E342" s="43">
        <f t="shared" ref="E342:J342" si="205">IF(E339="","",IF(E340&gt;E339,(E340-E339-E341)*24,(1-E339-E341+E340)*24))</f>
        <v>4.5</v>
      </c>
      <c r="F342" s="43">
        <f t="shared" si="205"/>
        <v>4.5</v>
      </c>
      <c r="G342" s="55" t="str">
        <f t="shared" si="205"/>
        <v/>
      </c>
      <c r="H342" s="55" t="str">
        <f t="shared" si="205"/>
        <v/>
      </c>
      <c r="I342" s="43" t="str">
        <f t="shared" si="205"/>
        <v/>
      </c>
      <c r="J342" s="44" t="str">
        <f t="shared" si="205"/>
        <v/>
      </c>
      <c r="K342" s="18">
        <f>SUMIF(D343:J343,"",D342:J342)</f>
        <v>9</v>
      </c>
      <c r="L342" s="12">
        <f>SUM(D342:J342)</f>
        <v>9</v>
      </c>
      <c r="M342" s="24"/>
      <c r="N342" s="10">
        <f t="shared" ref="N342:T342" si="206">IF(D343="",D342,0)</f>
        <v>0</v>
      </c>
      <c r="O342" s="10">
        <f t="shared" si="206"/>
        <v>4.5</v>
      </c>
      <c r="P342" s="10">
        <f t="shared" si="206"/>
        <v>4.5</v>
      </c>
      <c r="Q342" s="10" t="str">
        <f t="shared" si="206"/>
        <v/>
      </c>
      <c r="R342" s="10" t="str">
        <f t="shared" si="206"/>
        <v/>
      </c>
      <c r="S342" s="10" t="str">
        <f t="shared" si="206"/>
        <v/>
      </c>
      <c r="T342" s="10" t="str">
        <f t="shared" si="206"/>
        <v/>
      </c>
      <c r="U342" s="10"/>
      <c r="V342" s="10">
        <f t="shared" ref="V342:AB342" si="207">D342</f>
        <v>0</v>
      </c>
      <c r="W342" s="10">
        <f t="shared" si="207"/>
        <v>4.5</v>
      </c>
      <c r="X342" s="10">
        <f t="shared" si="207"/>
        <v>4.5</v>
      </c>
      <c r="Y342" s="10" t="str">
        <f t="shared" si="207"/>
        <v/>
      </c>
      <c r="Z342" s="10" t="str">
        <f t="shared" si="207"/>
        <v/>
      </c>
      <c r="AA342" s="10" t="str">
        <f t="shared" si="207"/>
        <v/>
      </c>
      <c r="AB342" s="10" t="str">
        <f t="shared" si="207"/>
        <v/>
      </c>
      <c r="AD342" s="6">
        <f>IF((D339&lt;&gt;"")*(D343=""),IF((D339&lt;=$B$443)*((D340&gt;=$C$443)+(D340&lt;2/24)),1,0),0)</f>
        <v>0</v>
      </c>
      <c r="AE342" s="6">
        <f>IF((E339&lt;&gt;"")*(E343=""),IF((E339&lt;=$B$443)*((E340&gt;=$C$443)+(E340&lt;2/24)),1,0),0)</f>
        <v>0</v>
      </c>
      <c r="AF342" s="6">
        <f>IF((F339&lt;&gt;"")*(F343=""),IF((F339&lt;=$B$443)*((F340&gt;=$C$443)+(F340&lt;2/24)),1,0),0)</f>
        <v>0</v>
      </c>
      <c r="AG342" s="6">
        <f>IF((G339&lt;&gt;"")*(G343=""),IF((G339&lt;=$B$443)*((G340&gt;=$C$443)+(G340&lt;2/24)),1,0),0)</f>
        <v>0</v>
      </c>
      <c r="AH342" s="6">
        <f>IF((H339&lt;&gt;"")*(H343=""),IF((H339&lt;=$B$443)*((H340&gt;=$C$443)+(H340&lt;2/24)),1,0),0)</f>
        <v>0</v>
      </c>
      <c r="AI342" s="6">
        <f>IF((I339&lt;&gt;"")*(I343=""),IF((I339&lt;=$B$443)*((I340&gt;=$C$443)+(I340&lt;2/24)),1,0),0)</f>
        <v>0</v>
      </c>
      <c r="AJ342" s="6">
        <f>IF((J339&lt;&gt;"")*(J343=""),IF((J339&lt;=$B$443)*((J340&gt;=$C$443)+(J340&lt;2/24)),1,0),0)</f>
        <v>0</v>
      </c>
    </row>
    <row r="343" spans="1:36" x14ac:dyDescent="0.2">
      <c r="A343" s="39"/>
      <c r="B343" s="40"/>
      <c r="C343" s="32" t="s">
        <v>4</v>
      </c>
      <c r="D343" s="33"/>
      <c r="E343" s="33"/>
      <c r="F343" s="33"/>
      <c r="G343" s="33"/>
      <c r="H343" s="33"/>
      <c r="I343" s="33"/>
      <c r="J343" s="33"/>
      <c r="K343" s="17"/>
      <c r="L343" s="6"/>
      <c r="M343" s="25"/>
      <c r="N343" s="6"/>
      <c r="O343" s="6"/>
      <c r="P343" s="6"/>
      <c r="Q343" s="6"/>
      <c r="R343" s="6"/>
      <c r="S343" s="6"/>
      <c r="T343" s="6"/>
      <c r="U343" s="6"/>
      <c r="V343" s="20"/>
      <c r="W343" s="20"/>
      <c r="X343" s="20"/>
      <c r="Y343" s="20"/>
      <c r="Z343" s="20"/>
      <c r="AA343" s="20"/>
      <c r="AB343" s="20"/>
      <c r="AD343" s="6">
        <f>IF((D339&lt;&gt;"")*(D343=""),IF((D339&lt;=$B$444)*((D340&gt;=$C$444)+(D340&lt;2/24)),1,0),0)</f>
        <v>0</v>
      </c>
      <c r="AE343" s="6">
        <f>IF((E339&lt;&gt;"")*(E343=""),IF((E339&lt;=$B$444)*((E340&gt;=$C$444)+(E340&lt;2/24)),1,0),0)</f>
        <v>0</v>
      </c>
      <c r="AF343" s="6">
        <f>IF((F339&lt;&gt;"")*(F343=""),IF((F339&lt;=$B$444)*((F340&gt;=$C$444)+(F340&lt;2/24)),1,0),0)</f>
        <v>0</v>
      </c>
      <c r="AG343" s="6">
        <f>IF((G339&lt;&gt;"")*(G343=""),IF((G339&lt;=$B$444)*((G340&gt;=$C$444)+(G340&lt;2/24)),1,0),0)</f>
        <v>0</v>
      </c>
      <c r="AH343" s="6">
        <f>IF((H339&lt;&gt;"")*(H343=""),IF((H339&lt;=$B$444)*((H340&gt;=$C$444)+(H340&lt;2/24)),1,0),0)</f>
        <v>0</v>
      </c>
      <c r="AI343" s="6">
        <f>IF((I339&lt;&gt;"")*(I343=""),IF((I339&lt;=$B$444)*((I340&gt;=$C$444)+(I340&lt;2/24)),1,0),0)</f>
        <v>0</v>
      </c>
      <c r="AJ343" s="6">
        <f>IF((J339&lt;&gt;"")*(J343=""),IF((J339&lt;=$B$444)*((J340&gt;=$C$444)+(J340&lt;2/24)),1,0),0)</f>
        <v>0</v>
      </c>
    </row>
    <row r="344" spans="1:36" ht="13.5" thickBot="1" x14ac:dyDescent="0.25">
      <c r="A344" s="41"/>
      <c r="B344" s="42"/>
      <c r="C344" s="35" t="s">
        <v>28</v>
      </c>
      <c r="D344" s="93"/>
      <c r="E344" s="93"/>
      <c r="F344" s="93"/>
      <c r="G344" s="93"/>
      <c r="H344" s="93"/>
      <c r="I344" s="93"/>
      <c r="J344" s="93"/>
      <c r="K344" s="94"/>
      <c r="L344" s="6"/>
      <c r="M344" s="25"/>
      <c r="N344" s="6"/>
      <c r="O344" s="6"/>
      <c r="P344" s="6"/>
      <c r="Q344" s="6"/>
      <c r="R344" s="6"/>
      <c r="S344" s="6"/>
      <c r="T344" s="6"/>
      <c r="U344" s="6"/>
      <c r="V344" s="20"/>
      <c r="W344" s="20"/>
      <c r="X344" s="20"/>
      <c r="Y344" s="20"/>
      <c r="Z344" s="20"/>
      <c r="AA344" s="20"/>
      <c r="AB344" s="20"/>
      <c r="AD344" s="6"/>
      <c r="AE344" s="6"/>
      <c r="AF344" s="6"/>
      <c r="AG344" s="6"/>
      <c r="AH344" s="6"/>
      <c r="AI344" s="6"/>
      <c r="AJ344" s="6"/>
    </row>
    <row r="345" spans="1:36" x14ac:dyDescent="0.2">
      <c r="A345" s="37" t="s">
        <v>161</v>
      </c>
      <c r="B345" s="38" t="s">
        <v>143</v>
      </c>
      <c r="C345" s="14" t="s">
        <v>0</v>
      </c>
      <c r="D345" s="26">
        <v>0.54166666666666663</v>
      </c>
      <c r="E345" s="26"/>
      <c r="F345" s="26">
        <v>0.54166666666666663</v>
      </c>
      <c r="G345" s="26">
        <v>0.54166666666666663</v>
      </c>
      <c r="H345" s="26">
        <v>0.54166666666666663</v>
      </c>
      <c r="I345" s="26">
        <v>0.54166666666666663</v>
      </c>
      <c r="J345" s="26"/>
      <c r="K345" s="16"/>
      <c r="L345" s="6"/>
      <c r="M345" s="25"/>
      <c r="N345" s="6"/>
      <c r="O345" s="6"/>
      <c r="P345" s="6"/>
      <c r="Q345" s="6"/>
      <c r="R345" s="6"/>
      <c r="S345" s="6"/>
      <c r="T345" s="6"/>
      <c r="U345" s="6"/>
      <c r="V345" s="20"/>
      <c r="W345" s="20"/>
      <c r="X345" s="20"/>
      <c r="Y345" s="20"/>
      <c r="Z345" s="20"/>
      <c r="AA345" s="20"/>
      <c r="AB345" s="20"/>
      <c r="AD345" s="6"/>
      <c r="AE345" s="6"/>
      <c r="AF345" s="6"/>
      <c r="AG345" s="6"/>
      <c r="AH345" s="6"/>
      <c r="AI345" s="6"/>
      <c r="AJ345" s="6"/>
    </row>
    <row r="346" spans="1:36" x14ac:dyDescent="0.2">
      <c r="A346" s="39"/>
      <c r="B346" s="40"/>
      <c r="C346" s="15" t="s">
        <v>1</v>
      </c>
      <c r="D346" s="27">
        <v>0.75</v>
      </c>
      <c r="E346" s="27"/>
      <c r="F346" s="27">
        <v>0.75</v>
      </c>
      <c r="G346" s="27">
        <v>0.75</v>
      </c>
      <c r="H346" s="27">
        <v>0.75</v>
      </c>
      <c r="I346" s="27">
        <v>0.75</v>
      </c>
      <c r="J346" s="27"/>
      <c r="K346" s="17"/>
      <c r="L346" s="6"/>
      <c r="M346" s="25"/>
      <c r="N346" s="6"/>
      <c r="O346" s="6"/>
      <c r="P346" s="6"/>
      <c r="Q346" s="6"/>
      <c r="R346" s="6"/>
      <c r="S346" s="6"/>
      <c r="T346" s="6"/>
      <c r="U346" s="6"/>
      <c r="V346" s="20"/>
      <c r="W346" s="20"/>
      <c r="X346" s="20"/>
      <c r="Y346" s="20"/>
      <c r="Z346" s="20"/>
      <c r="AA346" s="20"/>
      <c r="AB346" s="20"/>
      <c r="AD346" s="6"/>
      <c r="AE346" s="6"/>
      <c r="AF346" s="6"/>
      <c r="AG346" s="6"/>
      <c r="AH346" s="6"/>
      <c r="AI346" s="6"/>
      <c r="AJ346" s="6"/>
    </row>
    <row r="347" spans="1:36" x14ac:dyDescent="0.2">
      <c r="A347" s="39"/>
      <c r="B347" s="40"/>
      <c r="C347" s="15" t="s">
        <v>2</v>
      </c>
      <c r="D347" s="4"/>
      <c r="E347" s="4"/>
      <c r="F347" s="4"/>
      <c r="G347" s="58"/>
      <c r="H347" s="4"/>
      <c r="I347" s="4"/>
      <c r="J347" s="4"/>
      <c r="K347" s="17"/>
      <c r="L347" s="6"/>
      <c r="M347" s="25"/>
      <c r="N347" s="6"/>
      <c r="O347" s="6"/>
      <c r="P347" s="6"/>
      <c r="Q347" s="6"/>
      <c r="R347" s="6"/>
      <c r="S347" s="6"/>
      <c r="T347" s="6"/>
      <c r="U347" s="6"/>
      <c r="V347" s="20"/>
      <c r="W347" s="20"/>
      <c r="X347" s="20"/>
      <c r="Y347" s="20"/>
      <c r="Z347" s="20"/>
      <c r="AA347" s="20"/>
      <c r="AB347" s="20"/>
      <c r="AD347" s="6"/>
      <c r="AE347" s="6"/>
      <c r="AF347" s="6"/>
      <c r="AG347" s="6"/>
      <c r="AH347" s="6"/>
      <c r="AI347" s="6"/>
      <c r="AJ347" s="6"/>
    </row>
    <row r="348" spans="1:36" x14ac:dyDescent="0.2">
      <c r="A348" s="39"/>
      <c r="B348" s="40"/>
      <c r="C348" s="15" t="s">
        <v>3</v>
      </c>
      <c r="D348" s="43">
        <v>5</v>
      </c>
      <c r="E348" s="43" t="str">
        <f t="shared" ref="E348:J348" si="208">IF(E345="","",IF(E346&gt;E345,(E346-E345-E347)*24,(1-E345-E347+E346)*24))</f>
        <v/>
      </c>
      <c r="F348" s="43">
        <f t="shared" si="208"/>
        <v>5.0000000000000009</v>
      </c>
      <c r="G348" s="55">
        <f t="shared" si="208"/>
        <v>5.0000000000000009</v>
      </c>
      <c r="H348" s="55">
        <f t="shared" si="208"/>
        <v>5.0000000000000009</v>
      </c>
      <c r="I348" s="43">
        <f t="shared" si="208"/>
        <v>5.0000000000000009</v>
      </c>
      <c r="J348" s="44" t="str">
        <f t="shared" si="208"/>
        <v/>
      </c>
      <c r="K348" s="18">
        <f>SUMIF(D349:J349,"",D348:J348)</f>
        <v>25</v>
      </c>
      <c r="L348" s="12">
        <f>SUM(D348:J348)</f>
        <v>25</v>
      </c>
      <c r="M348" s="25"/>
      <c r="N348" s="6"/>
      <c r="O348" s="6"/>
      <c r="P348" s="6"/>
      <c r="Q348" s="6"/>
      <c r="R348" s="6"/>
      <c r="S348" s="6"/>
      <c r="T348" s="6"/>
      <c r="U348" s="6"/>
      <c r="V348" s="20"/>
      <c r="W348" s="20"/>
      <c r="X348" s="20"/>
      <c r="Y348" s="20"/>
      <c r="Z348" s="20"/>
      <c r="AA348" s="20"/>
      <c r="AB348" s="20"/>
      <c r="AD348" s="6"/>
      <c r="AE348" s="6"/>
      <c r="AF348" s="6"/>
      <c r="AG348" s="6"/>
      <c r="AH348" s="6"/>
      <c r="AI348" s="6"/>
      <c r="AJ348" s="6"/>
    </row>
    <row r="349" spans="1:36" x14ac:dyDescent="0.2">
      <c r="A349" s="39"/>
      <c r="B349" s="40"/>
      <c r="C349" s="32" t="s">
        <v>4</v>
      </c>
      <c r="D349" s="33"/>
      <c r="E349" s="33"/>
      <c r="F349" s="33"/>
      <c r="G349" s="33"/>
      <c r="H349" s="33"/>
      <c r="I349" s="33"/>
      <c r="J349" s="33"/>
      <c r="K349" s="17"/>
      <c r="L349" s="6"/>
      <c r="M349" s="25"/>
      <c r="N349" s="6"/>
      <c r="O349" s="6"/>
      <c r="P349" s="6"/>
      <c r="Q349" s="6"/>
      <c r="R349" s="6"/>
      <c r="S349" s="6"/>
      <c r="T349" s="6"/>
      <c r="U349" s="6"/>
      <c r="V349" s="20"/>
      <c r="W349" s="20"/>
      <c r="X349" s="20"/>
      <c r="Y349" s="20"/>
      <c r="Z349" s="20"/>
      <c r="AA349" s="20"/>
      <c r="AB349" s="20"/>
      <c r="AD349" s="6"/>
      <c r="AE349" s="6"/>
      <c r="AF349" s="6"/>
      <c r="AG349" s="6"/>
      <c r="AH349" s="6"/>
      <c r="AI349" s="6"/>
      <c r="AJ349" s="6"/>
    </row>
    <row r="350" spans="1:36" ht="13.5" thickBot="1" x14ac:dyDescent="0.25">
      <c r="A350" s="41"/>
      <c r="B350" s="42"/>
      <c r="C350" s="35" t="s">
        <v>28</v>
      </c>
      <c r="D350" s="93"/>
      <c r="E350" s="93"/>
      <c r="F350" s="93"/>
      <c r="G350" s="93"/>
      <c r="H350" s="93"/>
      <c r="I350" s="93"/>
      <c r="J350" s="93"/>
      <c r="K350" s="94"/>
      <c r="L350" s="6"/>
      <c r="M350" s="25"/>
      <c r="N350" s="6"/>
      <c r="O350" s="6"/>
      <c r="P350" s="6"/>
      <c r="Q350" s="6"/>
      <c r="R350" s="6"/>
      <c r="S350" s="6"/>
      <c r="T350" s="6"/>
      <c r="U350" s="6"/>
      <c r="V350" s="20"/>
      <c r="W350" s="20"/>
      <c r="X350" s="20"/>
      <c r="Y350" s="20"/>
      <c r="Z350" s="20"/>
      <c r="AA350" s="20"/>
      <c r="AB350" s="20"/>
      <c r="AD350" s="6"/>
      <c r="AE350" s="6"/>
      <c r="AF350" s="6"/>
      <c r="AG350" s="6"/>
      <c r="AH350" s="6"/>
      <c r="AI350" s="6"/>
      <c r="AJ350" s="6"/>
    </row>
    <row r="351" spans="1:36" x14ac:dyDescent="0.2">
      <c r="A351" s="37" t="s">
        <v>100</v>
      </c>
      <c r="B351" s="38" t="s">
        <v>125</v>
      </c>
      <c r="C351" s="14" t="s">
        <v>0</v>
      </c>
      <c r="D351" s="26"/>
      <c r="E351" s="26"/>
      <c r="F351" s="26"/>
      <c r="G351" s="26"/>
      <c r="H351" s="26"/>
      <c r="I351" s="26"/>
      <c r="J351" s="26"/>
      <c r="K351" s="16"/>
      <c r="L351" s="6"/>
      <c r="M351" s="21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D351" s="6">
        <f>IF((D351&lt;&gt;"")*(D355=""),IF((D351&lt;=$B$440)*((D352&gt;=$C$440)+(D352&lt;2/24)),1,0),0)</f>
        <v>0</v>
      </c>
      <c r="AE351" s="6">
        <f>IF((E351&lt;&gt;"")*(E355=""),IF((E351&lt;=$B$440)*((E352&gt;=$C$440)+(E352&lt;2/24)),1,0),0)</f>
        <v>0</v>
      </c>
      <c r="AF351" s="6">
        <f>IF((F351&lt;&gt;"")*(F355=""),IF((F351&lt;=$B$440)*((F352&gt;=$C$440)+(F352&lt;2/24)),1,0),0)</f>
        <v>0</v>
      </c>
      <c r="AG351" s="6">
        <f>IF((G351&lt;&gt;"")*(G355=""),IF((G351&lt;=$B$440)*((G352&gt;=$C$440)+(G352&lt;2/24)),1,0),0)</f>
        <v>0</v>
      </c>
      <c r="AH351" s="6">
        <f>IF((H351&lt;&gt;"")*(H355=""),IF((H351&lt;=$B$440)*((H352&gt;=$C$440)+(H352&lt;2/24)),1,0),0)</f>
        <v>0</v>
      </c>
      <c r="AI351" s="6">
        <f>IF((I351&lt;&gt;"")*(I355=""),IF((I351&lt;=$B$440)*((I352&gt;=$C$440)+(I352&lt;2/24)),1,0),0)</f>
        <v>0</v>
      </c>
      <c r="AJ351" s="6">
        <f>IF((J351&lt;&gt;"")*(J355=""),IF((J351&lt;=$B$440)*((J352&gt;=$C$440)+(J352&lt;2/24)),1,0),0)</f>
        <v>0</v>
      </c>
    </row>
    <row r="352" spans="1:36" x14ac:dyDescent="0.2">
      <c r="A352" s="39"/>
      <c r="B352" s="40"/>
      <c r="C352" s="15" t="s">
        <v>1</v>
      </c>
      <c r="D352" s="27"/>
      <c r="E352" s="27"/>
      <c r="F352" s="27"/>
      <c r="G352" s="27"/>
      <c r="H352" s="27"/>
      <c r="I352" s="27"/>
      <c r="J352" s="27"/>
      <c r="K352" s="17"/>
      <c r="L352" s="6"/>
      <c r="M352" s="21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D352" s="6">
        <f>IF((D351&lt;&gt;"")*(D355=""),IF((D351&lt;=$B$441)*((D352&gt;=$C$441)+(D352&lt;2/24)),1,0),0)</f>
        <v>0</v>
      </c>
      <c r="AE352" s="6">
        <f>IF((E351&lt;&gt;"")*(E355=""),IF((E351&lt;=$B$441)*((E352&gt;=$C$441)+(E352&lt;2/24)),1,0),0)</f>
        <v>0</v>
      </c>
      <c r="AF352" s="6">
        <f>IF((F351&lt;&gt;"")*(F355=""),IF((F351&lt;=$B$441)*((F352&gt;=$C$441)+(F352&lt;2/24)),1,0),0)</f>
        <v>0</v>
      </c>
      <c r="AG352" s="6">
        <f>IF((G351&lt;&gt;"")*(G355=""),IF((G351&lt;=$B$441)*((G352&gt;=$C$441)+(G352&lt;2/24)),1,0),0)</f>
        <v>0</v>
      </c>
      <c r="AH352" s="6">
        <f>IF((H351&lt;&gt;"")*(H355=""),IF((H351&lt;=$B$441)*((H352&gt;=$C$441)+(H352&lt;2/24)),1,0),0)</f>
        <v>0</v>
      </c>
      <c r="AI352" s="6">
        <f>IF((I351&lt;&gt;"")*(I355=""),IF((I351&lt;=$B$441)*((I352&gt;=$C$441)+(I352&lt;2/24)),1,0),0)</f>
        <v>0</v>
      </c>
      <c r="AJ352" s="6">
        <f>IF((J351&lt;&gt;"")*(J355=""),IF((J351&lt;=$B$441)*((J352&gt;=$C$441)+(J352&lt;2/24)),1,0),0)</f>
        <v>0</v>
      </c>
    </row>
    <row r="353" spans="1:36" x14ac:dyDescent="0.2">
      <c r="A353" s="39"/>
      <c r="B353" s="40"/>
      <c r="C353" s="15" t="s">
        <v>2</v>
      </c>
      <c r="D353" s="4"/>
      <c r="E353" s="4"/>
      <c r="F353" s="4"/>
      <c r="G353" s="58"/>
      <c r="H353" s="4"/>
      <c r="I353" s="4"/>
      <c r="J353" s="4"/>
      <c r="K353" s="17"/>
      <c r="L353" s="6"/>
      <c r="M353" s="21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D353" s="6">
        <f>IF((D351&lt;&gt;"")*(D355=""),IF((D351&lt;=$B$442)*((D352&gt;=$C$442)+(D352&lt;2/24)),1,0),0)</f>
        <v>0</v>
      </c>
      <c r="AE353" s="6">
        <f>IF((E351&lt;&gt;"")*(E355=""),IF((E351&lt;=$B$442)*((E352&gt;=$C$442)+(E352&lt;2/24)),1,0),0)</f>
        <v>0</v>
      </c>
      <c r="AF353" s="6">
        <f>IF((F351&lt;&gt;"")*(F355=""),IF((F351&lt;=$B$442)*((F352&gt;=$C$442)+(F352&lt;2/24)),1,0),0)</f>
        <v>0</v>
      </c>
      <c r="AG353" s="6">
        <f>IF((G351&lt;&gt;"")*(G355=""),IF((G351&lt;=$B$442)*((G352&gt;=$C$442)+(G352&lt;2/24)),1,0),0)</f>
        <v>0</v>
      </c>
      <c r="AH353" s="6">
        <f>IF((H351&lt;&gt;"")*(H355=""),IF((H351&lt;=$B$442)*((H352&gt;=$C$442)+(H352&lt;2/24)),1,0),0)</f>
        <v>0</v>
      </c>
      <c r="AI353" s="6">
        <f>IF((I351&lt;&gt;"")*(I355=""),IF((I351&lt;=$B$442)*((I352&gt;=$C$442)+(I352&lt;2/24)),1,0),0)</f>
        <v>0</v>
      </c>
      <c r="AJ353" s="6">
        <f>IF((J351&lt;&gt;"")*(J355=""),IF((J351&lt;=$B$442)*((J352&gt;=$C$442)+(J352&lt;2/24)),1,0),0)</f>
        <v>0</v>
      </c>
    </row>
    <row r="354" spans="1:36" x14ac:dyDescent="0.2">
      <c r="A354" s="39"/>
      <c r="B354" s="40"/>
      <c r="C354" s="15" t="s">
        <v>3</v>
      </c>
      <c r="D354" s="43" t="str">
        <f t="shared" ref="D354:J354" si="209">IF(D351="","",IF(D352&gt;D351,(D352-D351-D353)*24,(1-D351-D353+D352)*24))</f>
        <v/>
      </c>
      <c r="E354" s="43" t="str">
        <f t="shared" si="209"/>
        <v/>
      </c>
      <c r="F354" s="43" t="str">
        <f t="shared" si="209"/>
        <v/>
      </c>
      <c r="G354" s="55" t="str">
        <f t="shared" si="209"/>
        <v/>
      </c>
      <c r="H354" s="55" t="str">
        <f t="shared" si="209"/>
        <v/>
      </c>
      <c r="I354" s="43" t="str">
        <f t="shared" si="209"/>
        <v/>
      </c>
      <c r="J354" s="44" t="str">
        <f t="shared" si="209"/>
        <v/>
      </c>
      <c r="K354" s="18">
        <f>SUMIF(D355:J355,"",D354:J354)</f>
        <v>0</v>
      </c>
      <c r="L354" s="12">
        <f>SUM(D354:J354)</f>
        <v>0</v>
      </c>
      <c r="M354" s="24"/>
      <c r="N354" s="10" t="str">
        <f t="shared" ref="N354:T354" si="210">IF(D355="",D354,0)</f>
        <v/>
      </c>
      <c r="O354" s="10" t="str">
        <f t="shared" si="210"/>
        <v/>
      </c>
      <c r="P354" s="10" t="str">
        <f t="shared" si="210"/>
        <v/>
      </c>
      <c r="Q354" s="10" t="str">
        <f t="shared" si="210"/>
        <v/>
      </c>
      <c r="R354" s="10" t="str">
        <f t="shared" si="210"/>
        <v/>
      </c>
      <c r="S354" s="10" t="str">
        <f t="shared" si="210"/>
        <v/>
      </c>
      <c r="T354" s="10" t="str">
        <f t="shared" si="210"/>
        <v/>
      </c>
      <c r="U354" s="10"/>
      <c r="V354" s="10" t="str">
        <f t="shared" ref="V354:AB354" si="211">D354</f>
        <v/>
      </c>
      <c r="W354" s="10" t="str">
        <f t="shared" si="211"/>
        <v/>
      </c>
      <c r="X354" s="10" t="str">
        <f t="shared" si="211"/>
        <v/>
      </c>
      <c r="Y354" s="10" t="str">
        <f t="shared" si="211"/>
        <v/>
      </c>
      <c r="Z354" s="10" t="str">
        <f t="shared" si="211"/>
        <v/>
      </c>
      <c r="AA354" s="10" t="str">
        <f t="shared" si="211"/>
        <v/>
      </c>
      <c r="AB354" s="10" t="str">
        <f t="shared" si="211"/>
        <v/>
      </c>
      <c r="AD354" s="6">
        <f>IF((D351&lt;&gt;"")*(D355=""),IF((D351&lt;=$B$443)*((D352&gt;=$C$443)+(D352&lt;2/24)),1,0),0)</f>
        <v>0</v>
      </c>
      <c r="AE354" s="6">
        <f>IF((E351&lt;&gt;"")*(E355=""),IF((E351&lt;=$B$443)*((E352&gt;=$C$443)+(E352&lt;2/24)),1,0),0)</f>
        <v>0</v>
      </c>
      <c r="AF354" s="6">
        <f>IF((F351&lt;&gt;"")*(F355=""),IF((F351&lt;=$B$443)*((F352&gt;=$C$443)+(F352&lt;2/24)),1,0),0)</f>
        <v>0</v>
      </c>
      <c r="AG354" s="6">
        <f>IF((G351&lt;&gt;"")*(G355=""),IF((G351&lt;=$B$443)*((G352&gt;=$C$443)+(G352&lt;2/24)),1,0),0)</f>
        <v>0</v>
      </c>
      <c r="AH354" s="6">
        <f>IF((H351&lt;&gt;"")*(H355=""),IF((H351&lt;=$B$443)*((H352&gt;=$C$443)+(H352&lt;2/24)),1,0),0)</f>
        <v>0</v>
      </c>
      <c r="AI354" s="6">
        <f>IF((I351&lt;&gt;"")*(I355=""),IF((I351&lt;=$B$443)*((I352&gt;=$C$443)+(I352&lt;2/24)),1,0),0)</f>
        <v>0</v>
      </c>
      <c r="AJ354" s="6">
        <f>IF((J351&lt;&gt;"")*(J355=""),IF((J351&lt;=$B$443)*((J352&gt;=$C$443)+(J352&lt;2/24)),1,0),0)</f>
        <v>0</v>
      </c>
    </row>
    <row r="355" spans="1:36" x14ac:dyDescent="0.2">
      <c r="A355" s="39"/>
      <c r="B355" s="40"/>
      <c r="C355" s="32" t="s">
        <v>4</v>
      </c>
      <c r="D355" s="33"/>
      <c r="E355" s="33"/>
      <c r="F355" s="33"/>
      <c r="G355" s="33"/>
      <c r="H355" s="33"/>
      <c r="I355" s="33"/>
      <c r="J355" s="33"/>
      <c r="K355" s="17"/>
      <c r="L355" s="6"/>
      <c r="M355" s="25"/>
      <c r="N355" s="6"/>
      <c r="O355" s="6"/>
      <c r="P355" s="6"/>
      <c r="Q355" s="6"/>
      <c r="R355" s="6"/>
      <c r="S355" s="6"/>
      <c r="T355" s="6"/>
      <c r="U355" s="6"/>
      <c r="V355" s="20"/>
      <c r="W355" s="20"/>
      <c r="X355" s="20"/>
      <c r="Y355" s="20"/>
      <c r="Z355" s="20"/>
      <c r="AA355" s="20"/>
      <c r="AB355" s="20"/>
      <c r="AD355" s="6">
        <f>IF((D351&lt;&gt;"")*(D355=""),IF((D351&lt;=$B$444)*((D352&gt;=$C$444)+(D352&lt;2/24)),1,0),0)</f>
        <v>0</v>
      </c>
      <c r="AE355" s="6">
        <f>IF((E351&lt;&gt;"")*(E355=""),IF((E351&lt;=$B$444)*((E352&gt;=$C$444)+(E352&lt;2/24)),1,0),0)</f>
        <v>0</v>
      </c>
      <c r="AF355" s="6">
        <f>IF((F351&lt;&gt;"")*(F355=""),IF((F351&lt;=$B$444)*((F352&gt;=$C$444)+(F352&lt;2/24)),1,0),0)</f>
        <v>0</v>
      </c>
      <c r="AG355" s="6">
        <f>IF((G351&lt;&gt;"")*(G355=""),IF((G351&lt;=$B$444)*((G352&gt;=$C$444)+(G352&lt;2/24)),1,0),0)</f>
        <v>0</v>
      </c>
      <c r="AH355" s="6">
        <f>IF((H351&lt;&gt;"")*(H355=""),IF((H351&lt;=$B$444)*((H352&gt;=$C$444)+(H352&lt;2/24)),1,0),0)</f>
        <v>0</v>
      </c>
      <c r="AI355" s="6">
        <f>IF((I351&lt;&gt;"")*(I355=""),IF((I351&lt;=$B$444)*((I352&gt;=$C$444)+(I352&lt;2/24)),1,0),0)</f>
        <v>0</v>
      </c>
      <c r="AJ355" s="6">
        <f>IF((J351&lt;&gt;"")*(J355=""),IF((J351&lt;=$B$444)*((J352&gt;=$C$444)+(J352&lt;2/24)),1,0),0)</f>
        <v>0</v>
      </c>
    </row>
    <row r="356" spans="1:36" ht="13.5" thickBot="1" x14ac:dyDescent="0.25">
      <c r="A356" s="41"/>
      <c r="B356" s="42"/>
      <c r="C356" s="35" t="s">
        <v>28</v>
      </c>
      <c r="D356" s="36"/>
      <c r="E356" s="36"/>
      <c r="F356" s="36"/>
      <c r="G356" s="36"/>
      <c r="H356" s="36"/>
      <c r="I356" s="36"/>
      <c r="J356" s="36"/>
      <c r="K356" s="34"/>
      <c r="L356" s="6"/>
      <c r="M356" s="25"/>
      <c r="N356" s="6"/>
      <c r="O356" s="6"/>
      <c r="P356" s="6"/>
      <c r="Q356" s="6"/>
      <c r="R356" s="6"/>
      <c r="S356" s="6"/>
      <c r="T356" s="6"/>
      <c r="U356" s="6"/>
      <c r="V356" s="20"/>
      <c r="W356" s="20"/>
      <c r="X356" s="20"/>
      <c r="Y356" s="20"/>
      <c r="Z356" s="20"/>
      <c r="AA356" s="20"/>
      <c r="AB356" s="20"/>
      <c r="AD356" s="6"/>
      <c r="AE356" s="6"/>
      <c r="AF356" s="6"/>
      <c r="AG356" s="6"/>
      <c r="AH356" s="6"/>
      <c r="AI356" s="6"/>
      <c r="AJ356" s="6"/>
    </row>
    <row r="357" spans="1:36" x14ac:dyDescent="0.2">
      <c r="A357" s="37" t="s">
        <v>157</v>
      </c>
      <c r="B357" s="38" t="s">
        <v>158</v>
      </c>
      <c r="C357" s="14" t="s">
        <v>0</v>
      </c>
      <c r="D357" s="26"/>
      <c r="E357" s="26">
        <v>0.77083333333333337</v>
      </c>
      <c r="F357" s="26">
        <v>0.77083333333333337</v>
      </c>
      <c r="G357" s="26">
        <v>0.77083333333333337</v>
      </c>
      <c r="H357" s="26">
        <v>0.54166666666666663</v>
      </c>
      <c r="I357" s="26"/>
      <c r="J357" s="26"/>
      <c r="K357" s="16"/>
      <c r="L357" s="6"/>
      <c r="M357" s="21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D357" s="6">
        <f>IF((D357&lt;&gt;"")*(D361=""),IF((D357&lt;=$B$440)*((D358&gt;=$C$440)+(D358&lt;2/24)),1,0),0)</f>
        <v>0</v>
      </c>
      <c r="AE357" s="6">
        <f>IF((E357&lt;&gt;"")*(E361=""),IF((E357&lt;=$B$440)*((E358&gt;=$C$440)+(E358&lt;2/24)),1,0),0)</f>
        <v>0</v>
      </c>
      <c r="AF357" s="6">
        <f>IF((F357&lt;&gt;"")*(F361=""),IF((F357&lt;=$B$440)*((F358&gt;=$C$440)+(F358&lt;2/24)),1,0),0)</f>
        <v>0</v>
      </c>
      <c r="AG357" s="6">
        <f>IF((G357&lt;&gt;"")*(G361=""),IF((G357&lt;=$B$440)*((G358&gt;=$C$440)+(G358&lt;2/24)),1,0),0)</f>
        <v>0</v>
      </c>
      <c r="AH357" s="6">
        <f>IF((H357&lt;&gt;"")*(H361=""),IF((H357&lt;=$B$440)*((H358&gt;=$C$440)+(H358&lt;2/24)),1,0),0)</f>
        <v>1</v>
      </c>
      <c r="AI357" s="6">
        <f>IF((I357&lt;&gt;"")*(I361=""),IF((I357&lt;=$B$440)*((I358&gt;=$C$440)+(I358&lt;2/24)),1,0),0)</f>
        <v>0</v>
      </c>
      <c r="AJ357" s="6">
        <f>IF((J357&lt;&gt;"")*(J361=""),IF((J357&lt;=$B$440)*((J358&gt;=$C$440)+(J358&lt;2/24)),1,0),0)</f>
        <v>0</v>
      </c>
    </row>
    <row r="358" spans="1:36" x14ac:dyDescent="0.2">
      <c r="A358" s="39"/>
      <c r="B358" s="40"/>
      <c r="C358" s="15" t="s">
        <v>1</v>
      </c>
      <c r="D358" s="27"/>
      <c r="E358" s="27">
        <v>0.95833333333333337</v>
      </c>
      <c r="F358" s="27">
        <v>0.95833333333333337</v>
      </c>
      <c r="G358" s="27">
        <v>0.95833333333333337</v>
      </c>
      <c r="H358" s="27">
        <v>0.75</v>
      </c>
      <c r="I358" s="27"/>
      <c r="J358" s="27"/>
      <c r="K358" s="17"/>
      <c r="L358" s="6"/>
      <c r="M358" s="21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D358" s="6">
        <f>IF((D357&lt;&gt;"")*(D361=""),IF((D357&lt;=$B$441)*((D358&gt;=$C$441)+(D358&lt;2/24)),1,0),0)</f>
        <v>0</v>
      </c>
      <c r="AE358" s="6">
        <f>IF((E357&lt;&gt;"")*(E361=""),IF((E357&lt;=$B$441)*((E358&gt;=$C$441)+(E358&lt;2/24)),1,0),0)</f>
        <v>1</v>
      </c>
      <c r="AF358" s="6">
        <f>IF((F357&lt;&gt;"")*(F361=""),IF((F357&lt;=$B$441)*((F358&gt;=$C$441)+(F358&lt;2/24)),1,0),0)</f>
        <v>1</v>
      </c>
      <c r="AG358" s="6">
        <f>IF((G357&lt;&gt;"")*(G361=""),IF((G357&lt;=$B$441)*((G358&gt;=$C$441)+(G358&lt;2/24)),1,0),0)</f>
        <v>1</v>
      </c>
      <c r="AH358" s="6">
        <f>IF((H357&lt;&gt;"")*(H361=""),IF((H357&lt;=$B$441)*((H358&gt;=$C$441)+(H358&lt;2/24)),1,0),0)</f>
        <v>0</v>
      </c>
      <c r="AI358" s="6">
        <f>IF((I357&lt;&gt;"")*(I361=""),IF((I357&lt;=$B$441)*((I358&gt;=$C$441)+(I358&lt;2/24)),1,0),0)</f>
        <v>0</v>
      </c>
      <c r="AJ358" s="6">
        <f>IF((J357&lt;&gt;"")*(J361=""),IF((J357&lt;=$B$441)*((J358&gt;=$C$441)+(J358&lt;2/24)),1,0),0)</f>
        <v>0</v>
      </c>
    </row>
    <row r="359" spans="1:36" x14ac:dyDescent="0.2">
      <c r="A359" s="39"/>
      <c r="B359" s="40"/>
      <c r="C359" s="15" t="s">
        <v>2</v>
      </c>
      <c r="D359" s="4"/>
      <c r="E359" s="4"/>
      <c r="F359" s="4"/>
      <c r="G359" s="58"/>
      <c r="H359" s="4"/>
      <c r="I359" s="4"/>
      <c r="J359" s="4"/>
      <c r="K359" s="17"/>
      <c r="L359" s="6"/>
      <c r="M359" s="21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D359" s="6">
        <f>IF((D357&lt;&gt;"")*(D361=""),IF((D357&lt;=$B$442)*((D358&gt;=$C$442)+(D358&lt;2/24)),1,0),0)</f>
        <v>0</v>
      </c>
      <c r="AE359" s="6">
        <f>IF((E357&lt;&gt;"")*(E361=""),IF((E357&lt;=$B$442)*((E358&gt;=$C$442)+(E358&lt;2/24)),1,0),0)</f>
        <v>1</v>
      </c>
      <c r="AF359" s="6">
        <f>IF((F357&lt;&gt;"")*(F361=""),IF((F357&lt;=$B$442)*((F358&gt;=$C$442)+(F358&lt;2/24)),1,0),0)</f>
        <v>1</v>
      </c>
      <c r="AG359" s="6">
        <f>IF((G357&lt;&gt;"")*(G361=""),IF((G357&lt;=$B$442)*((G358&gt;=$C$442)+(G358&lt;2/24)),1,0),0)</f>
        <v>1</v>
      </c>
      <c r="AH359" s="6">
        <f>IF((H357&lt;&gt;"")*(H361=""),IF((H357&lt;=$B$442)*((H358&gt;=$C$442)+(H358&lt;2/24)),1,0),0)</f>
        <v>0</v>
      </c>
      <c r="AI359" s="6">
        <f>IF((I357&lt;&gt;"")*(I361=""),IF((I357&lt;=$B$442)*((I358&gt;=$C$442)+(I358&lt;2/24)),1,0),0)</f>
        <v>0</v>
      </c>
      <c r="AJ359" s="6">
        <f>IF((J357&lt;&gt;"")*(J361=""),IF((J357&lt;=$B$442)*((J358&gt;=$C$442)+(J358&lt;2/24)),1,0),0)</f>
        <v>0</v>
      </c>
    </row>
    <row r="360" spans="1:36" x14ac:dyDescent="0.2">
      <c r="A360" s="39"/>
      <c r="B360" s="40"/>
      <c r="C360" s="15" t="s">
        <v>3</v>
      </c>
      <c r="D360" s="43" t="str">
        <f t="shared" ref="D360:J360" si="212">IF(D357="","",IF(D358&gt;D357,(D358-D357-D359)*24,(1-D357-D359+D358)*24))</f>
        <v/>
      </c>
      <c r="E360" s="43">
        <f t="shared" si="212"/>
        <v>4.5</v>
      </c>
      <c r="F360" s="43">
        <f t="shared" si="212"/>
        <v>4.5</v>
      </c>
      <c r="G360" s="55">
        <f t="shared" si="212"/>
        <v>4.5</v>
      </c>
      <c r="H360" s="55">
        <f t="shared" si="212"/>
        <v>5.0000000000000009</v>
      </c>
      <c r="I360" s="43" t="str">
        <f t="shared" si="212"/>
        <v/>
      </c>
      <c r="J360" s="44" t="str">
        <f t="shared" si="212"/>
        <v/>
      </c>
      <c r="K360" s="18">
        <f>SUMIF(D361:J361,"",D360:J360)</f>
        <v>18.5</v>
      </c>
      <c r="L360" s="12">
        <f>SUM(D360:J360)</f>
        <v>18.5</v>
      </c>
      <c r="M360" s="24"/>
      <c r="N360" s="10" t="str">
        <f t="shared" ref="N360:T360" si="213">IF(D361="",D360,0)</f>
        <v/>
      </c>
      <c r="O360" s="10">
        <f t="shared" si="213"/>
        <v>4.5</v>
      </c>
      <c r="P360" s="10">
        <f t="shared" si="213"/>
        <v>4.5</v>
      </c>
      <c r="Q360" s="10">
        <f t="shared" si="213"/>
        <v>4.5</v>
      </c>
      <c r="R360" s="10">
        <f t="shared" si="213"/>
        <v>5.0000000000000009</v>
      </c>
      <c r="S360" s="10" t="str">
        <f t="shared" si="213"/>
        <v/>
      </c>
      <c r="T360" s="10" t="str">
        <f t="shared" si="213"/>
        <v/>
      </c>
      <c r="U360" s="10"/>
      <c r="V360" s="10" t="str">
        <f t="shared" ref="V360:AB360" si="214">D360</f>
        <v/>
      </c>
      <c r="W360" s="10">
        <f t="shared" si="214"/>
        <v>4.5</v>
      </c>
      <c r="X360" s="10">
        <f t="shared" si="214"/>
        <v>4.5</v>
      </c>
      <c r="Y360" s="10">
        <f t="shared" si="214"/>
        <v>4.5</v>
      </c>
      <c r="Z360" s="10">
        <f t="shared" si="214"/>
        <v>5.0000000000000009</v>
      </c>
      <c r="AA360" s="10" t="str">
        <f t="shared" si="214"/>
        <v/>
      </c>
      <c r="AB360" s="10" t="str">
        <f t="shared" si="214"/>
        <v/>
      </c>
      <c r="AD360" s="6">
        <f>IF((D357&lt;&gt;"")*(D361=""),IF((D357&lt;=$B$443)*((D358&gt;=$C$443)+(D358&lt;2/24)),1,0),0)</f>
        <v>0</v>
      </c>
      <c r="AE360" s="6">
        <f>IF((E357&lt;&gt;"")*(E361=""),IF((E357&lt;=$B$443)*((E358&gt;=$C$443)+(E358&lt;2/24)),1,0),0)</f>
        <v>0</v>
      </c>
      <c r="AF360" s="6">
        <f>IF((F357&lt;&gt;"")*(F361=""),IF((F357&lt;=$B$443)*((F358&gt;=$C$443)+(F358&lt;2/24)),1,0),0)</f>
        <v>0</v>
      </c>
      <c r="AG360" s="6">
        <f>IF((G357&lt;&gt;"")*(G361=""),IF((G357&lt;=$B$443)*((G358&gt;=$C$443)+(G358&lt;2/24)),1,0),0)</f>
        <v>0</v>
      </c>
      <c r="AH360" s="6">
        <f>IF((H357&lt;&gt;"")*(H361=""),IF((H357&lt;=$B$443)*((H358&gt;=$C$443)+(H358&lt;2/24)),1,0),0)</f>
        <v>0</v>
      </c>
      <c r="AI360" s="6">
        <f>IF((I357&lt;&gt;"")*(I361=""),IF((I357&lt;=$B$443)*((I358&gt;=$C$443)+(I358&lt;2/24)),1,0),0)</f>
        <v>0</v>
      </c>
      <c r="AJ360" s="6">
        <f>IF((J357&lt;&gt;"")*(J361=""),IF((J357&lt;=$B$443)*((J358&gt;=$C$443)+(J358&lt;2/24)),1,0),0)</f>
        <v>0</v>
      </c>
    </row>
    <row r="361" spans="1:36" x14ac:dyDescent="0.2">
      <c r="A361" s="39"/>
      <c r="B361" s="40"/>
      <c r="C361" s="32" t="s">
        <v>4</v>
      </c>
      <c r="D361" s="33"/>
      <c r="E361" s="33"/>
      <c r="F361" s="33"/>
      <c r="G361" s="33"/>
      <c r="H361" s="33"/>
      <c r="I361" s="33"/>
      <c r="J361" s="33"/>
      <c r="K361" s="17"/>
      <c r="L361" s="6"/>
      <c r="M361" s="25"/>
      <c r="N361" s="6"/>
      <c r="O361" s="6"/>
      <c r="P361" s="6"/>
      <c r="Q361" s="6"/>
      <c r="R361" s="6"/>
      <c r="S361" s="6"/>
      <c r="T361" s="6"/>
      <c r="U361" s="6"/>
      <c r="V361" s="20"/>
      <c r="W361" s="20"/>
      <c r="X361" s="20"/>
      <c r="Y361" s="20"/>
      <c r="Z361" s="20"/>
      <c r="AA361" s="20"/>
      <c r="AB361" s="20"/>
      <c r="AD361" s="6">
        <f>IF((D357&lt;&gt;"")*(D361=""),IF((D357&lt;=$B$444)*((D358&gt;=$C$444)+(D358&lt;2/24)),1,0),0)</f>
        <v>0</v>
      </c>
      <c r="AE361" s="6">
        <f>IF((E357&lt;&gt;"")*(E361=""),IF((E357&lt;=$B$444)*((E358&gt;=$C$444)+(E358&lt;2/24)),1,0),0)</f>
        <v>0</v>
      </c>
      <c r="AF361" s="6">
        <f>IF((F357&lt;&gt;"")*(F361=""),IF((F357&lt;=$B$444)*((F358&gt;=$C$444)+(F358&lt;2/24)),1,0),0)</f>
        <v>0</v>
      </c>
      <c r="AG361" s="6">
        <f>IF((G357&lt;&gt;"")*(G361=""),IF((G357&lt;=$B$444)*((G358&gt;=$C$444)+(G358&lt;2/24)),1,0),0)</f>
        <v>0</v>
      </c>
      <c r="AH361" s="6">
        <f>IF((H357&lt;&gt;"")*(H361=""),IF((H357&lt;=$B$444)*((H358&gt;=$C$444)+(H358&lt;2/24)),1,0),0)</f>
        <v>0</v>
      </c>
      <c r="AI361" s="6">
        <f>IF((I357&lt;&gt;"")*(I361=""),IF((I357&lt;=$B$444)*((I358&gt;=$C$444)+(I358&lt;2/24)),1,0),0)</f>
        <v>0</v>
      </c>
      <c r="AJ361" s="6">
        <f>IF((J357&lt;&gt;"")*(J361=""),IF((J357&lt;=$B$444)*((J358&gt;=$C$444)+(J358&lt;2/24)),1,0),0)</f>
        <v>0</v>
      </c>
    </row>
    <row r="362" spans="1:36" ht="13.5" thickBot="1" x14ac:dyDescent="0.25">
      <c r="A362" s="41"/>
      <c r="B362" s="42"/>
      <c r="C362" s="35" t="s">
        <v>28</v>
      </c>
      <c r="D362" s="36"/>
      <c r="E362" s="36"/>
      <c r="F362" s="36"/>
      <c r="G362" s="36"/>
      <c r="H362" s="36"/>
      <c r="I362" s="36"/>
      <c r="J362" s="36"/>
      <c r="K362" s="34"/>
      <c r="L362" s="6"/>
      <c r="M362" s="25"/>
      <c r="N362" s="6"/>
      <c r="O362" s="6"/>
      <c r="P362" s="6"/>
      <c r="Q362" s="6"/>
      <c r="R362" s="6"/>
      <c r="S362" s="6"/>
      <c r="T362" s="6"/>
      <c r="U362" s="6"/>
      <c r="V362" s="20"/>
      <c r="W362" s="20"/>
      <c r="X362" s="20"/>
      <c r="Y362" s="20"/>
      <c r="Z362" s="20"/>
      <c r="AA362" s="20"/>
      <c r="AB362" s="20"/>
      <c r="AD362" s="6"/>
      <c r="AE362" s="6"/>
      <c r="AF362" s="6"/>
      <c r="AG362" s="6"/>
      <c r="AH362" s="6"/>
      <c r="AI362" s="6"/>
      <c r="AJ362" s="6"/>
    </row>
    <row r="363" spans="1:36" x14ac:dyDescent="0.2">
      <c r="A363" s="37" t="s">
        <v>70</v>
      </c>
      <c r="B363" s="38" t="s">
        <v>72</v>
      </c>
      <c r="C363" s="14" t="s">
        <v>0</v>
      </c>
      <c r="D363" s="26"/>
      <c r="E363" s="26"/>
      <c r="F363" s="26"/>
      <c r="G363" s="26"/>
      <c r="H363" s="26"/>
      <c r="I363" s="26"/>
      <c r="J363" s="26"/>
      <c r="K363" s="16"/>
      <c r="L363" s="6"/>
      <c r="M363" s="21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D363" s="6">
        <f>IF((D363&lt;&gt;"")*(D367=""),IF((D363&lt;=$B$436)*((D364&gt;=$C$436)+(D364&lt;2/24)),1,0),0)</f>
        <v>0</v>
      </c>
      <c r="AE363" s="6">
        <f>IF((E363&lt;&gt;"")*(E367=""),IF((E363&lt;=$B$436)*((E364&gt;=$C$436)+(E364&lt;2/24)),1,0),0)</f>
        <v>0</v>
      </c>
      <c r="AF363" s="6">
        <f>IF((F363&lt;&gt;"")*(F367=""),IF((F363&lt;=$B$436)*((F364&gt;=$C$436)+(F364&lt;2/24)),1,0),0)</f>
        <v>0</v>
      </c>
      <c r="AG363" s="6">
        <f>IF((G363&lt;&gt;"")*(G367=""),IF((G363&lt;=$B$436)*((G364&gt;=$C$436)+(G364&lt;2/24)),1,0),0)</f>
        <v>0</v>
      </c>
      <c r="AH363" s="6">
        <f>IF((H363&lt;&gt;"")*(H367=""),IF((H363&lt;=$B$436)*((H364&gt;=$C$436)+(H364&lt;2/24)),1,0),0)</f>
        <v>0</v>
      </c>
      <c r="AI363" s="6">
        <f>IF((I363&lt;&gt;"")*(I367=""),IF((I363&lt;=$B$436)*((I364&gt;=$C$436)+(I364&lt;2/24)),1,0),0)</f>
        <v>0</v>
      </c>
      <c r="AJ363" s="6">
        <f>IF((J363&lt;&gt;"")*(J367=""),IF((J363&lt;=$B$436)*((J364&gt;=$C$436)+(J364&lt;2/24)),1,0),0)</f>
        <v>0</v>
      </c>
    </row>
    <row r="364" spans="1:36" x14ac:dyDescent="0.2">
      <c r="A364" s="39"/>
      <c r="B364" s="40"/>
      <c r="C364" s="15" t="s">
        <v>1</v>
      </c>
      <c r="D364" s="27"/>
      <c r="E364" s="27"/>
      <c r="F364" s="27"/>
      <c r="G364" s="27"/>
      <c r="H364" s="27"/>
      <c r="I364" s="27"/>
      <c r="J364" s="27"/>
      <c r="K364" s="17"/>
      <c r="L364" s="6"/>
      <c r="M364" s="21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D364" s="6">
        <f>IF((D363&lt;&gt;"")*(D367=""),IF((D363&lt;=$B$437)*((D364&gt;=$C$437)+(D364&lt;2/24)),1,0),0)</f>
        <v>0</v>
      </c>
      <c r="AE364" s="6">
        <f>IF((E363&lt;&gt;"")*(E367=""),IF((E363&lt;=$B$437)*((E364&gt;=$C$437)+(E364&lt;2/24)),1,0),0)</f>
        <v>0</v>
      </c>
      <c r="AF364" s="6">
        <f>IF((F363&lt;&gt;"")*(F367=""),IF((F363&lt;=$B$437)*((F364&gt;=$C$437)+(F364&lt;2/24)),1,0),0)</f>
        <v>0</v>
      </c>
      <c r="AG364" s="6">
        <f>IF((G363&lt;&gt;"")*(G367=""),IF((G363&lt;=$B$437)*((G364&gt;=$C$437)+(G364&lt;2/24)),1,0),0)</f>
        <v>0</v>
      </c>
      <c r="AH364" s="6">
        <f>IF((H363&lt;&gt;"")*(H367=""),IF((H363&lt;=$B$437)*((H364&gt;=$C$437)+(H364&lt;2/24)),1,0),0)</f>
        <v>0</v>
      </c>
      <c r="AI364" s="6">
        <f>IF((I363&lt;&gt;"")*(I367=""),IF((I363&lt;=$B$437)*((I364&gt;=$C$437)+(I364&lt;2/24)),1,0),0)</f>
        <v>0</v>
      </c>
      <c r="AJ364" s="6">
        <f>IF((J363&lt;&gt;"")*(J367=""),IF((J363&lt;=$B$437)*((J364&gt;=$C$437)+(J364&lt;2/24)),1,0),0)</f>
        <v>0</v>
      </c>
    </row>
    <row r="365" spans="1:36" x14ac:dyDescent="0.2">
      <c r="A365" s="39"/>
      <c r="B365" s="40"/>
      <c r="C365" s="15" t="s">
        <v>2</v>
      </c>
      <c r="D365" s="4"/>
      <c r="E365" s="4"/>
      <c r="F365" s="4"/>
      <c r="G365" s="58"/>
      <c r="H365" s="4"/>
      <c r="I365" s="4"/>
      <c r="J365" s="4"/>
      <c r="K365" s="17"/>
      <c r="L365" s="6"/>
      <c r="M365" s="21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D365" s="6">
        <f>IF((D363&lt;&gt;"")*(D367=""),IF((D363&lt;=$B$438)*((D364&gt;=$C$438)+(D364&lt;2/24)),1,0),0)</f>
        <v>0</v>
      </c>
      <c r="AE365" s="6">
        <f>IF((E363&lt;&gt;"")*(E367=""),IF((E363&lt;=$B$438)*((E364&gt;=$C$438)+(E364&lt;2/24)),1,0),0)</f>
        <v>0</v>
      </c>
      <c r="AF365" s="6">
        <f>IF((F363&lt;&gt;"")*(F367=""),IF((F363&lt;=$B$438)*((F364&gt;=$C$438)+(F364&lt;2/24)),1,0),0)</f>
        <v>0</v>
      </c>
      <c r="AG365" s="6">
        <f>IF((G363&lt;&gt;"")*(G367=""),IF((G363&lt;=$B$438)*((G364&gt;=$C$438)+(G364&lt;2/24)),1,0),0)</f>
        <v>0</v>
      </c>
      <c r="AH365" s="6">
        <f>IF((H363&lt;&gt;"")*(H367=""),IF((H363&lt;=$B$438)*((H364&gt;=$C$438)+(H364&lt;2/24)),1,0),0)</f>
        <v>0</v>
      </c>
      <c r="AI365" s="6">
        <f>IF((I363&lt;&gt;"")*(I367=""),IF((I363&lt;=$B$438)*((I364&gt;=$C$438)+(I364&lt;2/24)),1,0),0)</f>
        <v>0</v>
      </c>
      <c r="AJ365" s="6">
        <f>IF((J363&lt;&gt;"")*(J367=""),IF((J363&lt;=$B$438)*((J364&gt;=$C$438)+(J364&lt;2/24)),1,0),0)</f>
        <v>0</v>
      </c>
    </row>
    <row r="366" spans="1:36" x14ac:dyDescent="0.2">
      <c r="A366" s="39"/>
      <c r="B366" s="40"/>
      <c r="C366" s="15" t="s">
        <v>3</v>
      </c>
      <c r="D366" s="43" t="str">
        <f t="shared" ref="D366:J366" si="215">IF(D363="","",IF(D364&gt;D363,(D364-D363-D365)*24,(1-D363-D365+D364)*24))</f>
        <v/>
      </c>
      <c r="E366" s="43" t="str">
        <f t="shared" si="215"/>
        <v/>
      </c>
      <c r="F366" s="43"/>
      <c r="G366" s="55" t="str">
        <f t="shared" si="215"/>
        <v/>
      </c>
      <c r="H366" s="55" t="str">
        <f t="shared" si="215"/>
        <v/>
      </c>
      <c r="I366" s="43" t="str">
        <f t="shared" si="215"/>
        <v/>
      </c>
      <c r="J366" s="44" t="str">
        <f t="shared" si="215"/>
        <v/>
      </c>
      <c r="K366" s="18">
        <f>SUMIF(D367:J367,"",D366:J366)</f>
        <v>0</v>
      </c>
      <c r="L366" s="12">
        <f>SUM(D366:J366)</f>
        <v>0</v>
      </c>
      <c r="M366" s="24"/>
      <c r="N366" s="10" t="str">
        <f t="shared" ref="N366:T366" si="216">IF(D367="",D366,0)</f>
        <v/>
      </c>
      <c r="O366" s="10" t="str">
        <f t="shared" si="216"/>
        <v/>
      </c>
      <c r="P366" s="10">
        <f t="shared" si="216"/>
        <v>0</v>
      </c>
      <c r="Q366" s="10" t="str">
        <f t="shared" si="216"/>
        <v/>
      </c>
      <c r="R366" s="10" t="str">
        <f t="shared" si="216"/>
        <v/>
      </c>
      <c r="S366" s="10" t="str">
        <f t="shared" si="216"/>
        <v/>
      </c>
      <c r="T366" s="10" t="str">
        <f t="shared" si="216"/>
        <v/>
      </c>
      <c r="U366" s="10"/>
      <c r="V366" s="10" t="str">
        <f t="shared" ref="V366:AB366" si="217">D366</f>
        <v/>
      </c>
      <c r="W366" s="10" t="str">
        <f t="shared" si="217"/>
        <v/>
      </c>
      <c r="X366" s="10">
        <f t="shared" si="217"/>
        <v>0</v>
      </c>
      <c r="Y366" s="10" t="str">
        <f t="shared" si="217"/>
        <v/>
      </c>
      <c r="Z366" s="10" t="str">
        <f t="shared" si="217"/>
        <v/>
      </c>
      <c r="AA366" s="10" t="str">
        <f t="shared" si="217"/>
        <v/>
      </c>
      <c r="AB366" s="10" t="str">
        <f t="shared" si="217"/>
        <v/>
      </c>
      <c r="AD366" s="6">
        <f>IF((D363&lt;&gt;"")*(D367=""),IF((D363&lt;=$B$439)*((D364&gt;=$C$439)+(D364&lt;2/24)),1,0),0)</f>
        <v>0</v>
      </c>
      <c r="AE366" s="6">
        <f>IF((E363&lt;&gt;"")*(E367=""),IF((E363&lt;=$B$439)*((E364&gt;=$C$439)+(E364&lt;2/24)),1,0),0)</f>
        <v>0</v>
      </c>
      <c r="AF366" s="6">
        <f>IF((F363&lt;&gt;"")*(F367=""),IF((F363&lt;=$B$439)*((F364&gt;=$C$439)+(F364&lt;2/24)),1,0),0)</f>
        <v>0</v>
      </c>
      <c r="AG366" s="6">
        <f>IF((G363&lt;&gt;"")*(G367=""),IF((G363&lt;=$B$439)*((G364&gt;=$C$439)+(G364&lt;2/24)),1,0),0)</f>
        <v>0</v>
      </c>
      <c r="AH366" s="6">
        <f>IF((H363&lt;&gt;"")*(H367=""),IF((H363&lt;=$B$439)*((H364&gt;=$C$439)+(H364&lt;2/24)),1,0),0)</f>
        <v>0</v>
      </c>
      <c r="AI366" s="6">
        <f>IF((I363&lt;&gt;"")*(I367=""),IF((I363&lt;=$B$439)*((I364&gt;=$C$439)+(I364&lt;2/24)),1,0),0)</f>
        <v>0</v>
      </c>
      <c r="AJ366" s="6">
        <f>IF((J363&lt;&gt;"")*(J367=""),IF((J363&lt;=$B$439)*((J364&gt;=$C$439)+(J364&lt;2/24)),1,0),0)</f>
        <v>0</v>
      </c>
    </row>
    <row r="367" spans="1:36" x14ac:dyDescent="0.2">
      <c r="A367" s="39"/>
      <c r="B367" s="40"/>
      <c r="C367" s="32" t="s">
        <v>4</v>
      </c>
      <c r="D367" s="33"/>
      <c r="E367" s="33"/>
      <c r="F367" s="33"/>
      <c r="G367" s="33"/>
      <c r="H367" s="33"/>
      <c r="I367" s="33"/>
      <c r="J367" s="33"/>
      <c r="K367" s="17"/>
      <c r="L367" s="6"/>
      <c r="M367" s="25"/>
      <c r="N367" s="6"/>
      <c r="O367" s="6"/>
      <c r="P367" s="6"/>
      <c r="Q367" s="6"/>
      <c r="R367" s="6"/>
      <c r="S367" s="6"/>
      <c r="T367" s="6"/>
      <c r="U367" s="6"/>
      <c r="V367" s="20"/>
      <c r="W367" s="20"/>
      <c r="X367" s="20"/>
      <c r="Y367" s="20"/>
      <c r="Z367" s="20"/>
      <c r="AA367" s="20"/>
      <c r="AB367" s="20"/>
      <c r="AD367" s="6">
        <f>IF((D363&lt;&gt;"")*(D367=""),IF((D363&lt;=$B$440)*((D364&gt;=$C$440)+(D364&lt;2/24)),1,0),0)</f>
        <v>0</v>
      </c>
      <c r="AE367" s="6">
        <f>IF((E363&lt;&gt;"")*(E367=""),IF((E363&lt;=$B$440)*((E364&gt;=$C$440)+(E364&lt;2/24)),1,0),0)</f>
        <v>0</v>
      </c>
      <c r="AF367" s="6">
        <f>IF((F363&lt;&gt;"")*(F367=""),IF((F363&lt;=$B$440)*((F364&gt;=$C$440)+(F364&lt;2/24)),1,0),0)</f>
        <v>0</v>
      </c>
      <c r="AG367" s="6">
        <f>IF((G363&lt;&gt;"")*(G367=""),IF((G363&lt;=$B$440)*((G364&gt;=$C$440)+(G364&lt;2/24)),1,0),0)</f>
        <v>0</v>
      </c>
      <c r="AH367" s="6">
        <f>IF((H363&lt;&gt;"")*(H367=""),IF((H363&lt;=$B$440)*((H364&gt;=$C$440)+(H364&lt;2/24)),1,0),0)</f>
        <v>0</v>
      </c>
      <c r="AI367" s="6">
        <f>IF((I363&lt;&gt;"")*(I367=""),IF((I363&lt;=$B$440)*((I364&gt;=$C$440)+(I364&lt;2/24)),1,0),0)</f>
        <v>0</v>
      </c>
      <c r="AJ367" s="6">
        <f>IF((J363&lt;&gt;"")*(J367=""),IF((J363&lt;=$B$440)*((J364&gt;=$C$440)+(J364&lt;2/24)),1,0),0)</f>
        <v>0</v>
      </c>
    </row>
    <row r="368" spans="1:36" ht="13.5" thickBot="1" x14ac:dyDescent="0.25">
      <c r="A368" s="41"/>
      <c r="B368" s="42"/>
      <c r="C368" s="35" t="s">
        <v>28</v>
      </c>
      <c r="D368" s="36"/>
      <c r="E368" s="36"/>
      <c r="F368" s="36"/>
      <c r="G368" s="36"/>
      <c r="H368" s="36"/>
      <c r="I368" s="36"/>
      <c r="J368" s="36"/>
      <c r="K368" s="34"/>
      <c r="L368" s="6"/>
      <c r="M368" s="25"/>
      <c r="N368" s="6"/>
      <c r="O368" s="6"/>
      <c r="P368" s="6"/>
      <c r="Q368" s="6"/>
      <c r="R368" s="6"/>
      <c r="S368" s="6"/>
      <c r="T368" s="6"/>
      <c r="U368" s="6"/>
      <c r="V368" s="20"/>
      <c r="W368" s="20"/>
      <c r="X368" s="20"/>
      <c r="Y368" s="20"/>
      <c r="Z368" s="20"/>
      <c r="AA368" s="20"/>
      <c r="AB368" s="20"/>
      <c r="AD368" s="6"/>
      <c r="AE368" s="6"/>
      <c r="AF368" s="6"/>
      <c r="AG368" s="6"/>
      <c r="AH368" s="6"/>
      <c r="AI368" s="6"/>
      <c r="AJ368" s="6"/>
    </row>
    <row r="369" spans="1:36" x14ac:dyDescent="0.2">
      <c r="A369" s="37" t="s">
        <v>126</v>
      </c>
      <c r="B369" s="38" t="s">
        <v>127</v>
      </c>
      <c r="C369" s="14" t="s">
        <v>0</v>
      </c>
      <c r="D369" s="26">
        <v>0.77083333333333337</v>
      </c>
      <c r="E369" s="26"/>
      <c r="F369" s="26"/>
      <c r="G369" s="26"/>
      <c r="H369" s="26"/>
      <c r="I369" s="26">
        <v>0.77083333333333337</v>
      </c>
      <c r="J369" s="26"/>
      <c r="K369" s="16"/>
      <c r="L369" s="6"/>
      <c r="M369" s="21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D369" s="6" t="e">
        <f>IF((D369&lt;&gt;"")*(D373=""),IF((D369&lt;=#REF!)*((D370&gt;=#REF!)+(D370&lt;2/24)),1,0),0)</f>
        <v>#REF!</v>
      </c>
      <c r="AE369" s="6">
        <f>IF((E369&lt;&gt;"")*(E373=""),IF((E369&lt;=#REF!)*((E370&gt;=#REF!)+(E370&lt;2/24)),1,0),0)</f>
        <v>0</v>
      </c>
      <c r="AF369" s="6">
        <f>IF((F369&lt;&gt;"")*(F373=""),IF((F369&lt;=#REF!)*((F370&gt;=#REF!)+(F370&lt;2/24)),1,0),0)</f>
        <v>0</v>
      </c>
      <c r="AG369" s="6">
        <f>IF((G369&lt;&gt;"")*(G373=""),IF((G369&lt;=#REF!)*((G370&gt;=#REF!)+(G370&lt;2/24)),1,0),0)</f>
        <v>0</v>
      </c>
      <c r="AH369" s="6">
        <f>IF((H369&lt;&gt;"")*(H373=""),IF((H369&lt;=#REF!)*((H370&gt;=#REF!)+(H370&lt;2/24)),1,0),0)</f>
        <v>0</v>
      </c>
      <c r="AI369" s="6" t="e">
        <f>IF((I369&lt;&gt;"")*(I373=""),IF((I369&lt;=#REF!)*((I370&gt;=#REF!)+(I370&lt;2/24)),1,0),0)</f>
        <v>#REF!</v>
      </c>
      <c r="AJ369" s="6">
        <f>IF((J369&lt;&gt;"")*(J373=""),IF((J369&lt;=#REF!)*((J370&gt;=#REF!)+(J370&lt;2/24)),1,0),0)</f>
        <v>0</v>
      </c>
    </row>
    <row r="370" spans="1:36" x14ac:dyDescent="0.2">
      <c r="A370" s="39"/>
      <c r="B370" s="40"/>
      <c r="C370" s="15" t="s">
        <v>1</v>
      </c>
      <c r="D370" s="27">
        <v>0.95833333333333337</v>
      </c>
      <c r="E370" s="27"/>
      <c r="F370" s="27"/>
      <c r="G370" s="27"/>
      <c r="H370" s="27"/>
      <c r="I370" s="27">
        <v>0.95833333333333337</v>
      </c>
      <c r="J370" s="27"/>
      <c r="K370" s="17"/>
      <c r="L370" s="6"/>
      <c r="M370" s="21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D370" s="6" t="e">
        <f>IF((D369&lt;&gt;"")*(D373=""),IF((D369&lt;=#REF!)*((D370&gt;=#REF!)+(D370&lt;2/24)),1,0),0)</f>
        <v>#REF!</v>
      </c>
      <c r="AE370" s="6">
        <f>IF((E369&lt;&gt;"")*(E373=""),IF((E369&lt;=#REF!)*((E370&gt;=#REF!)+(E370&lt;2/24)),1,0),0)</f>
        <v>0</v>
      </c>
      <c r="AF370" s="6">
        <f>IF((F369&lt;&gt;"")*(F373=""),IF((F369&lt;=#REF!)*((F370&gt;=#REF!)+(F370&lt;2/24)),1,0),0)</f>
        <v>0</v>
      </c>
      <c r="AG370" s="6">
        <f>IF((G369&lt;&gt;"")*(G373=""),IF((G369&lt;=#REF!)*((G370&gt;=#REF!)+(G370&lt;2/24)),1,0),0)</f>
        <v>0</v>
      </c>
      <c r="AH370" s="6">
        <f>IF((H369&lt;&gt;"")*(H373=""),IF((H369&lt;=#REF!)*((H370&gt;=#REF!)+(H370&lt;2/24)),1,0),0)</f>
        <v>0</v>
      </c>
      <c r="AI370" s="6" t="e">
        <f>IF((I369&lt;&gt;"")*(I373=""),IF((I369&lt;=#REF!)*((I370&gt;=#REF!)+(I370&lt;2/24)),1,0),0)</f>
        <v>#REF!</v>
      </c>
      <c r="AJ370" s="6">
        <f>IF((J369&lt;&gt;"")*(J373=""),IF((J369&lt;=#REF!)*((J370&gt;=#REF!)+(J370&lt;2/24)),1,0),0)</f>
        <v>0</v>
      </c>
    </row>
    <row r="371" spans="1:36" x14ac:dyDescent="0.2">
      <c r="A371" s="39"/>
      <c r="B371" s="40"/>
      <c r="C371" s="15" t="s">
        <v>2</v>
      </c>
      <c r="D371" s="27"/>
      <c r="E371" s="27"/>
      <c r="F371" s="27"/>
      <c r="G371" s="27"/>
      <c r="H371" s="27"/>
      <c r="I371" s="27"/>
      <c r="J371" s="4"/>
      <c r="K371" s="17"/>
      <c r="L371" s="6"/>
      <c r="M371" s="21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D371" s="6" t="e">
        <f>IF((D369&lt;&gt;"")*(D373=""),IF((D369&lt;=#REF!)*((D370&gt;=#REF!)+(D370&lt;2/24)),1,0),0)</f>
        <v>#REF!</v>
      </c>
      <c r="AE371" s="6">
        <f>IF((E369&lt;&gt;"")*(E373=""),IF((E369&lt;=#REF!)*((E370&gt;=#REF!)+(E370&lt;2/24)),1,0),0)</f>
        <v>0</v>
      </c>
      <c r="AF371" s="6">
        <f>IF((F369&lt;&gt;"")*(F373=""),IF((F369&lt;=#REF!)*((F370&gt;=#REF!)+(F370&lt;2/24)),1,0),0)</f>
        <v>0</v>
      </c>
      <c r="AG371" s="6">
        <f>IF((G369&lt;&gt;"")*(G373=""),IF((G369&lt;=#REF!)*((G370&gt;=#REF!)+(G370&lt;2/24)),1,0),0)</f>
        <v>0</v>
      </c>
      <c r="AH371" s="6">
        <f>IF((H369&lt;&gt;"")*(H373=""),IF((H369&lt;=#REF!)*((H370&gt;=#REF!)+(H370&lt;2/24)),1,0),0)</f>
        <v>0</v>
      </c>
      <c r="AI371" s="6" t="e">
        <f>IF((I369&lt;&gt;"")*(I373=""),IF((I369&lt;=#REF!)*((I370&gt;=#REF!)+(I370&lt;2/24)),1,0),0)</f>
        <v>#REF!</v>
      </c>
      <c r="AJ371" s="6">
        <f>IF((J369&lt;&gt;"")*(J373=""),IF((J369&lt;=#REF!)*((J370&gt;=#REF!)+(J370&lt;2/24)),1,0),0)</f>
        <v>0</v>
      </c>
    </row>
    <row r="372" spans="1:36" x14ac:dyDescent="0.2">
      <c r="A372" s="39"/>
      <c r="B372" s="40"/>
      <c r="C372" s="15" t="s">
        <v>3</v>
      </c>
      <c r="D372" s="57">
        <v>4.5</v>
      </c>
      <c r="E372" s="43"/>
      <c r="F372" s="43" t="str">
        <f t="shared" ref="F372:J372" si="218">IF(F369="","",IF(F370&gt;F369,(F370-F369-F371)*24,(1-F369-F371+F370)*24))</f>
        <v/>
      </c>
      <c r="G372" s="43" t="str">
        <f t="shared" si="218"/>
        <v/>
      </c>
      <c r="H372" s="43" t="str">
        <f t="shared" si="218"/>
        <v/>
      </c>
      <c r="I372" s="57">
        <f t="shared" si="218"/>
        <v>4.5</v>
      </c>
      <c r="J372" s="44" t="str">
        <f t="shared" si="218"/>
        <v/>
      </c>
      <c r="K372" s="18">
        <f>SUMIF(D373:J373,"",D372:J372)</f>
        <v>9</v>
      </c>
      <c r="L372" s="12">
        <f>SUM(D372:J372)</f>
        <v>9</v>
      </c>
      <c r="M372" s="24"/>
      <c r="N372" s="10">
        <f t="shared" ref="N372:T372" si="219">IF(D373="",D372,0)</f>
        <v>4.5</v>
      </c>
      <c r="O372" s="10">
        <f t="shared" si="219"/>
        <v>0</v>
      </c>
      <c r="P372" s="10" t="str">
        <f t="shared" si="219"/>
        <v/>
      </c>
      <c r="Q372" s="10" t="str">
        <f t="shared" si="219"/>
        <v/>
      </c>
      <c r="R372" s="10" t="str">
        <f t="shared" si="219"/>
        <v/>
      </c>
      <c r="S372" s="10">
        <f t="shared" si="219"/>
        <v>4.5</v>
      </c>
      <c r="T372" s="10" t="str">
        <f t="shared" si="219"/>
        <v/>
      </c>
      <c r="U372" s="10"/>
      <c r="V372" s="10">
        <f t="shared" ref="V372:AB372" si="220">D372</f>
        <v>4.5</v>
      </c>
      <c r="W372" s="10">
        <f t="shared" si="220"/>
        <v>0</v>
      </c>
      <c r="X372" s="10" t="str">
        <f t="shared" si="220"/>
        <v/>
      </c>
      <c r="Y372" s="10" t="str">
        <f t="shared" si="220"/>
        <v/>
      </c>
      <c r="Z372" s="10" t="str">
        <f t="shared" si="220"/>
        <v/>
      </c>
      <c r="AA372" s="10">
        <f t="shared" si="220"/>
        <v>4.5</v>
      </c>
      <c r="AB372" s="10" t="str">
        <f t="shared" si="220"/>
        <v/>
      </c>
      <c r="AD372" s="6" t="e">
        <f>IF((D369&lt;&gt;"")*(D373=""),IF((D369&lt;=#REF!)*((D370&gt;=#REF!)+(D370&lt;2/24)),1,0),0)</f>
        <v>#REF!</v>
      </c>
      <c r="AE372" s="6">
        <f>IF((E369&lt;&gt;"")*(E373=""),IF((E369&lt;=#REF!)*((E370&gt;=#REF!)+(E370&lt;2/24)),1,0),0)</f>
        <v>0</v>
      </c>
      <c r="AF372" s="6">
        <f>IF((F369&lt;&gt;"")*(F373=""),IF((F369&lt;=#REF!)*((F370&gt;=#REF!)+(F370&lt;2/24)),1,0),0)</f>
        <v>0</v>
      </c>
      <c r="AG372" s="6">
        <f>IF((G369&lt;&gt;"")*(G373=""),IF((G369&lt;=#REF!)*((G370&gt;=#REF!)+(G370&lt;2/24)),1,0),0)</f>
        <v>0</v>
      </c>
      <c r="AH372" s="6">
        <f>IF((H369&lt;&gt;"")*(H373=""),IF((H369&lt;=#REF!)*((H370&gt;=#REF!)+(H370&lt;2/24)),1,0),0)</f>
        <v>0</v>
      </c>
      <c r="AI372" s="6" t="e">
        <f>IF((I369&lt;&gt;"")*(I373=""),IF((I369&lt;=#REF!)*((I370&gt;=#REF!)+(I370&lt;2/24)),1,0),0)</f>
        <v>#REF!</v>
      </c>
      <c r="AJ372" s="6">
        <f>IF((J369&lt;&gt;"")*(J373=""),IF((J369&lt;=#REF!)*((J370&gt;=#REF!)+(J370&lt;2/24)),1,0),0)</f>
        <v>0</v>
      </c>
    </row>
    <row r="373" spans="1:36" x14ac:dyDescent="0.2">
      <c r="A373" s="39"/>
      <c r="B373" s="40"/>
      <c r="C373" s="32" t="s">
        <v>4</v>
      </c>
      <c r="D373" s="33"/>
      <c r="E373" s="33"/>
      <c r="F373" s="33"/>
      <c r="G373" s="33"/>
      <c r="H373" s="33"/>
      <c r="I373" s="33"/>
      <c r="J373" s="33"/>
      <c r="K373" s="17"/>
      <c r="L373" s="6"/>
      <c r="M373" s="25"/>
      <c r="N373" s="6"/>
      <c r="O373" s="6"/>
      <c r="P373" s="6"/>
      <c r="Q373" s="6"/>
      <c r="R373" s="6"/>
      <c r="S373" s="6"/>
      <c r="T373" s="6"/>
      <c r="U373" s="6"/>
      <c r="V373" s="20"/>
      <c r="W373" s="20"/>
      <c r="X373" s="20"/>
      <c r="Y373" s="20"/>
      <c r="Z373" s="20"/>
      <c r="AA373" s="20"/>
      <c r="AB373" s="20"/>
      <c r="AD373" s="6" t="e">
        <f>IF((D369&lt;&gt;"")*(D373=""),IF((D369&lt;=#REF!)*((D370&gt;=#REF!)+(D370&lt;2/24)),1,0),0)</f>
        <v>#REF!</v>
      </c>
      <c r="AE373" s="6">
        <f>IF((E369&lt;&gt;"")*(E373=""),IF((E369&lt;=#REF!)*((E370&gt;=#REF!)+(E370&lt;2/24)),1,0),0)</f>
        <v>0</v>
      </c>
      <c r="AF373" s="6">
        <f>IF((F369&lt;&gt;"")*(F373=""),IF((F369&lt;=#REF!)*((F370&gt;=#REF!)+(F370&lt;2/24)),1,0),0)</f>
        <v>0</v>
      </c>
      <c r="AG373" s="6">
        <f>IF((G369&lt;&gt;"")*(G373=""),IF((G369&lt;=#REF!)*((G370&gt;=#REF!)+(G370&lt;2/24)),1,0),0)</f>
        <v>0</v>
      </c>
      <c r="AH373" s="6">
        <f>IF((H369&lt;&gt;"")*(H373=""),IF((H369&lt;=#REF!)*((H370&gt;=#REF!)+(H370&lt;2/24)),1,0),0)</f>
        <v>0</v>
      </c>
      <c r="AI373" s="6" t="e">
        <f>IF((I369&lt;&gt;"")*(I373=""),IF((I369&lt;=#REF!)*((I370&gt;=#REF!)+(I370&lt;2/24)),1,0),0)</f>
        <v>#REF!</v>
      </c>
      <c r="AJ373" s="6">
        <f>IF((J369&lt;&gt;"")*(J373=""),IF((J369&lt;=#REF!)*((J370&gt;=#REF!)+(J370&lt;2/24)),1,0),0)</f>
        <v>0</v>
      </c>
    </row>
    <row r="374" spans="1:36" ht="13.5" thickBot="1" x14ac:dyDescent="0.25">
      <c r="A374" s="41"/>
      <c r="B374" s="42"/>
      <c r="C374" s="35" t="s">
        <v>28</v>
      </c>
      <c r="D374" s="36"/>
      <c r="E374" s="36"/>
      <c r="F374" s="36"/>
      <c r="G374" s="36"/>
      <c r="H374" s="36"/>
      <c r="I374" s="36"/>
      <c r="J374" s="36"/>
      <c r="K374" s="34"/>
      <c r="L374" s="6"/>
      <c r="M374" s="25"/>
      <c r="N374" s="6"/>
      <c r="O374" s="6"/>
      <c r="P374" s="6"/>
      <c r="Q374" s="6"/>
      <c r="R374" s="6"/>
      <c r="S374" s="6"/>
      <c r="T374" s="6"/>
      <c r="U374" s="6"/>
      <c r="V374" s="20"/>
      <c r="W374" s="20"/>
      <c r="X374" s="20"/>
      <c r="Y374" s="20"/>
      <c r="Z374" s="20"/>
      <c r="AA374" s="20"/>
      <c r="AB374" s="20"/>
      <c r="AD374" s="6"/>
      <c r="AE374" s="6"/>
      <c r="AF374" s="6"/>
      <c r="AG374" s="6"/>
      <c r="AH374" s="6"/>
      <c r="AI374" s="6"/>
      <c r="AJ374" s="6"/>
    </row>
    <row r="375" spans="1:36" x14ac:dyDescent="0.2">
      <c r="A375" s="37" t="s">
        <v>86</v>
      </c>
      <c r="B375" s="38" t="s">
        <v>87</v>
      </c>
      <c r="C375" s="14" t="s">
        <v>0</v>
      </c>
      <c r="D375" s="26"/>
      <c r="E375" s="26"/>
      <c r="F375" s="26"/>
      <c r="G375" s="26"/>
      <c r="H375" s="26">
        <v>0.54166666666666663</v>
      </c>
      <c r="I375" s="26">
        <v>0.77083333333333337</v>
      </c>
      <c r="J375" s="26"/>
      <c r="K375" s="16"/>
      <c r="L375" s="6"/>
      <c r="M375" s="21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D375" s="6">
        <f>IF((D375&lt;&gt;"")*(D379=""),IF((D375&lt;=$B$446)*((D376&gt;=$C$446)+(D376&lt;2/24)),1,0),0)</f>
        <v>0</v>
      </c>
      <c r="AE375" s="6">
        <f>IF((E375&lt;&gt;"")*(E379=""),IF((E375&lt;=$B$446)*((E376&gt;=$C$446)+(E376&lt;2/24)),1,0),0)</f>
        <v>0</v>
      </c>
      <c r="AF375" s="6">
        <f>IF((F375&lt;&gt;"")*(F379=""),IF((F375&lt;=$B$446)*((F376&gt;=$C$446)+(F376&lt;2/24)),1,0),0)</f>
        <v>0</v>
      </c>
      <c r="AG375" s="6">
        <f>IF((G375&lt;&gt;"")*(G379=""),IF((G375&lt;=$B$446)*((G376&gt;=$C$446)+(G376&lt;2/24)),1,0),0)</f>
        <v>0</v>
      </c>
      <c r="AH375" s="6">
        <f>IF((H375&lt;&gt;"")*(H379=""),IF((H375&lt;=$B$446)*((H376&gt;=$C$446)+(H376&lt;2/24)),1,0),0)</f>
        <v>0</v>
      </c>
      <c r="AI375" s="6">
        <f>IF((I375&lt;&gt;"")*(I379=""),IF((I375&lt;=$B$446)*((I376&gt;=$C$446)+(I376&lt;2/24)),1,0),0)</f>
        <v>0</v>
      </c>
      <c r="AJ375" s="6">
        <f>IF((J375&lt;&gt;"")*(J379=""),IF((J375&lt;=$B$446)*((J376&gt;=$C$446)+(J376&lt;2/24)),1,0),0)</f>
        <v>0</v>
      </c>
    </row>
    <row r="376" spans="1:36" x14ac:dyDescent="0.2">
      <c r="A376" s="39"/>
      <c r="B376" s="40"/>
      <c r="C376" s="15" t="s">
        <v>1</v>
      </c>
      <c r="D376" s="27"/>
      <c r="E376" s="27"/>
      <c r="F376" s="27"/>
      <c r="G376" s="27"/>
      <c r="H376" s="27">
        <v>0.75</v>
      </c>
      <c r="I376" s="27">
        <v>0.95833333333333337</v>
      </c>
      <c r="J376" s="27"/>
      <c r="K376" s="17"/>
      <c r="L376" s="6"/>
      <c r="M376" s="21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D376" s="6">
        <f>IF((D375&lt;&gt;"")*(D379=""),IF((D375&lt;=$B$447)*((D376&gt;=$C$447)+(D376&lt;2/24)),1,0),0)</f>
        <v>0</v>
      </c>
      <c r="AE376" s="6">
        <f>IF((E375&lt;&gt;"")*(E379=""),IF((E375&lt;=$B$447)*((E376&gt;=$C$447)+(E376&lt;2/24)),1,0),0)</f>
        <v>0</v>
      </c>
      <c r="AF376" s="6">
        <f>IF((F375&lt;&gt;"")*(F379=""),IF((F375&lt;=$B$447)*((F376&gt;=$C$447)+(F376&lt;2/24)),1,0),0)</f>
        <v>0</v>
      </c>
      <c r="AG376" s="6">
        <f>IF((G375&lt;&gt;"")*(G379=""),IF((G375&lt;=$B$447)*((G376&gt;=$C$447)+(G376&lt;2/24)),1,0),0)</f>
        <v>0</v>
      </c>
      <c r="AH376" s="6">
        <f>IF((H375&lt;&gt;"")*(H379=""),IF((H375&lt;=$B$447)*((H376&gt;=$C$447)+(H376&lt;2/24)),1,0),0)</f>
        <v>0</v>
      </c>
      <c r="AI376" s="6">
        <f>IF((I375&lt;&gt;"")*(I379=""),IF((I375&lt;=$B$447)*((I376&gt;=$C$447)+(I376&lt;2/24)),1,0),0)</f>
        <v>0</v>
      </c>
      <c r="AJ376" s="6">
        <f>IF((J375&lt;&gt;"")*(J379=""),IF((J375&lt;=$B$447)*((J376&gt;=$C$447)+(J376&lt;2/24)),1,0),0)</f>
        <v>0</v>
      </c>
    </row>
    <row r="377" spans="1:36" x14ac:dyDescent="0.2">
      <c r="A377" s="39"/>
      <c r="B377" s="40"/>
      <c r="C377" s="15" t="s">
        <v>2</v>
      </c>
      <c r="D377" s="4"/>
      <c r="E377" s="4"/>
      <c r="F377" s="4"/>
      <c r="G377" s="4"/>
      <c r="H377" s="4"/>
      <c r="I377" s="4"/>
      <c r="J377" s="4"/>
      <c r="K377" s="17"/>
      <c r="L377" s="6"/>
      <c r="M377" s="21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D377" s="6">
        <f>IF((D375&lt;&gt;"")*(D379=""),IF((D375&lt;=$B$448)*((D376&gt;=$C$448)+(D376&lt;2/24)),1,0),0)</f>
        <v>0</v>
      </c>
      <c r="AE377" s="6">
        <f>IF((E375&lt;&gt;"")*(E379=""),IF((E375&lt;=$B$448)*((E376&gt;=$C$448)+(E376&lt;2/24)),1,0),0)</f>
        <v>0</v>
      </c>
      <c r="AF377" s="6">
        <f>IF((F375&lt;&gt;"")*(F379=""),IF((F375&lt;=$B$448)*((F376&gt;=$C$448)+(F376&lt;2/24)),1,0),0)</f>
        <v>0</v>
      </c>
      <c r="AG377" s="6">
        <f>IF((G375&lt;&gt;"")*(G379=""),IF((G375&lt;=$B$448)*((G376&gt;=$C$448)+(G376&lt;2/24)),1,0),0)</f>
        <v>0</v>
      </c>
      <c r="AH377" s="6">
        <f>IF((H375&lt;&gt;"")*(H379=""),IF((H375&lt;=$B$448)*((H376&gt;=$C$448)+(H376&lt;2/24)),1,0),0)</f>
        <v>0</v>
      </c>
      <c r="AI377" s="6">
        <f>IF((I375&lt;&gt;"")*(I379=""),IF((I375&lt;=$B$448)*((I376&gt;=$C$448)+(I376&lt;2/24)),1,0),0)</f>
        <v>0</v>
      </c>
      <c r="AJ377" s="6">
        <f>IF((J375&lt;&gt;"")*(J379=""),IF((J375&lt;=$B$448)*((J376&gt;=$C$448)+(J376&lt;2/24)),1,0),0)</f>
        <v>0</v>
      </c>
    </row>
    <row r="378" spans="1:36" x14ac:dyDescent="0.2">
      <c r="A378" s="39"/>
      <c r="B378" s="40"/>
      <c r="C378" s="15" t="s">
        <v>3</v>
      </c>
      <c r="D378" s="43"/>
      <c r="E378" s="43" t="str">
        <f t="shared" ref="E378:J378" si="221">IF(E375="","",IF(E376&gt;E375,(E376-E375-E377)*24,(1-E375-E377+E376)*24))</f>
        <v/>
      </c>
      <c r="F378" s="43" t="str">
        <f t="shared" si="221"/>
        <v/>
      </c>
      <c r="G378" s="43" t="str">
        <f t="shared" si="221"/>
        <v/>
      </c>
      <c r="H378" s="43">
        <f t="shared" si="221"/>
        <v>5.0000000000000009</v>
      </c>
      <c r="I378" s="43">
        <f t="shared" si="221"/>
        <v>4.5</v>
      </c>
      <c r="J378" s="44" t="str">
        <f t="shared" si="221"/>
        <v/>
      </c>
      <c r="K378" s="18">
        <f>SUMIF(D379:J379,"",D378:J378)</f>
        <v>9.5</v>
      </c>
      <c r="L378" s="12">
        <f>SUM(D378:J378)</f>
        <v>9.5</v>
      </c>
      <c r="M378" s="24"/>
      <c r="N378" s="10">
        <f t="shared" ref="N378:T378" si="222">IF(D379="",D378,0)</f>
        <v>0</v>
      </c>
      <c r="O378" s="10" t="str">
        <f t="shared" si="222"/>
        <v/>
      </c>
      <c r="P378" s="10" t="str">
        <f t="shared" si="222"/>
        <v/>
      </c>
      <c r="Q378" s="10" t="str">
        <f t="shared" si="222"/>
        <v/>
      </c>
      <c r="R378" s="10">
        <f t="shared" si="222"/>
        <v>5.0000000000000009</v>
      </c>
      <c r="S378" s="10">
        <f t="shared" si="222"/>
        <v>4.5</v>
      </c>
      <c r="T378" s="10" t="str">
        <f t="shared" si="222"/>
        <v/>
      </c>
      <c r="U378" s="10"/>
      <c r="V378" s="10">
        <f t="shared" ref="V378:AB378" si="223">D378</f>
        <v>0</v>
      </c>
      <c r="W378" s="10" t="str">
        <f t="shared" si="223"/>
        <v/>
      </c>
      <c r="X378" s="10" t="str">
        <f t="shared" si="223"/>
        <v/>
      </c>
      <c r="Y378" s="10" t="str">
        <f t="shared" si="223"/>
        <v/>
      </c>
      <c r="Z378" s="10">
        <f t="shared" si="223"/>
        <v>5.0000000000000009</v>
      </c>
      <c r="AA378" s="10">
        <f t="shared" si="223"/>
        <v>4.5</v>
      </c>
      <c r="AB378" s="10" t="str">
        <f t="shared" si="223"/>
        <v/>
      </c>
      <c r="AD378" s="6">
        <f>IF((D375&lt;&gt;"")*(D379=""),IF((D375&lt;=$B$449)*((D376&gt;=$C$449)+(D376&lt;2/24)),1,0),0)</f>
        <v>0</v>
      </c>
      <c r="AE378" s="6">
        <f>IF((E375&lt;&gt;"")*(E379=""),IF((E375&lt;=$B$449)*((E376&gt;=$C$449)+(E376&lt;2/24)),1,0),0)</f>
        <v>0</v>
      </c>
      <c r="AF378" s="6">
        <f>IF((F375&lt;&gt;"")*(F379=""),IF((F375&lt;=$B$449)*((F376&gt;=$C$449)+(F376&lt;2/24)),1,0),0)</f>
        <v>0</v>
      </c>
      <c r="AG378" s="6">
        <f>IF((G375&lt;&gt;"")*(G379=""),IF((G375&lt;=$B$449)*((G376&gt;=$C$449)+(G376&lt;2/24)),1,0),0)</f>
        <v>0</v>
      </c>
      <c r="AH378" s="6">
        <f>IF((H375&lt;&gt;"")*(H379=""),IF((H375&lt;=$B$449)*((H376&gt;=$C$449)+(H376&lt;2/24)),1,0),0)</f>
        <v>0</v>
      </c>
      <c r="AI378" s="6">
        <f>IF((I375&lt;&gt;"")*(I379=""),IF((I375&lt;=$B$449)*((I376&gt;=$C$449)+(I376&lt;2/24)),1,0),0)</f>
        <v>0</v>
      </c>
      <c r="AJ378" s="6">
        <f>IF((J375&lt;&gt;"")*(J379=""),IF((J375&lt;=$B$449)*((J376&gt;=$C$449)+(J376&lt;2/24)),1,0),0)</f>
        <v>0</v>
      </c>
    </row>
    <row r="379" spans="1:36" x14ac:dyDescent="0.2">
      <c r="A379" s="39"/>
      <c r="B379" s="40"/>
      <c r="C379" s="32" t="s">
        <v>4</v>
      </c>
      <c r="D379" s="33"/>
      <c r="E379" s="33"/>
      <c r="F379" s="33"/>
      <c r="G379" s="33"/>
      <c r="H379" s="33"/>
      <c r="I379" s="33"/>
      <c r="J379" s="33"/>
      <c r="K379" s="17"/>
      <c r="L379" s="6"/>
      <c r="M379" s="25"/>
      <c r="N379" s="6"/>
      <c r="O379" s="6"/>
      <c r="P379" s="6"/>
      <c r="Q379" s="6"/>
      <c r="R379" s="6"/>
      <c r="S379" s="6"/>
      <c r="T379" s="6"/>
      <c r="U379" s="6"/>
      <c r="V379" s="20"/>
      <c r="W379" s="20"/>
      <c r="X379" s="20"/>
      <c r="Y379" s="20"/>
      <c r="Z379" s="20"/>
      <c r="AA379" s="20"/>
      <c r="AB379" s="20"/>
      <c r="AD379" s="6">
        <f>IF((D375&lt;&gt;"")*(D379=""),IF((D375&lt;=$B$450)*((D376&gt;=$C$450)+(D376&lt;2/24)),1,0),0)</f>
        <v>0</v>
      </c>
      <c r="AE379" s="6">
        <f>IF((E375&lt;&gt;"")*(E379=""),IF((E375&lt;=$B$450)*((E376&gt;=$C$450)+(E376&lt;2/24)),1,0),0)</f>
        <v>0</v>
      </c>
      <c r="AF379" s="6">
        <f>IF((F375&lt;&gt;"")*(F379=""),IF((F375&lt;=$B$450)*((F376&gt;=$C$450)+(F376&lt;2/24)),1,0),0)</f>
        <v>0</v>
      </c>
      <c r="AG379" s="6">
        <f>IF((G375&lt;&gt;"")*(G379=""),IF((G375&lt;=$B$450)*((G376&gt;=$C$450)+(G376&lt;2/24)),1,0),0)</f>
        <v>0</v>
      </c>
      <c r="AH379" s="6">
        <f>IF((H375&lt;&gt;"")*(H379=""),IF((H375&lt;=$B$450)*((H376&gt;=$C$450)+(H376&lt;2/24)),1,0),0)</f>
        <v>0</v>
      </c>
      <c r="AI379" s="6">
        <f>IF((I375&lt;&gt;"")*(I379=""),IF((I375&lt;=$B$450)*((I376&gt;=$C$450)+(I376&lt;2/24)),1,0),0)</f>
        <v>0</v>
      </c>
      <c r="AJ379" s="6">
        <f>IF((J375&lt;&gt;"")*(J379=""),IF((J375&lt;=$B$450)*((J376&gt;=$C$450)+(J376&lt;2/24)),1,0),0)</f>
        <v>0</v>
      </c>
    </row>
    <row r="380" spans="1:36" ht="13.5" thickBot="1" x14ac:dyDescent="0.25">
      <c r="A380" s="41"/>
      <c r="B380" s="42"/>
      <c r="C380" s="35" t="s">
        <v>28</v>
      </c>
      <c r="D380" s="54"/>
      <c r="E380" s="54"/>
      <c r="F380" s="36"/>
      <c r="G380" s="36"/>
      <c r="H380" s="36"/>
      <c r="I380" s="36"/>
      <c r="J380" s="36"/>
      <c r="K380" s="34"/>
      <c r="L380" s="6"/>
      <c r="M380" s="25"/>
      <c r="N380" s="6"/>
      <c r="O380" s="6"/>
      <c r="P380" s="6"/>
      <c r="Q380" s="6"/>
      <c r="R380" s="6"/>
      <c r="S380" s="6"/>
      <c r="T380" s="6"/>
      <c r="U380" s="6"/>
      <c r="V380" s="20"/>
      <c r="W380" s="20"/>
      <c r="X380" s="20"/>
      <c r="Y380" s="20"/>
      <c r="Z380" s="20"/>
      <c r="AA380" s="20"/>
      <c r="AB380" s="20"/>
      <c r="AD380" s="6"/>
      <c r="AE380" s="6"/>
      <c r="AF380" s="6"/>
      <c r="AG380" s="6"/>
      <c r="AH380" s="6"/>
      <c r="AI380" s="6"/>
      <c r="AJ380" s="6"/>
    </row>
    <row r="381" spans="1:36" x14ac:dyDescent="0.2">
      <c r="A381" s="37" t="s">
        <v>110</v>
      </c>
      <c r="B381" s="38" t="s">
        <v>111</v>
      </c>
      <c r="C381" s="14" t="s">
        <v>0</v>
      </c>
      <c r="D381" s="26"/>
      <c r="E381" s="26"/>
      <c r="F381" s="26"/>
      <c r="G381" s="26">
        <v>0.77083333333333337</v>
      </c>
      <c r="H381" s="26"/>
      <c r="I381" s="26"/>
      <c r="J381" s="26"/>
      <c r="K381" s="16"/>
      <c r="L381" s="6"/>
      <c r="M381" s="21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D381" s="6">
        <f>IF((D381&lt;&gt;"")*(D385=""),IF((D381&lt;=$B$440)*((D382&gt;=$C$440)+(D382&lt;2/24)),1,0),0)</f>
        <v>0</v>
      </c>
      <c r="AE381" s="6">
        <f>IF((E381&lt;&gt;"")*(E385=""),IF((E381&lt;=$B$440)*((E382&gt;=$C$440)+(E382&lt;2/24)),1,0),0)</f>
        <v>0</v>
      </c>
      <c r="AF381" s="6">
        <f>IF((F381&lt;&gt;"")*(F385=""),IF((F381&lt;=$B$440)*((F382&gt;=$C$440)+(F382&lt;2/24)),1,0),0)</f>
        <v>0</v>
      </c>
      <c r="AG381" s="6">
        <f>IF((G381&lt;&gt;"")*(G385=""),IF((G381&lt;=$B$440)*((G382&gt;=$C$440)+(G382&lt;2/24)),1,0),0)</f>
        <v>0</v>
      </c>
      <c r="AH381" s="6">
        <f>IF((H381&lt;&gt;"")*(H385=""),IF((H381&lt;=$B$440)*((H382&gt;=$C$440)+(H382&lt;2/24)),1,0),0)</f>
        <v>0</v>
      </c>
      <c r="AI381" s="6">
        <f>IF((I381&lt;&gt;"")*(I385=""),IF((I381&lt;=$B$440)*((I382&gt;=$C$440)+(I382&lt;2/24)),1,0),0)</f>
        <v>0</v>
      </c>
      <c r="AJ381" s="6">
        <f>IF((J381&lt;&gt;"")*(J385=""),IF((J381&lt;=$B$440)*((J382&gt;=$C$440)+(J382&lt;2/24)),1,0),0)</f>
        <v>0</v>
      </c>
    </row>
    <row r="382" spans="1:36" x14ac:dyDescent="0.2">
      <c r="A382" s="39"/>
      <c r="B382" s="40"/>
      <c r="C382" s="15" t="s">
        <v>1</v>
      </c>
      <c r="D382" s="27"/>
      <c r="E382" s="27"/>
      <c r="F382" s="27"/>
      <c r="G382" s="27">
        <v>0.95833333333333337</v>
      </c>
      <c r="H382" s="27"/>
      <c r="I382" s="27"/>
      <c r="J382" s="27"/>
      <c r="K382" s="17"/>
      <c r="L382" s="6"/>
      <c r="M382" s="21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D382" s="6">
        <f>IF((D381&lt;&gt;"")*(D385=""),IF((D381&lt;=$B$441)*((D382&gt;=$C$441)+(D382&lt;2/24)),1,0),0)</f>
        <v>0</v>
      </c>
      <c r="AE382" s="6">
        <f>IF((E381&lt;&gt;"")*(E385=""),IF((E381&lt;=$B$441)*((E382&gt;=$C$441)+(E382&lt;2/24)),1,0),0)</f>
        <v>0</v>
      </c>
      <c r="AF382" s="6">
        <f>IF((F381&lt;&gt;"")*(F385=""),IF((F381&lt;=$B$441)*((F382&gt;=$C$441)+(F382&lt;2/24)),1,0),0)</f>
        <v>0</v>
      </c>
      <c r="AG382" s="6">
        <f>IF((G381&lt;&gt;"")*(G385=""),IF((G381&lt;=$B$441)*((G382&gt;=$C$441)+(G382&lt;2/24)),1,0),0)</f>
        <v>1</v>
      </c>
      <c r="AH382" s="6">
        <f>IF((H381&lt;&gt;"")*(H385=""),IF((H381&lt;=$B$441)*((H382&gt;=$C$441)+(H382&lt;2/24)),1,0),0)</f>
        <v>0</v>
      </c>
      <c r="AI382" s="6">
        <f>IF((I381&lt;&gt;"")*(I385=""),IF((I381&lt;=$B$441)*((I382&gt;=$C$441)+(I382&lt;2/24)),1,0),0)</f>
        <v>0</v>
      </c>
      <c r="AJ382" s="6">
        <f>IF((J381&lt;&gt;"")*(J385=""),IF((J381&lt;=$B$441)*((J382&gt;=$C$441)+(J382&lt;2/24)),1,0),0)</f>
        <v>0</v>
      </c>
    </row>
    <row r="383" spans="1:36" x14ac:dyDescent="0.2">
      <c r="A383" s="39"/>
      <c r="B383" s="40"/>
      <c r="C383" s="15" t="s">
        <v>2</v>
      </c>
      <c r="D383" s="4"/>
      <c r="E383" s="4"/>
      <c r="F383" s="4"/>
      <c r="G383" s="4"/>
      <c r="H383" s="4"/>
      <c r="I383" s="4"/>
      <c r="J383" s="4"/>
      <c r="K383" s="17"/>
      <c r="L383" s="6"/>
      <c r="M383" s="21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D383" s="6">
        <f>IF((D381&lt;&gt;"")*(D385=""),IF((D381&lt;=$B$442)*((D382&gt;=$C$442)+(D382&lt;2/24)),1,0),0)</f>
        <v>0</v>
      </c>
      <c r="AE383" s="6">
        <f>IF((E381&lt;&gt;"")*(E385=""),IF((E381&lt;=$B$442)*((E382&gt;=$C$442)+(E382&lt;2/24)),1,0),0)</f>
        <v>0</v>
      </c>
      <c r="AF383" s="6">
        <f>IF((F381&lt;&gt;"")*(F385=""),IF((F381&lt;=$B$442)*((F382&gt;=$C$442)+(F382&lt;2/24)),1,0),0)</f>
        <v>0</v>
      </c>
      <c r="AG383" s="6">
        <f>IF((G381&lt;&gt;"")*(G385=""),IF((G381&lt;=$B$442)*((G382&gt;=$C$442)+(G382&lt;2/24)),1,0),0)</f>
        <v>1</v>
      </c>
      <c r="AH383" s="6">
        <f>IF((H381&lt;&gt;"")*(H385=""),IF((H381&lt;=$B$442)*((H382&gt;=$C$442)+(H382&lt;2/24)),1,0),0)</f>
        <v>0</v>
      </c>
      <c r="AI383" s="6">
        <f>IF((I381&lt;&gt;"")*(I385=""),IF((I381&lt;=$B$442)*((I382&gt;=$C$442)+(I382&lt;2/24)),1,0),0)</f>
        <v>0</v>
      </c>
      <c r="AJ383" s="6">
        <f>IF((J381&lt;&gt;"")*(J385=""),IF((J381&lt;=$B$442)*((J382&gt;=$C$442)+(J382&lt;2/24)),1,0),0)</f>
        <v>0</v>
      </c>
    </row>
    <row r="384" spans="1:36" x14ac:dyDescent="0.2">
      <c r="A384" s="39"/>
      <c r="B384" s="40"/>
      <c r="C384" s="15" t="s">
        <v>3</v>
      </c>
      <c r="D384" s="43" t="str">
        <f t="shared" ref="D384:J384" si="224">IF(D381="","",IF(D382&gt;D381,(D382-D381-D383)*24,(1-D381-D383+D382)*24))</f>
        <v/>
      </c>
      <c r="E384" s="43" t="str">
        <f t="shared" si="224"/>
        <v/>
      </c>
      <c r="F384" s="43" t="str">
        <f t="shared" si="224"/>
        <v/>
      </c>
      <c r="G384" s="43">
        <f t="shared" si="224"/>
        <v>4.5</v>
      </c>
      <c r="H384" s="43" t="str">
        <f t="shared" si="224"/>
        <v/>
      </c>
      <c r="I384" s="43" t="str">
        <f t="shared" si="224"/>
        <v/>
      </c>
      <c r="J384" s="44" t="str">
        <f t="shared" si="224"/>
        <v/>
      </c>
      <c r="K384" s="18">
        <f>SUMIF(D385:J385,"",D384:J384)</f>
        <v>4.5</v>
      </c>
      <c r="L384" s="12">
        <f>SUM(D384:J384)</f>
        <v>4.5</v>
      </c>
      <c r="M384" s="24"/>
      <c r="N384" s="10" t="str">
        <f t="shared" ref="N384:T384" si="225">IF(D385="",D384,0)</f>
        <v/>
      </c>
      <c r="O384" s="10" t="str">
        <f t="shared" si="225"/>
        <v/>
      </c>
      <c r="P384" s="10" t="str">
        <f t="shared" si="225"/>
        <v/>
      </c>
      <c r="Q384" s="10">
        <f t="shared" si="225"/>
        <v>4.5</v>
      </c>
      <c r="R384" s="10" t="str">
        <f t="shared" si="225"/>
        <v/>
      </c>
      <c r="S384" s="10" t="str">
        <f t="shared" si="225"/>
        <v/>
      </c>
      <c r="T384" s="10" t="str">
        <f t="shared" si="225"/>
        <v/>
      </c>
      <c r="U384" s="10"/>
      <c r="V384" s="10" t="str">
        <f t="shared" ref="V384:AB384" si="226">D384</f>
        <v/>
      </c>
      <c r="W384" s="10" t="str">
        <f t="shared" si="226"/>
        <v/>
      </c>
      <c r="X384" s="10" t="str">
        <f t="shared" si="226"/>
        <v/>
      </c>
      <c r="Y384" s="10">
        <f t="shared" si="226"/>
        <v>4.5</v>
      </c>
      <c r="Z384" s="10" t="str">
        <f t="shared" si="226"/>
        <v/>
      </c>
      <c r="AA384" s="10" t="str">
        <f t="shared" si="226"/>
        <v/>
      </c>
      <c r="AB384" s="10" t="str">
        <f t="shared" si="226"/>
        <v/>
      </c>
      <c r="AD384" s="6">
        <f>IF((D381&lt;&gt;"")*(D385=""),IF((D381&lt;=$B$443)*((D382&gt;=$C$443)+(D382&lt;2/24)),1,0),0)</f>
        <v>0</v>
      </c>
      <c r="AE384" s="6">
        <f>IF((E381&lt;&gt;"")*(E385=""),IF((E381&lt;=$B$443)*((E382&gt;=$C$443)+(E382&lt;2/24)),1,0),0)</f>
        <v>0</v>
      </c>
      <c r="AF384" s="6">
        <f>IF((F381&lt;&gt;"")*(F385=""),IF((F381&lt;=$B$443)*((F382&gt;=$C$443)+(F382&lt;2/24)),1,0),0)</f>
        <v>0</v>
      </c>
      <c r="AG384" s="6">
        <f>IF((G381&lt;&gt;"")*(G385=""),IF((G381&lt;=$B$443)*((G382&gt;=$C$443)+(G382&lt;2/24)),1,0),0)</f>
        <v>0</v>
      </c>
      <c r="AH384" s="6">
        <f>IF((H381&lt;&gt;"")*(H385=""),IF((H381&lt;=$B$443)*((H382&gt;=$C$443)+(H382&lt;2/24)),1,0),0)</f>
        <v>0</v>
      </c>
      <c r="AI384" s="6">
        <f>IF((I381&lt;&gt;"")*(I385=""),IF((I381&lt;=$B$443)*((I382&gt;=$C$443)+(I382&lt;2/24)),1,0),0)</f>
        <v>0</v>
      </c>
      <c r="AJ384" s="6">
        <f>IF((J381&lt;&gt;"")*(J385=""),IF((J381&lt;=$B$443)*((J382&gt;=$C$443)+(J382&lt;2/24)),1,0),0)</f>
        <v>0</v>
      </c>
    </row>
    <row r="385" spans="1:36" x14ac:dyDescent="0.2">
      <c r="A385" s="39"/>
      <c r="B385" s="40"/>
      <c r="C385" s="32" t="s">
        <v>4</v>
      </c>
      <c r="D385" s="33"/>
      <c r="E385" s="33"/>
      <c r="F385" s="33"/>
      <c r="G385" s="33"/>
      <c r="H385" s="33"/>
      <c r="I385" s="33"/>
      <c r="J385" s="33"/>
      <c r="K385" s="17"/>
      <c r="L385" s="6"/>
      <c r="M385" s="25"/>
      <c r="N385" s="6"/>
      <c r="O385" s="6"/>
      <c r="P385" s="6"/>
      <c r="Q385" s="6"/>
      <c r="R385" s="6"/>
      <c r="S385" s="6"/>
      <c r="T385" s="6"/>
      <c r="U385" s="6"/>
      <c r="V385" s="20"/>
      <c r="W385" s="20"/>
      <c r="X385" s="20"/>
      <c r="Y385" s="20"/>
      <c r="Z385" s="20"/>
      <c r="AA385" s="20"/>
      <c r="AB385" s="20"/>
      <c r="AD385" s="6">
        <f>IF((D381&lt;&gt;"")*(D385=""),IF((D381&lt;=$B$444)*((D382&gt;=$C$444)+(D382&lt;2/24)),1,0),0)</f>
        <v>0</v>
      </c>
      <c r="AE385" s="6">
        <f>IF((E381&lt;&gt;"")*(E385=""),IF((E381&lt;=$B$444)*((E382&gt;=$C$444)+(E382&lt;2/24)),1,0),0)</f>
        <v>0</v>
      </c>
      <c r="AF385" s="6">
        <f>IF((F381&lt;&gt;"")*(F385=""),IF((F381&lt;=$B$444)*((F382&gt;=$C$444)+(F382&lt;2/24)),1,0),0)</f>
        <v>0</v>
      </c>
      <c r="AG385" s="6">
        <f>IF((G381&lt;&gt;"")*(G385=""),IF((G381&lt;=$B$444)*((G382&gt;=$C$444)+(G382&lt;2/24)),1,0),0)</f>
        <v>0</v>
      </c>
      <c r="AH385" s="6">
        <f>IF((H381&lt;&gt;"")*(H385=""),IF((H381&lt;=$B$444)*((H382&gt;=$C$444)+(H382&lt;2/24)),1,0),0)</f>
        <v>0</v>
      </c>
      <c r="AI385" s="6">
        <f>IF((I381&lt;&gt;"")*(I385=""),IF((I381&lt;=$B$444)*((I382&gt;=$C$444)+(I382&lt;2/24)),1,0),0)</f>
        <v>0</v>
      </c>
      <c r="AJ385" s="6">
        <f>IF((J381&lt;&gt;"")*(J385=""),IF((J381&lt;=$B$444)*((J382&gt;=$C$444)+(J382&lt;2/24)),1,0),0)</f>
        <v>0</v>
      </c>
    </row>
    <row r="386" spans="1:36" ht="13.5" thickBot="1" x14ac:dyDescent="0.25">
      <c r="A386" s="41"/>
      <c r="B386" s="42"/>
      <c r="C386" s="35" t="s">
        <v>28</v>
      </c>
      <c r="D386" s="54"/>
      <c r="E386" s="54"/>
      <c r="F386" s="36"/>
      <c r="G386" s="36"/>
      <c r="H386" s="36"/>
      <c r="I386" s="36"/>
      <c r="J386" s="36"/>
      <c r="K386" s="34"/>
      <c r="L386" s="6"/>
      <c r="M386" s="25"/>
      <c r="N386" s="6"/>
      <c r="O386" s="6"/>
      <c r="P386" s="6"/>
      <c r="Q386" s="6"/>
      <c r="R386" s="6"/>
      <c r="S386" s="6"/>
      <c r="T386" s="6"/>
      <c r="U386" s="6"/>
      <c r="V386" s="20"/>
      <c r="W386" s="20"/>
      <c r="X386" s="20"/>
      <c r="Y386" s="20"/>
      <c r="Z386" s="20"/>
      <c r="AA386" s="20"/>
      <c r="AB386" s="20"/>
      <c r="AD386" s="6"/>
      <c r="AE386" s="6"/>
      <c r="AF386" s="6"/>
      <c r="AG386" s="6"/>
      <c r="AH386" s="6"/>
      <c r="AI386" s="6"/>
      <c r="AJ386" s="6"/>
    </row>
    <row r="387" spans="1:36" x14ac:dyDescent="0.2">
      <c r="A387" s="37" t="s">
        <v>133</v>
      </c>
      <c r="B387" s="38" t="s">
        <v>134</v>
      </c>
      <c r="C387" s="14" t="s">
        <v>0</v>
      </c>
      <c r="D387" s="26"/>
      <c r="E387" s="26"/>
      <c r="F387" s="26">
        <v>0.77083333333333337</v>
      </c>
      <c r="G387" s="26"/>
      <c r="H387" s="26"/>
      <c r="I387" s="26"/>
      <c r="J387" s="26"/>
      <c r="K387" s="16"/>
      <c r="L387" s="6"/>
      <c r="M387" s="21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D387" s="6">
        <f>IF((D387&lt;&gt;"")*(D391=""),IF((D387&lt;=$B$440)*((D388&gt;=$C$440)+(D388&lt;2/24)),1,0),0)</f>
        <v>0</v>
      </c>
      <c r="AE387" s="6">
        <f>IF((E387&lt;&gt;"")*(E391=""),IF((E387&lt;=$B$440)*((E388&gt;=$C$440)+(E388&lt;2/24)),1,0),0)</f>
        <v>0</v>
      </c>
      <c r="AF387" s="6">
        <f>IF((F387&lt;&gt;"")*(F391=""),IF((F387&lt;=$B$440)*((F388&gt;=$C$440)+(F388&lt;2/24)),1,0),0)</f>
        <v>0</v>
      </c>
      <c r="AG387" s="6">
        <f>IF((G387&lt;&gt;"")*(G391=""),IF((G387&lt;=$B$440)*((G388&gt;=$C$440)+(G388&lt;2/24)),1,0),0)</f>
        <v>0</v>
      </c>
      <c r="AH387" s="6">
        <f>IF((H387&lt;&gt;"")*(H391=""),IF((H387&lt;=$B$440)*((H388&gt;=$C$440)+(H388&lt;2/24)),1,0),0)</f>
        <v>0</v>
      </c>
      <c r="AI387" s="6">
        <f>IF((I387&lt;&gt;"")*(I391=""),IF((I387&lt;=$B$440)*((I388&gt;=$C$440)+(I388&lt;2/24)),1,0),0)</f>
        <v>0</v>
      </c>
      <c r="AJ387" s="6">
        <f>IF((J387&lt;&gt;"")*(J391=""),IF((J387&lt;=$B$440)*((J388&gt;=$C$440)+(J388&lt;2/24)),1,0),0)</f>
        <v>0</v>
      </c>
    </row>
    <row r="388" spans="1:36" x14ac:dyDescent="0.2">
      <c r="A388" s="39"/>
      <c r="B388" s="40"/>
      <c r="C388" s="15" t="s">
        <v>1</v>
      </c>
      <c r="D388" s="27"/>
      <c r="E388" s="27"/>
      <c r="F388" s="27">
        <v>0.95833333333333337</v>
      </c>
      <c r="G388" s="27"/>
      <c r="H388" s="27"/>
      <c r="I388" s="27"/>
      <c r="J388" s="27"/>
      <c r="K388" s="17"/>
      <c r="L388" s="6"/>
      <c r="M388" s="21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D388" s="6">
        <f>IF((D387&lt;&gt;"")*(D391=""),IF((D387&lt;=$B$441)*((D388&gt;=$C$441)+(D388&lt;2/24)),1,0),0)</f>
        <v>0</v>
      </c>
      <c r="AE388" s="6">
        <f>IF((E387&lt;&gt;"")*(E391=""),IF((E387&lt;=$B$441)*((E388&gt;=$C$441)+(E388&lt;2/24)),1,0),0)</f>
        <v>0</v>
      </c>
      <c r="AF388" s="6">
        <f>IF((F387&lt;&gt;"")*(F391=""),IF((F387&lt;=$B$441)*((F388&gt;=$C$441)+(F388&lt;2/24)),1,0),0)</f>
        <v>1</v>
      </c>
      <c r="AG388" s="6">
        <f>IF((G387&lt;&gt;"")*(G391=""),IF((G387&lt;=$B$441)*((G388&gt;=$C$441)+(G388&lt;2/24)),1,0),0)</f>
        <v>0</v>
      </c>
      <c r="AH388" s="6">
        <f>IF((H387&lt;&gt;"")*(H391=""),IF((H387&lt;=$B$441)*((H388&gt;=$C$441)+(H388&lt;2/24)),1,0),0)</f>
        <v>0</v>
      </c>
      <c r="AI388" s="6">
        <f>IF((I387&lt;&gt;"")*(I391=""),IF((I387&lt;=$B$441)*((I388&gt;=$C$441)+(I388&lt;2/24)),1,0),0)</f>
        <v>0</v>
      </c>
      <c r="AJ388" s="6">
        <f>IF((J387&lt;&gt;"")*(J391=""),IF((J387&lt;=$B$441)*((J388&gt;=$C$441)+(J388&lt;2/24)),1,0),0)</f>
        <v>0</v>
      </c>
    </row>
    <row r="389" spans="1:36" x14ac:dyDescent="0.2">
      <c r="A389" s="39"/>
      <c r="B389" s="40"/>
      <c r="C389" s="15" t="s">
        <v>2</v>
      </c>
      <c r="D389" s="4"/>
      <c r="E389" s="4"/>
      <c r="F389" s="4"/>
      <c r="G389" s="4"/>
      <c r="H389" s="4"/>
      <c r="I389" s="4"/>
      <c r="J389" s="4"/>
      <c r="K389" s="17"/>
      <c r="L389" s="6"/>
      <c r="M389" s="21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D389" s="6">
        <f>IF((D387&lt;&gt;"")*(D391=""),IF((D387&lt;=$B$442)*((D388&gt;=$C$442)+(D388&lt;2/24)),1,0),0)</f>
        <v>0</v>
      </c>
      <c r="AE389" s="6">
        <f>IF((E387&lt;&gt;"")*(E391=""),IF((E387&lt;=$B$442)*((E388&gt;=$C$442)+(E388&lt;2/24)),1,0),0)</f>
        <v>0</v>
      </c>
      <c r="AF389" s="6">
        <f>IF((F387&lt;&gt;"")*(F391=""),IF((F387&lt;=$B$442)*((F388&gt;=$C$442)+(F388&lt;2/24)),1,0),0)</f>
        <v>1</v>
      </c>
      <c r="AG389" s="6">
        <f>IF((G387&lt;&gt;"")*(G391=""),IF((G387&lt;=$B$442)*((G388&gt;=$C$442)+(G388&lt;2/24)),1,0),0)</f>
        <v>0</v>
      </c>
      <c r="AH389" s="6">
        <f>IF((H387&lt;&gt;"")*(H391=""),IF((H387&lt;=$B$442)*((H388&gt;=$C$442)+(H388&lt;2/24)),1,0),0)</f>
        <v>0</v>
      </c>
      <c r="AI389" s="6">
        <f>IF((I387&lt;&gt;"")*(I391=""),IF((I387&lt;=$B$442)*((I388&gt;=$C$442)+(I388&lt;2/24)),1,0),0)</f>
        <v>0</v>
      </c>
      <c r="AJ389" s="6">
        <f>IF((J387&lt;&gt;"")*(J391=""),IF((J387&lt;=$B$442)*((J388&gt;=$C$442)+(J388&lt;2/24)),1,0),0)</f>
        <v>0</v>
      </c>
    </row>
    <row r="390" spans="1:36" x14ac:dyDescent="0.2">
      <c r="A390" s="39"/>
      <c r="B390" s="40"/>
      <c r="C390" s="15" t="s">
        <v>3</v>
      </c>
      <c r="D390" s="43" t="str">
        <f t="shared" ref="D390:J390" si="227">IF(D387="","",IF(D388&gt;D387,(D388-D387-D389)*24,(1-D387-D389+D388)*24))</f>
        <v/>
      </c>
      <c r="E390" s="43" t="str">
        <f t="shared" si="227"/>
        <v/>
      </c>
      <c r="F390" s="43">
        <f t="shared" si="227"/>
        <v>4.5</v>
      </c>
      <c r="G390" s="43" t="str">
        <f t="shared" si="227"/>
        <v/>
      </c>
      <c r="H390" s="43" t="str">
        <f t="shared" si="227"/>
        <v/>
      </c>
      <c r="I390" s="43" t="str">
        <f t="shared" si="227"/>
        <v/>
      </c>
      <c r="J390" s="44" t="str">
        <f t="shared" si="227"/>
        <v/>
      </c>
      <c r="K390" s="18">
        <f>SUMIF(D391:J391,"",D390:J390)</f>
        <v>4.5</v>
      </c>
      <c r="L390" s="12">
        <f>SUM(D390:J390)</f>
        <v>4.5</v>
      </c>
      <c r="M390" s="24"/>
      <c r="N390" s="10" t="str">
        <f t="shared" ref="N390:T390" si="228">IF(D391="",D390,0)</f>
        <v/>
      </c>
      <c r="O390" s="10" t="str">
        <f t="shared" si="228"/>
        <v/>
      </c>
      <c r="P390" s="10">
        <f t="shared" si="228"/>
        <v>4.5</v>
      </c>
      <c r="Q390" s="10" t="str">
        <f t="shared" si="228"/>
        <v/>
      </c>
      <c r="R390" s="10" t="str">
        <f t="shared" si="228"/>
        <v/>
      </c>
      <c r="S390" s="10" t="str">
        <f t="shared" si="228"/>
        <v/>
      </c>
      <c r="T390" s="10" t="str">
        <f t="shared" si="228"/>
        <v/>
      </c>
      <c r="U390" s="10"/>
      <c r="V390" s="10" t="str">
        <f t="shared" ref="V390:AB390" si="229">D390</f>
        <v/>
      </c>
      <c r="W390" s="10" t="str">
        <f t="shared" si="229"/>
        <v/>
      </c>
      <c r="X390" s="10">
        <f t="shared" si="229"/>
        <v>4.5</v>
      </c>
      <c r="Y390" s="10" t="str">
        <f t="shared" si="229"/>
        <v/>
      </c>
      <c r="Z390" s="10" t="str">
        <f t="shared" si="229"/>
        <v/>
      </c>
      <c r="AA390" s="10" t="str">
        <f t="shared" si="229"/>
        <v/>
      </c>
      <c r="AB390" s="10" t="str">
        <f t="shared" si="229"/>
        <v/>
      </c>
      <c r="AD390" s="6">
        <f>IF((D387&lt;&gt;"")*(D391=""),IF((D387&lt;=$B$443)*((D388&gt;=$C$443)+(D388&lt;2/24)),1,0),0)</f>
        <v>0</v>
      </c>
      <c r="AE390" s="6">
        <f>IF((E387&lt;&gt;"")*(E391=""),IF((E387&lt;=$B$443)*((E388&gt;=$C$443)+(E388&lt;2/24)),1,0),0)</f>
        <v>0</v>
      </c>
      <c r="AF390" s="6">
        <f>IF((F387&lt;&gt;"")*(F391=""),IF((F387&lt;=$B$443)*((F388&gt;=$C$443)+(F388&lt;2/24)),1,0),0)</f>
        <v>0</v>
      </c>
      <c r="AG390" s="6">
        <f>IF((G387&lt;&gt;"")*(G391=""),IF((G387&lt;=$B$443)*((G388&gt;=$C$443)+(G388&lt;2/24)),1,0),0)</f>
        <v>0</v>
      </c>
      <c r="AH390" s="6">
        <f>IF((H387&lt;&gt;"")*(H391=""),IF((H387&lt;=$B$443)*((H388&gt;=$C$443)+(H388&lt;2/24)),1,0),0)</f>
        <v>0</v>
      </c>
      <c r="AI390" s="6">
        <f>IF((I387&lt;&gt;"")*(I391=""),IF((I387&lt;=$B$443)*((I388&gt;=$C$443)+(I388&lt;2/24)),1,0),0)</f>
        <v>0</v>
      </c>
      <c r="AJ390" s="6">
        <f>IF((J387&lt;&gt;"")*(J391=""),IF((J387&lt;=$B$443)*((J388&gt;=$C$443)+(J388&lt;2/24)),1,0),0)</f>
        <v>0</v>
      </c>
    </row>
    <row r="391" spans="1:36" x14ac:dyDescent="0.2">
      <c r="A391" s="39"/>
      <c r="B391" s="40"/>
      <c r="C391" s="32" t="s">
        <v>4</v>
      </c>
      <c r="D391" s="33"/>
      <c r="E391" s="33"/>
      <c r="F391" s="33"/>
      <c r="G391" s="33"/>
      <c r="H391" s="33"/>
      <c r="I391" s="33"/>
      <c r="J391" s="33"/>
      <c r="K391" s="17"/>
      <c r="L391" s="6"/>
      <c r="M391" s="25"/>
      <c r="N391" s="6"/>
      <c r="O391" s="6"/>
      <c r="P391" s="6"/>
      <c r="Q391" s="6"/>
      <c r="R391" s="6"/>
      <c r="S391" s="6"/>
      <c r="T391" s="6"/>
      <c r="U391" s="6"/>
      <c r="V391" s="20"/>
      <c r="W391" s="20"/>
      <c r="X391" s="20"/>
      <c r="Y391" s="20"/>
      <c r="Z391" s="20"/>
      <c r="AA391" s="20"/>
      <c r="AB391" s="20"/>
      <c r="AD391" s="6">
        <f>IF((D387&lt;&gt;"")*(D391=""),IF((D387&lt;=$B$444)*((D388&gt;=$C$444)+(D388&lt;2/24)),1,0),0)</f>
        <v>0</v>
      </c>
      <c r="AE391" s="6">
        <f>IF((E387&lt;&gt;"")*(E391=""),IF((E387&lt;=$B$444)*((E388&gt;=$C$444)+(E388&lt;2/24)),1,0),0)</f>
        <v>0</v>
      </c>
      <c r="AF391" s="6">
        <f>IF((F387&lt;&gt;"")*(F391=""),IF((F387&lt;=$B$444)*((F388&gt;=$C$444)+(F388&lt;2/24)),1,0),0)</f>
        <v>0</v>
      </c>
      <c r="AG391" s="6">
        <f>IF((G387&lt;&gt;"")*(G391=""),IF((G387&lt;=$B$444)*((G388&gt;=$C$444)+(G388&lt;2/24)),1,0),0)</f>
        <v>0</v>
      </c>
      <c r="AH391" s="6">
        <f>IF((H387&lt;&gt;"")*(H391=""),IF((H387&lt;=$B$444)*((H388&gt;=$C$444)+(H388&lt;2/24)),1,0),0)</f>
        <v>0</v>
      </c>
      <c r="AI391" s="6">
        <f>IF((I387&lt;&gt;"")*(I391=""),IF((I387&lt;=$B$444)*((I388&gt;=$C$444)+(I388&lt;2/24)),1,0),0)</f>
        <v>0</v>
      </c>
      <c r="AJ391" s="6">
        <f>IF((J387&lt;&gt;"")*(J391=""),IF((J387&lt;=$B$444)*((J388&gt;=$C$444)+(J388&lt;2/24)),1,0),0)</f>
        <v>0</v>
      </c>
    </row>
    <row r="392" spans="1:36" ht="13.5" thickBot="1" x14ac:dyDescent="0.25">
      <c r="A392" s="41"/>
      <c r="B392" s="42"/>
      <c r="C392" s="35" t="s">
        <v>28</v>
      </c>
      <c r="D392" s="54"/>
      <c r="E392" s="54"/>
      <c r="F392" s="36"/>
      <c r="G392" s="36"/>
      <c r="H392" s="36"/>
      <c r="I392" s="36"/>
      <c r="J392" s="36"/>
      <c r="K392" s="34"/>
      <c r="L392" s="6"/>
      <c r="M392" s="25"/>
      <c r="N392" s="6"/>
      <c r="O392" s="6"/>
      <c r="P392" s="6"/>
      <c r="Q392" s="6"/>
      <c r="R392" s="6"/>
      <c r="S392" s="6"/>
      <c r="T392" s="6"/>
      <c r="U392" s="6"/>
      <c r="V392" s="20"/>
      <c r="W392" s="20"/>
      <c r="X392" s="20"/>
      <c r="Y392" s="20"/>
      <c r="Z392" s="20"/>
      <c r="AA392" s="20"/>
      <c r="AB392" s="20"/>
      <c r="AD392" s="6"/>
      <c r="AE392" s="6"/>
      <c r="AF392" s="6"/>
      <c r="AG392" s="6"/>
      <c r="AH392" s="6"/>
      <c r="AI392" s="6"/>
      <c r="AJ392" s="6"/>
    </row>
    <row r="393" spans="1:36" x14ac:dyDescent="0.2">
      <c r="A393" s="37" t="s">
        <v>145</v>
      </c>
      <c r="B393" s="38" t="s">
        <v>146</v>
      </c>
      <c r="C393" s="14" t="s">
        <v>0</v>
      </c>
      <c r="D393" s="26"/>
      <c r="E393" s="26"/>
      <c r="F393" s="26"/>
      <c r="G393" s="26"/>
      <c r="H393" s="26"/>
      <c r="I393" s="26"/>
      <c r="J393" s="26"/>
      <c r="K393" s="16"/>
      <c r="L393" s="6"/>
      <c r="M393" s="21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D393" s="6">
        <f>IF((D393&lt;&gt;"")*(D397=""),IF((D393&lt;=$B$434)*((D394&gt;=$C$434)+(D394&lt;2/24)),1,0),0)</f>
        <v>0</v>
      </c>
      <c r="AE393" s="6">
        <f>IF((E393&lt;&gt;"")*(E397=""),IF((E393&lt;=$B$434)*((E394&gt;=$C$434)+(E394&lt;2/24)),1,0),0)</f>
        <v>0</v>
      </c>
      <c r="AF393" s="6">
        <f>IF((F393&lt;&gt;"")*(F397=""),IF((F393&lt;=$B$434)*((F394&gt;=$C$434)+(F394&lt;2/24)),1,0),0)</f>
        <v>0</v>
      </c>
      <c r="AG393" s="6">
        <f>IF((G393&lt;&gt;"")*(G397=""),IF((G393&lt;=$B$434)*((G394&gt;=$C$434)+(G394&lt;2/24)),1,0),0)</f>
        <v>0</v>
      </c>
      <c r="AH393" s="6">
        <f>IF((H393&lt;&gt;"")*(H397=""),IF((H393&lt;=$B$434)*((H394&gt;=$C$434)+(H394&lt;2/24)),1,0),0)</f>
        <v>0</v>
      </c>
      <c r="AI393" s="6">
        <f>IF((I393&lt;&gt;"")*(I397=""),IF((I393&lt;=$B$434)*((I394&gt;=$C$434)+(I394&lt;2/24)),1,0),0)</f>
        <v>0</v>
      </c>
      <c r="AJ393" s="6">
        <f>IF((J393&lt;&gt;"")*(J397=""),IF((J393&lt;=$B$434)*((J394&gt;=$C$434)+(J394&lt;2/24)),1,0),0)</f>
        <v>0</v>
      </c>
    </row>
    <row r="394" spans="1:36" x14ac:dyDescent="0.2">
      <c r="A394" s="39"/>
      <c r="B394" s="40"/>
      <c r="C394" s="15" t="s">
        <v>1</v>
      </c>
      <c r="D394" s="27"/>
      <c r="E394" s="27"/>
      <c r="F394" s="27"/>
      <c r="G394" s="27"/>
      <c r="H394" s="27"/>
      <c r="I394" s="27"/>
      <c r="J394" s="27"/>
      <c r="K394" s="17"/>
      <c r="L394" s="6"/>
      <c r="M394" s="21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D394" s="6">
        <f>IF((D393&lt;&gt;"")*(D397=""),IF((D393&lt;=$B$435)*((D394&gt;=$C$435)+(D394&lt;2/24)),1,0),0)</f>
        <v>0</v>
      </c>
      <c r="AE394" s="6">
        <f>IF((E393&lt;&gt;"")*(E397=""),IF((E393&lt;=$B$435)*((E394&gt;=$C$435)+(E394&lt;2/24)),1,0),0)</f>
        <v>0</v>
      </c>
      <c r="AF394" s="6">
        <f>IF((F393&lt;&gt;"")*(F397=""),IF((F393&lt;=$B$435)*((F394&gt;=$C$435)+(F394&lt;2/24)),1,0),0)</f>
        <v>0</v>
      </c>
      <c r="AG394" s="6">
        <f>IF((G393&lt;&gt;"")*(G397=""),IF((G393&lt;=$B$435)*((G394&gt;=$C$435)+(G394&lt;2/24)),1,0),0)</f>
        <v>0</v>
      </c>
      <c r="AH394" s="6">
        <f>IF((H393&lt;&gt;"")*(H397=""),IF((H393&lt;=$B$435)*((H394&gt;=$C$435)+(H394&lt;2/24)),1,0),0)</f>
        <v>0</v>
      </c>
      <c r="AI394" s="6">
        <f>IF((I393&lt;&gt;"")*(I397=""),IF((I393&lt;=$B$435)*((I394&gt;=$C$435)+(I394&lt;2/24)),1,0),0)</f>
        <v>0</v>
      </c>
      <c r="AJ394" s="6">
        <f>IF((J393&lt;&gt;"")*(J397=""),IF((J393&lt;=$B$435)*((J394&gt;=$C$435)+(J394&lt;2/24)),1,0),0)</f>
        <v>0</v>
      </c>
    </row>
    <row r="395" spans="1:36" x14ac:dyDescent="0.2">
      <c r="A395" s="64"/>
      <c r="B395" s="40"/>
      <c r="C395" s="15" t="s">
        <v>2</v>
      </c>
      <c r="D395" s="4"/>
      <c r="E395" s="4"/>
      <c r="F395" s="4"/>
      <c r="G395" s="4"/>
      <c r="H395" s="4"/>
      <c r="I395" s="4"/>
      <c r="J395" s="4"/>
      <c r="K395" s="17"/>
      <c r="L395" s="6"/>
      <c r="M395" s="21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D395" s="6">
        <f>IF((D393&lt;&gt;"")*(D397=""),IF((D393&lt;=$B$436)*((D394&gt;=$C$436)+(D394&lt;2/24)),1,0),0)</f>
        <v>0</v>
      </c>
      <c r="AE395" s="6">
        <f>IF((E393&lt;&gt;"")*(E397=""),IF((E393&lt;=$B$436)*((E394&gt;=$C$436)+(E394&lt;2/24)),1,0),0)</f>
        <v>0</v>
      </c>
      <c r="AF395" s="6">
        <f>IF((F393&lt;&gt;"")*(F397=""),IF((F393&lt;=$B$436)*((F394&gt;=$C$436)+(F394&lt;2/24)),1,0),0)</f>
        <v>0</v>
      </c>
      <c r="AG395" s="6">
        <f>IF((G393&lt;&gt;"")*(G397=""),IF((G393&lt;=$B$436)*((G394&gt;=$C$436)+(G394&lt;2/24)),1,0),0)</f>
        <v>0</v>
      </c>
      <c r="AH395" s="6">
        <f>IF((H393&lt;&gt;"")*(H397=""),IF((H393&lt;=$B$436)*((H394&gt;=$C$436)+(H394&lt;2/24)),1,0),0)</f>
        <v>0</v>
      </c>
      <c r="AI395" s="6">
        <f>IF((I393&lt;&gt;"")*(I397=""),IF((I393&lt;=$B$436)*((I394&gt;=$C$436)+(I394&lt;2/24)),1,0),0)</f>
        <v>0</v>
      </c>
      <c r="AJ395" s="6">
        <f>IF((J393&lt;&gt;"")*(J397=""),IF((J393&lt;=$B$436)*((J394&gt;=$C$436)+(J394&lt;2/24)),1,0),0)</f>
        <v>0</v>
      </c>
    </row>
    <row r="396" spans="1:36" x14ac:dyDescent="0.2">
      <c r="A396" s="64"/>
      <c r="B396" s="40"/>
      <c r="C396" s="15" t="s">
        <v>3</v>
      </c>
      <c r="D396" s="43" t="str">
        <f t="shared" ref="D396:J396" si="230">IF(D393="","",IF(D394&gt;D393,(D394-D393-D395)*24,(1-D393-D395+D394)*24))</f>
        <v/>
      </c>
      <c r="E396" s="43" t="str">
        <f t="shared" si="230"/>
        <v/>
      </c>
      <c r="F396" s="43" t="str">
        <f t="shared" si="230"/>
        <v/>
      </c>
      <c r="G396" s="43" t="str">
        <f t="shared" si="230"/>
        <v/>
      </c>
      <c r="H396" s="43" t="str">
        <f t="shared" si="230"/>
        <v/>
      </c>
      <c r="I396" s="43" t="str">
        <f t="shared" si="230"/>
        <v/>
      </c>
      <c r="J396" s="44" t="str">
        <f t="shared" si="230"/>
        <v/>
      </c>
      <c r="K396" s="18">
        <f>SUMIF(D397:J397,"",D396:J396)</f>
        <v>0</v>
      </c>
      <c r="L396" s="12">
        <f>SUM(D396:J396)</f>
        <v>0</v>
      </c>
      <c r="M396" s="24"/>
      <c r="N396" s="10" t="str">
        <f t="shared" ref="N396:T396" si="231">IF(D397="",D396,0)</f>
        <v/>
      </c>
      <c r="O396" s="10" t="str">
        <f t="shared" si="231"/>
        <v/>
      </c>
      <c r="P396" s="10" t="str">
        <f t="shared" si="231"/>
        <v/>
      </c>
      <c r="Q396" s="10" t="str">
        <f t="shared" si="231"/>
        <v/>
      </c>
      <c r="R396" s="10" t="str">
        <f t="shared" si="231"/>
        <v/>
      </c>
      <c r="S396" s="10" t="str">
        <f t="shared" si="231"/>
        <v/>
      </c>
      <c r="T396" s="10" t="str">
        <f t="shared" si="231"/>
        <v/>
      </c>
      <c r="U396" s="10"/>
      <c r="V396" s="10" t="str">
        <f t="shared" ref="V396:AB396" si="232">D396</f>
        <v/>
      </c>
      <c r="W396" s="10" t="str">
        <f t="shared" si="232"/>
        <v/>
      </c>
      <c r="X396" s="10" t="str">
        <f t="shared" si="232"/>
        <v/>
      </c>
      <c r="Y396" s="10" t="str">
        <f t="shared" si="232"/>
        <v/>
      </c>
      <c r="Z396" s="10" t="str">
        <f t="shared" si="232"/>
        <v/>
      </c>
      <c r="AA396" s="10" t="str">
        <f t="shared" si="232"/>
        <v/>
      </c>
      <c r="AB396" s="10" t="str">
        <f t="shared" si="232"/>
        <v/>
      </c>
      <c r="AD396" s="6">
        <f>IF((D393&lt;&gt;"")*(D397=""),IF((D393&lt;=$B$437)*((D394&gt;=$C$437)+(D394&lt;2/24)),1,0),0)</f>
        <v>0</v>
      </c>
      <c r="AE396" s="6">
        <f>IF((E393&lt;&gt;"")*(E397=""),IF((E393&lt;=$B$437)*((E394&gt;=$C$437)+(E394&lt;2/24)),1,0),0)</f>
        <v>0</v>
      </c>
      <c r="AF396" s="6">
        <f>IF((F393&lt;&gt;"")*(F397=""),IF((F393&lt;=$B$437)*((F394&gt;=$C$437)+(F394&lt;2/24)),1,0),0)</f>
        <v>0</v>
      </c>
      <c r="AG396" s="6">
        <f>IF((G393&lt;&gt;"")*(G397=""),IF((G393&lt;=$B$437)*((G394&gt;=$C$437)+(G394&lt;2/24)),1,0),0)</f>
        <v>0</v>
      </c>
      <c r="AH396" s="6">
        <f>IF((H393&lt;&gt;"")*(H397=""),IF((H393&lt;=$B$437)*((H394&gt;=$C$437)+(H394&lt;2/24)),1,0),0)</f>
        <v>0</v>
      </c>
      <c r="AI396" s="6">
        <f>IF((I393&lt;&gt;"")*(I397=""),IF((I393&lt;=$B$437)*((I394&gt;=$C$437)+(I394&lt;2/24)),1,0),0)</f>
        <v>0</v>
      </c>
      <c r="AJ396" s="6">
        <f>IF((J393&lt;&gt;"")*(J397=""),IF((J393&lt;=$B$437)*((J394&gt;=$C$437)+(J394&lt;2/24)),1,0),0)</f>
        <v>0</v>
      </c>
    </row>
    <row r="397" spans="1:36" x14ac:dyDescent="0.2">
      <c r="A397" s="39"/>
      <c r="B397" s="40"/>
      <c r="C397" s="32" t="s">
        <v>4</v>
      </c>
      <c r="D397" s="33"/>
      <c r="E397" s="33"/>
      <c r="F397" s="33"/>
      <c r="G397" s="33"/>
      <c r="H397" s="33"/>
      <c r="I397" s="33"/>
      <c r="J397" s="33"/>
      <c r="K397" s="17"/>
      <c r="L397" s="6"/>
      <c r="M397" s="25"/>
      <c r="N397" s="6"/>
      <c r="O397" s="6"/>
      <c r="P397" s="6"/>
      <c r="Q397" s="6"/>
      <c r="R397" s="6"/>
      <c r="S397" s="6"/>
      <c r="T397" s="6"/>
      <c r="U397" s="6"/>
      <c r="V397" s="20"/>
      <c r="W397" s="20"/>
      <c r="X397" s="20"/>
      <c r="Y397" s="20"/>
      <c r="Z397" s="20"/>
      <c r="AA397" s="20"/>
      <c r="AB397" s="20"/>
      <c r="AD397" s="6">
        <f>IF((D393&lt;&gt;"")*(D397=""),IF((D393&lt;=$B$438)*((D394&gt;=$C$438)+(D394&lt;2/24)),1,0),0)</f>
        <v>0</v>
      </c>
      <c r="AE397" s="6">
        <f>IF((E393&lt;&gt;"")*(E397=""),IF((E393&lt;=$B$438)*((E394&gt;=$C$438)+(E394&lt;2/24)),1,0),0)</f>
        <v>0</v>
      </c>
      <c r="AF397" s="6">
        <f>IF((F393&lt;&gt;"")*(F397=""),IF((F393&lt;=$B$438)*((F394&gt;=$C$438)+(F394&lt;2/24)),1,0),0)</f>
        <v>0</v>
      </c>
      <c r="AG397" s="6">
        <f>IF((G393&lt;&gt;"")*(G397=""),IF((G393&lt;=$B$438)*((G394&gt;=$C$438)+(G394&lt;2/24)),1,0),0)</f>
        <v>0</v>
      </c>
      <c r="AH397" s="6">
        <f>IF((H393&lt;&gt;"")*(H397=""),IF((H393&lt;=$B$438)*((H394&gt;=$C$438)+(H394&lt;2/24)),1,0),0)</f>
        <v>0</v>
      </c>
      <c r="AI397" s="6">
        <f>IF((I393&lt;&gt;"")*(I397=""),IF((I393&lt;=$B$438)*((I394&gt;=$C$438)+(I394&lt;2/24)),1,0),0)</f>
        <v>0</v>
      </c>
      <c r="AJ397" s="6">
        <f>IF((J393&lt;&gt;"")*(J397=""),IF((J393&lt;=$B$438)*((J394&gt;=$C$438)+(J394&lt;2/24)),1,0),0)</f>
        <v>0</v>
      </c>
    </row>
    <row r="398" spans="1:36" ht="13.5" thickBot="1" x14ac:dyDescent="0.25">
      <c r="A398" s="41"/>
      <c r="B398" s="42"/>
      <c r="C398" s="35" t="s">
        <v>28</v>
      </c>
      <c r="D398" s="36"/>
      <c r="E398" s="36"/>
      <c r="F398" s="36"/>
      <c r="G398" s="36"/>
      <c r="H398" s="54"/>
      <c r="I398" s="36"/>
      <c r="J398" s="36"/>
      <c r="K398" s="34"/>
      <c r="L398" s="6"/>
      <c r="M398" s="25"/>
      <c r="N398" s="6"/>
      <c r="O398" s="6"/>
      <c r="P398" s="6"/>
      <c r="Q398" s="6"/>
      <c r="R398" s="6"/>
      <c r="S398" s="6"/>
      <c r="T398" s="6"/>
      <c r="U398" s="6"/>
      <c r="V398" s="20"/>
      <c r="W398" s="20"/>
      <c r="X398" s="20"/>
      <c r="Y398" s="20"/>
      <c r="Z398" s="20"/>
      <c r="AA398" s="20"/>
      <c r="AB398" s="20"/>
      <c r="AD398" s="6"/>
      <c r="AE398" s="6"/>
      <c r="AF398" s="6"/>
      <c r="AG398" s="6"/>
      <c r="AH398" s="6"/>
      <c r="AI398" s="6"/>
      <c r="AJ398" s="6"/>
    </row>
    <row r="399" spans="1:36" x14ac:dyDescent="0.2">
      <c r="A399" s="37" t="s">
        <v>154</v>
      </c>
      <c r="B399" s="38" t="s">
        <v>155</v>
      </c>
      <c r="C399" s="14" t="s">
        <v>0</v>
      </c>
      <c r="D399" s="26">
        <v>0.54166666666666663</v>
      </c>
      <c r="E399" s="26">
        <v>0.54166666666666663</v>
      </c>
      <c r="F399" s="26"/>
      <c r="G399" s="26"/>
      <c r="H399" s="26"/>
      <c r="I399" s="26"/>
      <c r="J399" s="26">
        <v>0.54166666666666663</v>
      </c>
      <c r="K399" s="16"/>
      <c r="L399" s="6"/>
      <c r="M399" s="21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D399" s="6">
        <f>IF((D399&lt;&gt;"")*(D403=""),IF((D399&lt;=$B$440)*((D400&gt;=$C$440)+(D400&lt;2/24)),1,0),0)</f>
        <v>1</v>
      </c>
      <c r="AE399" s="6">
        <f>IF((E399&lt;&gt;"")*(E403=""),IF((E399&lt;=$B$440)*((E400&gt;=$C$440)+(E400&lt;2/24)),1,0),0)</f>
        <v>1</v>
      </c>
      <c r="AF399" s="6">
        <f>IF((F399&lt;&gt;"")*(F403=""),IF((F399&lt;=$B$440)*((F400&gt;=$C$440)+(F400&lt;2/24)),1,0),0)</f>
        <v>0</v>
      </c>
      <c r="AG399" s="6">
        <f>IF((G399&lt;&gt;"")*(G403=""),IF((G399&lt;=$B$440)*((G400&gt;=$C$440)+(G400&lt;2/24)),1,0),0)</f>
        <v>0</v>
      </c>
      <c r="AH399" s="6">
        <f>IF((H399&lt;&gt;"")*(H403=""),IF((H399&lt;=$B$440)*((H400&gt;=$C$440)+(H400&lt;2/24)),1,0),0)</f>
        <v>0</v>
      </c>
      <c r="AI399" s="6">
        <f>IF((I399&lt;&gt;"")*(I403=""),IF((I399&lt;=$B$440)*((I400&gt;=$C$440)+(I400&lt;2/24)),1,0),0)</f>
        <v>0</v>
      </c>
      <c r="AJ399" s="6">
        <f>IF((J399&lt;&gt;"")*(J403=""),IF((J399&lt;=$B$440)*((J400&gt;=$C$440)+(J400&lt;2/24)),1,0),0)</f>
        <v>1</v>
      </c>
    </row>
    <row r="400" spans="1:36" x14ac:dyDescent="0.2">
      <c r="A400" s="39"/>
      <c r="B400" s="40"/>
      <c r="C400" s="15" t="s">
        <v>1</v>
      </c>
      <c r="D400" s="27">
        <v>0.75</v>
      </c>
      <c r="E400" s="27">
        <v>0.75</v>
      </c>
      <c r="F400" s="27"/>
      <c r="G400" s="27"/>
      <c r="H400" s="27"/>
      <c r="I400" s="27"/>
      <c r="J400" s="27">
        <v>0.95833333333333337</v>
      </c>
      <c r="K400" s="17"/>
      <c r="L400" s="6"/>
      <c r="M400" s="21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D400" s="6">
        <f>IF((D399&lt;&gt;"")*(D403=""),IF((D399&lt;=$B$441)*((D400&gt;=$C$441)+(D400&lt;2/24)),1,0),0)</f>
        <v>0</v>
      </c>
      <c r="AE400" s="6">
        <f>IF((E399&lt;&gt;"")*(E403=""),IF((E399&lt;=$B$441)*((E400&gt;=$C$441)+(E400&lt;2/24)),1,0),0)</f>
        <v>0</v>
      </c>
      <c r="AF400" s="6">
        <f>IF((F399&lt;&gt;"")*(F403=""),IF((F399&lt;=$B$441)*((F400&gt;=$C$441)+(F400&lt;2/24)),1,0),0)</f>
        <v>0</v>
      </c>
      <c r="AG400" s="6">
        <f>IF((G399&lt;&gt;"")*(G403=""),IF((G399&lt;=$B$441)*((G400&gt;=$C$441)+(G400&lt;2/24)),1,0),0)</f>
        <v>0</v>
      </c>
      <c r="AH400" s="6">
        <f>IF((H399&lt;&gt;"")*(H403=""),IF((H399&lt;=$B$441)*((H400&gt;=$C$441)+(H400&lt;2/24)),1,0),0)</f>
        <v>0</v>
      </c>
      <c r="AI400" s="6">
        <f>IF((I399&lt;&gt;"")*(I403=""),IF((I399&lt;=$B$441)*((I400&gt;=$C$441)+(I400&lt;2/24)),1,0),0)</f>
        <v>0</v>
      </c>
      <c r="AJ400" s="6">
        <f>IF((J399&lt;&gt;"")*(J403=""),IF((J399&lt;=$B$441)*((J400&gt;=$C$441)+(J400&lt;2/24)),1,0),0)</f>
        <v>1</v>
      </c>
    </row>
    <row r="401" spans="1:36" x14ac:dyDescent="0.2">
      <c r="A401" s="39"/>
      <c r="B401" s="40"/>
      <c r="C401" s="15" t="s">
        <v>2</v>
      </c>
      <c r="D401" s="4"/>
      <c r="E401" s="4"/>
      <c r="F401" s="4"/>
      <c r="G401" s="4"/>
      <c r="H401" s="4"/>
      <c r="I401" s="4"/>
      <c r="J401" s="4">
        <v>4.1666666666666664E-2</v>
      </c>
      <c r="K401" s="17"/>
      <c r="L401" s="6"/>
      <c r="M401" s="21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D401" s="6">
        <f>IF((D399&lt;&gt;"")*(D403=""),IF((D399&lt;=$B$442)*((D400&gt;=$C$442)+(D400&lt;2/24)),1,0),0)</f>
        <v>0</v>
      </c>
      <c r="AE401" s="6">
        <f>IF((E399&lt;&gt;"")*(E403=""),IF((E399&lt;=$B$442)*((E400&gt;=$C$442)+(E400&lt;2/24)),1,0),0)</f>
        <v>0</v>
      </c>
      <c r="AF401" s="6">
        <f>IF((F399&lt;&gt;"")*(F403=""),IF((F399&lt;=$B$442)*((F400&gt;=$C$442)+(F400&lt;2/24)),1,0),0)</f>
        <v>0</v>
      </c>
      <c r="AG401" s="6">
        <f>IF((G399&lt;&gt;"")*(G403=""),IF((G399&lt;=$B$442)*((G400&gt;=$C$442)+(G400&lt;2/24)),1,0),0)</f>
        <v>0</v>
      </c>
      <c r="AH401" s="6">
        <f>IF((H399&lt;&gt;"")*(H403=""),IF((H399&lt;=$B$442)*((H400&gt;=$C$442)+(H400&lt;2/24)),1,0),0)</f>
        <v>0</v>
      </c>
      <c r="AI401" s="6">
        <f>IF((I399&lt;&gt;"")*(I403=""),IF((I399&lt;=$B$442)*((I400&gt;=$C$442)+(I400&lt;2/24)),1,0),0)</f>
        <v>0</v>
      </c>
      <c r="AJ401" s="6">
        <f>IF((J399&lt;&gt;"")*(J403=""),IF((J399&lt;=$B$442)*((J400&gt;=$C$442)+(J400&lt;2/24)),1,0),0)</f>
        <v>1</v>
      </c>
    </row>
    <row r="402" spans="1:36" x14ac:dyDescent="0.2">
      <c r="A402" s="39"/>
      <c r="B402" s="40"/>
      <c r="C402" s="15" t="s">
        <v>3</v>
      </c>
      <c r="D402" s="43">
        <f t="shared" ref="D402:J402" si="233">IF(D399="","",IF(D400&gt;D399,(D400-D399-D401)*24,(1-D399-D401+D400)*24))</f>
        <v>5.0000000000000009</v>
      </c>
      <c r="E402" s="43">
        <f t="shared" si="233"/>
        <v>5.0000000000000009</v>
      </c>
      <c r="F402" s="43" t="str">
        <f t="shared" si="233"/>
        <v/>
      </c>
      <c r="G402" s="43" t="str">
        <f t="shared" si="233"/>
        <v/>
      </c>
      <c r="H402" s="43" t="str">
        <f t="shared" si="233"/>
        <v/>
      </c>
      <c r="I402" s="55" t="str">
        <f t="shared" si="233"/>
        <v/>
      </c>
      <c r="J402" s="44">
        <f t="shared" si="233"/>
        <v>9.0000000000000018</v>
      </c>
      <c r="K402" s="18">
        <f>SUMIF(D403:J403,"",D402:J402)</f>
        <v>19.000000000000004</v>
      </c>
      <c r="L402" s="12">
        <f>SUM(D402:J402)</f>
        <v>19.000000000000004</v>
      </c>
      <c r="M402" s="24"/>
      <c r="N402" s="10">
        <f t="shared" ref="N402:T402" si="234">IF(D403="",D402,0)</f>
        <v>5.0000000000000009</v>
      </c>
      <c r="O402" s="10">
        <f t="shared" si="234"/>
        <v>5.0000000000000009</v>
      </c>
      <c r="P402" s="10" t="str">
        <f t="shared" si="234"/>
        <v/>
      </c>
      <c r="Q402" s="10" t="str">
        <f t="shared" si="234"/>
        <v/>
      </c>
      <c r="R402" s="10" t="str">
        <f t="shared" si="234"/>
        <v/>
      </c>
      <c r="S402" s="10" t="str">
        <f t="shared" si="234"/>
        <v/>
      </c>
      <c r="T402" s="10">
        <f t="shared" si="234"/>
        <v>9.0000000000000018</v>
      </c>
      <c r="U402" s="10"/>
      <c r="V402" s="10">
        <f t="shared" ref="V402:AB402" si="235">D402</f>
        <v>5.0000000000000009</v>
      </c>
      <c r="W402" s="10">
        <f t="shared" si="235"/>
        <v>5.0000000000000009</v>
      </c>
      <c r="X402" s="10" t="str">
        <f t="shared" si="235"/>
        <v/>
      </c>
      <c r="Y402" s="10" t="str">
        <f t="shared" si="235"/>
        <v/>
      </c>
      <c r="Z402" s="10" t="str">
        <f t="shared" si="235"/>
        <v/>
      </c>
      <c r="AA402" s="10" t="str">
        <f t="shared" si="235"/>
        <v/>
      </c>
      <c r="AB402" s="10">
        <f t="shared" si="235"/>
        <v>9.0000000000000018</v>
      </c>
      <c r="AD402" s="6">
        <f>IF((D399&lt;&gt;"")*(D403=""),IF((D399&lt;=$B$443)*((D400&gt;=$C$443)+(D400&lt;2/24)),1,0),0)</f>
        <v>0</v>
      </c>
      <c r="AE402" s="6">
        <f>IF((E399&lt;&gt;"")*(E403=""),IF((E399&lt;=$B$443)*((E400&gt;=$C$443)+(E400&lt;2/24)),1,0),0)</f>
        <v>0</v>
      </c>
      <c r="AF402" s="6">
        <f>IF((F399&lt;&gt;"")*(F403=""),IF((F399&lt;=$B$443)*((F400&gt;=$C$443)+(F400&lt;2/24)),1,0),0)</f>
        <v>0</v>
      </c>
      <c r="AG402" s="6">
        <f>IF((G399&lt;&gt;"")*(G403=""),IF((G399&lt;=$B$443)*((G400&gt;=$C$443)+(G400&lt;2/24)),1,0),0)</f>
        <v>0</v>
      </c>
      <c r="AH402" s="6">
        <f>IF((H399&lt;&gt;"")*(H403=""),IF((H399&lt;=$B$443)*((H400&gt;=$C$443)+(H400&lt;2/24)),1,0),0)</f>
        <v>0</v>
      </c>
      <c r="AI402" s="6">
        <f>IF((I399&lt;&gt;"")*(I403=""),IF((I399&lt;=$B$443)*((I400&gt;=$C$443)+(I400&lt;2/24)),1,0),0)</f>
        <v>0</v>
      </c>
      <c r="AJ402" s="6">
        <f>IF((J399&lt;&gt;"")*(J403=""),IF((J399&lt;=$B$443)*((J400&gt;=$C$443)+(J400&lt;2/24)),1,0),0)</f>
        <v>0</v>
      </c>
    </row>
    <row r="403" spans="1:36" x14ac:dyDescent="0.2">
      <c r="A403" s="39"/>
      <c r="B403" s="40"/>
      <c r="C403" s="32" t="s">
        <v>4</v>
      </c>
      <c r="D403" s="33"/>
      <c r="E403" s="33"/>
      <c r="F403" s="33"/>
      <c r="G403" s="33"/>
      <c r="H403" s="33"/>
      <c r="I403" s="33"/>
      <c r="J403" s="33"/>
      <c r="K403" s="17"/>
      <c r="L403" s="6"/>
      <c r="M403" s="25"/>
      <c r="N403" s="6"/>
      <c r="O403" s="6"/>
      <c r="P403" s="6"/>
      <c r="Q403" s="6"/>
      <c r="R403" s="6"/>
      <c r="S403" s="6"/>
      <c r="T403" s="6"/>
      <c r="U403" s="6"/>
      <c r="V403" s="20"/>
      <c r="W403" s="20"/>
      <c r="X403" s="20"/>
      <c r="Y403" s="20"/>
      <c r="Z403" s="20"/>
      <c r="AA403" s="20"/>
      <c r="AB403" s="20"/>
      <c r="AD403" s="6">
        <f>IF((D399&lt;&gt;"")*(D403=""),IF((D399&lt;=$B$444)*((D400&gt;=$C$444)+(D400&lt;2/24)),1,0),0)</f>
        <v>0</v>
      </c>
      <c r="AE403" s="6">
        <f>IF((E399&lt;&gt;"")*(E403=""),IF((E399&lt;=$B$444)*((E400&gt;=$C$444)+(E400&lt;2/24)),1,0),0)</f>
        <v>0</v>
      </c>
      <c r="AF403" s="6">
        <f>IF((F399&lt;&gt;"")*(F403=""),IF((F399&lt;=$B$444)*((F400&gt;=$C$444)+(F400&lt;2/24)),1,0),0)</f>
        <v>0</v>
      </c>
      <c r="AG403" s="6">
        <f>IF((G399&lt;&gt;"")*(G403=""),IF((G399&lt;=$B$444)*((G400&gt;=$C$444)+(G400&lt;2/24)),1,0),0)</f>
        <v>0</v>
      </c>
      <c r="AH403" s="6">
        <f>IF((H399&lt;&gt;"")*(H403=""),IF((H399&lt;=$B$444)*((H400&gt;=$C$444)+(H400&lt;2/24)),1,0),0)</f>
        <v>0</v>
      </c>
      <c r="AI403" s="6">
        <f>IF((I399&lt;&gt;"")*(I403=""),IF((I399&lt;=$B$444)*((I400&gt;=$C$444)+(I400&lt;2/24)),1,0),0)</f>
        <v>0</v>
      </c>
      <c r="AJ403" s="6">
        <f>IF((J399&lt;&gt;"")*(J403=""),IF((J399&lt;=$B$444)*((J400&gt;=$C$444)+(J400&lt;2/24)),1,0),0)</f>
        <v>0</v>
      </c>
    </row>
    <row r="404" spans="1:36" ht="13.5" thickBot="1" x14ac:dyDescent="0.25">
      <c r="A404" s="41"/>
      <c r="B404" s="42"/>
      <c r="C404" s="35" t="s">
        <v>28</v>
      </c>
      <c r="D404" s="67"/>
      <c r="E404" s="36"/>
      <c r="F404" s="36"/>
      <c r="G404" s="36"/>
      <c r="H404" s="36"/>
      <c r="I404" s="36"/>
      <c r="J404" s="36"/>
      <c r="K404" s="34"/>
      <c r="L404" s="6"/>
      <c r="M404" s="25"/>
      <c r="N404" s="6"/>
      <c r="O404" s="6"/>
      <c r="P404" s="6"/>
      <c r="Q404" s="6"/>
      <c r="R404" s="6"/>
      <c r="S404" s="6"/>
      <c r="T404" s="6"/>
      <c r="U404" s="6"/>
      <c r="V404" s="20"/>
      <c r="W404" s="20"/>
      <c r="X404" s="20"/>
      <c r="Y404" s="20"/>
      <c r="Z404" s="20"/>
      <c r="AA404" s="20"/>
      <c r="AB404" s="20"/>
      <c r="AD404" s="6"/>
      <c r="AE404" s="6"/>
      <c r="AF404" s="6"/>
      <c r="AG404" s="6"/>
      <c r="AH404" s="6"/>
      <c r="AI404" s="6"/>
      <c r="AJ404" s="6"/>
    </row>
    <row r="405" spans="1:36" x14ac:dyDescent="0.2">
      <c r="A405" s="37" t="s">
        <v>148</v>
      </c>
      <c r="B405" s="38" t="s">
        <v>149</v>
      </c>
      <c r="C405" s="14" t="s">
        <v>0</v>
      </c>
      <c r="D405" s="26"/>
      <c r="E405" s="26"/>
      <c r="F405" s="26"/>
      <c r="G405" s="26"/>
      <c r="H405" s="26">
        <v>0.77083333333333337</v>
      </c>
      <c r="I405" s="26"/>
      <c r="J405" s="26">
        <v>0.54166666666666663</v>
      </c>
      <c r="K405" s="16"/>
      <c r="L405" s="6"/>
      <c r="M405" s="21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D405" s="6">
        <f>IF((D405&lt;&gt;"")*(D409=""),IF((D405&lt;=#REF!)*((D406&gt;=#REF!)+(D406&lt;2/24)),1,0),0)</f>
        <v>0</v>
      </c>
      <c r="AE405" s="6">
        <f>IF((E405&lt;&gt;"")*(E409=""),IF((E405&lt;=#REF!)*((E406&gt;=#REF!)+(E406&lt;2/24)),1,0),0)</f>
        <v>0</v>
      </c>
      <c r="AF405" s="6">
        <f>IF((F405&lt;&gt;"")*(F409=""),IF((F405&lt;=#REF!)*((F406&gt;=#REF!)+(F406&lt;2/24)),1,0),0)</f>
        <v>0</v>
      </c>
      <c r="AG405" s="6">
        <f>IF((G405&lt;&gt;"")*(G409=""),IF((G405&lt;=#REF!)*((G406&gt;=#REF!)+(G406&lt;2/24)),1,0),0)</f>
        <v>0</v>
      </c>
      <c r="AH405" s="6" t="e">
        <f>IF((H405&lt;&gt;"")*(H409=""),IF((H405&lt;=#REF!)*((H406&gt;=#REF!)+(H406&lt;2/24)),1,0),0)</f>
        <v>#REF!</v>
      </c>
      <c r="AI405" s="6">
        <f>IF((I405&lt;&gt;"")*(I409=""),IF((I405&lt;=#REF!)*((I406&gt;=#REF!)+(I406&lt;2/24)),1,0),0)</f>
        <v>0</v>
      </c>
      <c r="AJ405" s="6" t="e">
        <f>IF((J405&lt;&gt;"")*(J409=""),IF((J405&lt;=#REF!)*((J406&gt;=#REF!)+(J406&lt;2/24)),1,0),0)</f>
        <v>#REF!</v>
      </c>
    </row>
    <row r="406" spans="1:36" x14ac:dyDescent="0.2">
      <c r="A406" s="39"/>
      <c r="B406" s="40"/>
      <c r="C406" s="15" t="s">
        <v>1</v>
      </c>
      <c r="D406" s="27"/>
      <c r="E406" s="27"/>
      <c r="F406" s="27"/>
      <c r="G406" s="27"/>
      <c r="H406" s="27">
        <v>0.95833333333333337</v>
      </c>
      <c r="I406" s="27"/>
      <c r="J406" s="27">
        <v>0.75</v>
      </c>
      <c r="K406" s="17"/>
      <c r="L406" s="6"/>
      <c r="M406" s="21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D406" s="6">
        <f>IF((D405&lt;&gt;"")*(D409=""),IF((D405&lt;=#REF!)*((D406&gt;=#REF!)+(D406&lt;2/24)),1,0),0)</f>
        <v>0</v>
      </c>
      <c r="AE406" s="6">
        <f>IF((E405&lt;&gt;"")*(E409=""),IF((E405&lt;=#REF!)*((E406&gt;=#REF!)+(E406&lt;2/24)),1,0),0)</f>
        <v>0</v>
      </c>
      <c r="AF406" s="6">
        <f>IF((F405&lt;&gt;"")*(F409=""),IF((F405&lt;=#REF!)*((F406&gt;=#REF!)+(F406&lt;2/24)),1,0),0)</f>
        <v>0</v>
      </c>
      <c r="AG406" s="6">
        <f>IF((G405&lt;&gt;"")*(G409=""),IF((G405&lt;=#REF!)*((G406&gt;=#REF!)+(G406&lt;2/24)),1,0),0)</f>
        <v>0</v>
      </c>
      <c r="AH406" s="6" t="e">
        <f>IF((H405&lt;&gt;"")*(H409=""),IF((H405&lt;=#REF!)*((H406&gt;=#REF!)+(H406&lt;2/24)),1,0),0)</f>
        <v>#REF!</v>
      </c>
      <c r="AI406" s="6">
        <f>IF((I405&lt;&gt;"")*(I409=""),IF((I405&lt;=#REF!)*((I406&gt;=#REF!)+(I406&lt;2/24)),1,0),0)</f>
        <v>0</v>
      </c>
      <c r="AJ406" s="6" t="e">
        <f>IF((J405&lt;&gt;"")*(J409=""),IF((J405&lt;=#REF!)*((J406&gt;=#REF!)+(J406&lt;2/24)),1,0),0)</f>
        <v>#REF!</v>
      </c>
    </row>
    <row r="407" spans="1:36" x14ac:dyDescent="0.2">
      <c r="A407" s="39"/>
      <c r="B407" s="40"/>
      <c r="C407" s="15" t="s">
        <v>2</v>
      </c>
      <c r="D407" s="27"/>
      <c r="E407" s="27"/>
      <c r="F407" s="27"/>
      <c r="G407" s="27"/>
      <c r="H407" s="27"/>
      <c r="I407" s="27"/>
      <c r="J407" s="4"/>
      <c r="K407" s="17"/>
      <c r="L407" s="6"/>
      <c r="M407" s="21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D407" s="6">
        <f>IF((D405&lt;&gt;"")*(D409=""),IF((D405&lt;=#REF!)*((D406&gt;=#REF!)+(D406&lt;2/24)),1,0),0)</f>
        <v>0</v>
      </c>
      <c r="AE407" s="6">
        <f>IF((E405&lt;&gt;"")*(E409=""),IF((E405&lt;=#REF!)*((E406&gt;=#REF!)+(E406&lt;2/24)),1,0),0)</f>
        <v>0</v>
      </c>
      <c r="AF407" s="6">
        <f>IF((F405&lt;&gt;"")*(F409=""),IF((F405&lt;=#REF!)*((F406&gt;=#REF!)+(F406&lt;2/24)),1,0),0)</f>
        <v>0</v>
      </c>
      <c r="AG407" s="6">
        <f>IF((G405&lt;&gt;"")*(G409=""),IF((G405&lt;=#REF!)*((G406&gt;=#REF!)+(G406&lt;2/24)),1,0),0)</f>
        <v>0</v>
      </c>
      <c r="AH407" s="6" t="e">
        <f>IF((H405&lt;&gt;"")*(H409=""),IF((H405&lt;=#REF!)*((H406&gt;=#REF!)+(H406&lt;2/24)),1,0),0)</f>
        <v>#REF!</v>
      </c>
      <c r="AI407" s="6">
        <f>IF((I405&lt;&gt;"")*(I409=""),IF((I405&lt;=#REF!)*((I406&gt;=#REF!)+(I406&lt;2/24)),1,0),0)</f>
        <v>0</v>
      </c>
      <c r="AJ407" s="6" t="e">
        <f>IF((J405&lt;&gt;"")*(J409=""),IF((J405&lt;=#REF!)*((J406&gt;=#REF!)+(J406&lt;2/24)),1,0),0)</f>
        <v>#REF!</v>
      </c>
    </row>
    <row r="408" spans="1:36" x14ac:dyDescent="0.2">
      <c r="A408" s="39"/>
      <c r="B408" s="40"/>
      <c r="C408" s="15" t="s">
        <v>3</v>
      </c>
      <c r="D408" s="57" t="str">
        <f t="shared" ref="D408:G408" si="236">IF(D405="","",IF(D406&gt;D405,(D406-D405-D407)*24,(1-D405-D407+D406)*24))</f>
        <v/>
      </c>
      <c r="E408" s="43" t="str">
        <f t="shared" si="236"/>
        <v/>
      </c>
      <c r="F408" s="43" t="str">
        <f t="shared" si="236"/>
        <v/>
      </c>
      <c r="G408" s="43" t="str">
        <f t="shared" si="236"/>
        <v/>
      </c>
      <c r="H408" s="43">
        <v>4.5</v>
      </c>
      <c r="I408" s="43"/>
      <c r="J408" s="44">
        <f t="shared" ref="J408" si="237">IF(J405="","",IF(J406&gt;J405,(J406-J405-J407)*24,(1-J405-J407+J406)*24))</f>
        <v>5.0000000000000009</v>
      </c>
      <c r="K408" s="18">
        <f>SUMIF(D409:J409,"",D408:J408)</f>
        <v>9.5</v>
      </c>
      <c r="L408" s="12">
        <f>SUM(D408:J408)</f>
        <v>9.5</v>
      </c>
      <c r="M408" s="24"/>
      <c r="N408" s="10" t="str">
        <f t="shared" ref="N408:T408" si="238">IF(D409="",D408,0)</f>
        <v/>
      </c>
      <c r="O408" s="10" t="str">
        <f t="shared" si="238"/>
        <v/>
      </c>
      <c r="P408" s="10" t="str">
        <f t="shared" si="238"/>
        <v/>
      </c>
      <c r="Q408" s="10" t="str">
        <f t="shared" si="238"/>
        <v/>
      </c>
      <c r="R408" s="10">
        <f t="shared" si="238"/>
        <v>4.5</v>
      </c>
      <c r="S408" s="10">
        <f t="shared" si="238"/>
        <v>0</v>
      </c>
      <c r="T408" s="10">
        <f t="shared" si="238"/>
        <v>5.0000000000000009</v>
      </c>
      <c r="U408" s="10"/>
      <c r="V408" s="10" t="str">
        <f t="shared" ref="V408:AB408" si="239">D408</f>
        <v/>
      </c>
      <c r="W408" s="10" t="str">
        <f t="shared" si="239"/>
        <v/>
      </c>
      <c r="X408" s="10" t="str">
        <f t="shared" si="239"/>
        <v/>
      </c>
      <c r="Y408" s="10" t="str">
        <f t="shared" si="239"/>
        <v/>
      </c>
      <c r="Z408" s="10">
        <f t="shared" si="239"/>
        <v>4.5</v>
      </c>
      <c r="AA408" s="10">
        <f t="shared" si="239"/>
        <v>0</v>
      </c>
      <c r="AB408" s="10">
        <f t="shared" si="239"/>
        <v>5.0000000000000009</v>
      </c>
      <c r="AD408" s="6">
        <f>IF((D405&lt;&gt;"")*(D409=""),IF((D405&lt;=#REF!)*((D406&gt;=#REF!)+(D406&lt;2/24)),1,0),0)</f>
        <v>0</v>
      </c>
      <c r="AE408" s="6">
        <f>IF((E405&lt;&gt;"")*(E409=""),IF((E405&lt;=#REF!)*((E406&gt;=#REF!)+(E406&lt;2/24)),1,0),0)</f>
        <v>0</v>
      </c>
      <c r="AF408" s="6">
        <f>IF((F405&lt;&gt;"")*(F409=""),IF((F405&lt;=#REF!)*((F406&gt;=#REF!)+(F406&lt;2/24)),1,0),0)</f>
        <v>0</v>
      </c>
      <c r="AG408" s="6">
        <f>IF((G405&lt;&gt;"")*(G409=""),IF((G405&lt;=#REF!)*((G406&gt;=#REF!)+(G406&lt;2/24)),1,0),0)</f>
        <v>0</v>
      </c>
      <c r="AH408" s="6" t="e">
        <f>IF((H405&lt;&gt;"")*(H409=""),IF((H405&lt;=#REF!)*((H406&gt;=#REF!)+(H406&lt;2/24)),1,0),0)</f>
        <v>#REF!</v>
      </c>
      <c r="AI408" s="6">
        <f>IF((I405&lt;&gt;"")*(I409=""),IF((I405&lt;=#REF!)*((I406&gt;=#REF!)+(I406&lt;2/24)),1,0),0)</f>
        <v>0</v>
      </c>
      <c r="AJ408" s="6" t="e">
        <f>IF((J405&lt;&gt;"")*(J409=""),IF((J405&lt;=#REF!)*((J406&gt;=#REF!)+(J406&lt;2/24)),1,0),0)</f>
        <v>#REF!</v>
      </c>
    </row>
    <row r="409" spans="1:36" x14ac:dyDescent="0.2">
      <c r="A409" s="39"/>
      <c r="B409" s="40"/>
      <c r="C409" s="32" t="s">
        <v>4</v>
      </c>
      <c r="D409" s="33"/>
      <c r="E409" s="33"/>
      <c r="F409" s="33"/>
      <c r="G409" s="33"/>
      <c r="H409" s="33"/>
      <c r="I409" s="33"/>
      <c r="J409" s="33"/>
      <c r="K409" s="17"/>
      <c r="L409" s="6"/>
      <c r="M409" s="25"/>
      <c r="N409" s="6"/>
      <c r="O409" s="6"/>
      <c r="P409" s="6"/>
      <c r="Q409" s="6"/>
      <c r="R409" s="6"/>
      <c r="S409" s="6"/>
      <c r="T409" s="6"/>
      <c r="U409" s="6"/>
      <c r="V409" s="20"/>
      <c r="W409" s="20"/>
      <c r="X409" s="20"/>
      <c r="Y409" s="20"/>
      <c r="Z409" s="20"/>
      <c r="AA409" s="20"/>
      <c r="AB409" s="20"/>
      <c r="AD409" s="6">
        <f>IF((D405&lt;&gt;"")*(D409=""),IF((D405&lt;=#REF!)*((D406&gt;=#REF!)+(D406&lt;2/24)),1,0),0)</f>
        <v>0</v>
      </c>
      <c r="AE409" s="6">
        <f>IF((E405&lt;&gt;"")*(E409=""),IF((E405&lt;=#REF!)*((E406&gt;=#REF!)+(E406&lt;2/24)),1,0),0)</f>
        <v>0</v>
      </c>
      <c r="AF409" s="6">
        <f>IF((F405&lt;&gt;"")*(F409=""),IF((F405&lt;=#REF!)*((F406&gt;=#REF!)+(F406&lt;2/24)),1,0),0)</f>
        <v>0</v>
      </c>
      <c r="AG409" s="6">
        <f>IF((G405&lt;&gt;"")*(G409=""),IF((G405&lt;=#REF!)*((G406&gt;=#REF!)+(G406&lt;2/24)),1,0),0)</f>
        <v>0</v>
      </c>
      <c r="AH409" s="6" t="e">
        <f>IF((H405&lt;&gt;"")*(H409=""),IF((H405&lt;=#REF!)*((H406&gt;=#REF!)+(H406&lt;2/24)),1,0),0)</f>
        <v>#REF!</v>
      </c>
      <c r="AI409" s="6">
        <f>IF((I405&lt;&gt;"")*(I409=""),IF((I405&lt;=#REF!)*((I406&gt;=#REF!)+(I406&lt;2/24)),1,0),0)</f>
        <v>0</v>
      </c>
      <c r="AJ409" s="6" t="e">
        <f>IF((J405&lt;&gt;"")*(J409=""),IF((J405&lt;=#REF!)*((J406&gt;=#REF!)+(J406&lt;2/24)),1,0),0)</f>
        <v>#REF!</v>
      </c>
    </row>
    <row r="410" spans="1:36" ht="13.5" thickBot="1" x14ac:dyDescent="0.25">
      <c r="A410" s="41"/>
      <c r="B410" s="42"/>
      <c r="C410" s="35" t="s">
        <v>28</v>
      </c>
      <c r="D410" s="36"/>
      <c r="E410" s="36"/>
      <c r="F410" s="36"/>
      <c r="G410" s="36"/>
      <c r="H410" s="36"/>
      <c r="I410" s="36"/>
      <c r="J410" s="36"/>
      <c r="K410" s="34"/>
      <c r="L410" s="6"/>
      <c r="M410" s="25"/>
      <c r="N410" s="6"/>
      <c r="O410" s="6"/>
      <c r="P410" s="6"/>
      <c r="Q410" s="6"/>
      <c r="R410" s="6"/>
      <c r="S410" s="6"/>
      <c r="T410" s="6"/>
      <c r="U410" s="6"/>
      <c r="V410" s="20"/>
      <c r="W410" s="20"/>
      <c r="X410" s="20"/>
      <c r="Y410" s="20"/>
      <c r="Z410" s="20"/>
      <c r="AA410" s="20"/>
      <c r="AB410" s="20"/>
      <c r="AD410" s="6"/>
      <c r="AE410" s="6"/>
      <c r="AF410" s="6"/>
      <c r="AG410" s="6"/>
      <c r="AH410" s="6"/>
      <c r="AI410" s="6"/>
      <c r="AJ410" s="6"/>
    </row>
    <row r="411" spans="1:36" x14ac:dyDescent="0.2">
      <c r="A411" s="37" t="s">
        <v>52</v>
      </c>
      <c r="B411" s="38" t="s">
        <v>51</v>
      </c>
      <c r="C411" s="14" t="s">
        <v>0</v>
      </c>
      <c r="D411" s="26"/>
      <c r="E411" s="26"/>
      <c r="F411" s="26"/>
      <c r="G411" s="26"/>
      <c r="H411" s="26"/>
      <c r="I411" s="26"/>
      <c r="J411" s="26"/>
      <c r="K411" s="16"/>
      <c r="L411" s="6"/>
      <c r="M411" s="21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D411" s="6">
        <f>IF((D411&lt;&gt;"")*(D415=""),IF((D411&lt;=$B$438)*((D412&gt;=$C$438)+(D412&lt;2/24)),1,0),0)</f>
        <v>0</v>
      </c>
      <c r="AE411" s="6">
        <f>IF((E411&lt;&gt;"")*(E415=""),IF((E411&lt;=$B$438)*((E412&gt;=$C$438)+(E412&lt;2/24)),1,0),0)</f>
        <v>0</v>
      </c>
      <c r="AF411" s="6">
        <f>IF((F411&lt;&gt;"")*(F415=""),IF((F411&lt;=$B$438)*((F412&gt;=$C$438)+(F412&lt;2/24)),1,0),0)</f>
        <v>0</v>
      </c>
      <c r="AG411" s="6">
        <f>IF((G411&lt;&gt;"")*(G415=""),IF((G411&lt;=$B$438)*((G412&gt;=$C$438)+(G412&lt;2/24)),1,0),0)</f>
        <v>0</v>
      </c>
      <c r="AH411" s="6">
        <f>IF((H411&lt;&gt;"")*(H415=""),IF((H411&lt;=$B$438)*((H412&gt;=$C$438)+(H412&lt;2/24)),1,0),0)</f>
        <v>0</v>
      </c>
      <c r="AI411" s="6">
        <f>IF((I411&lt;&gt;"")*(I415=""),IF((I411&lt;=$B$438)*((I412&gt;=$C$438)+(I412&lt;2/24)),1,0),0)</f>
        <v>0</v>
      </c>
      <c r="AJ411" s="6">
        <f>IF((J411&lt;&gt;"")*(J415=""),IF((J411&lt;=$B$438)*((J412&gt;=$C$438)+(J412&lt;2/24)),1,0),0)</f>
        <v>0</v>
      </c>
    </row>
    <row r="412" spans="1:36" x14ac:dyDescent="0.2">
      <c r="A412" s="39"/>
      <c r="B412" s="40"/>
      <c r="C412" s="15" t="s">
        <v>1</v>
      </c>
      <c r="D412" s="27"/>
      <c r="E412" s="27"/>
      <c r="F412" s="27"/>
      <c r="G412" s="27"/>
      <c r="H412" s="27"/>
      <c r="I412" s="27"/>
      <c r="J412" s="27"/>
      <c r="K412" s="17"/>
      <c r="L412" s="6"/>
      <c r="M412" s="21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D412" s="6">
        <f>IF((D411&lt;&gt;"")*(D415=""),IF((D411&lt;=$B$439)*((D412&gt;=$C$439)+(D412&lt;2/24)),1,0),0)</f>
        <v>0</v>
      </c>
      <c r="AE412" s="6">
        <f>IF((E411&lt;&gt;"")*(E415=""),IF((E411&lt;=$B$439)*((E412&gt;=$C$439)+(E412&lt;2/24)),1,0),0)</f>
        <v>0</v>
      </c>
      <c r="AF412" s="6">
        <f>IF((F411&lt;&gt;"")*(F415=""),IF((F411&lt;=$B$439)*((F412&gt;=$C$439)+(F412&lt;2/24)),1,0),0)</f>
        <v>0</v>
      </c>
      <c r="AG412" s="6">
        <f>IF((G411&lt;&gt;"")*(G415=""),IF((G411&lt;=$B$439)*((G412&gt;=$C$439)+(G412&lt;2/24)),1,0),0)</f>
        <v>0</v>
      </c>
      <c r="AH412" s="6">
        <f>IF((H411&lt;&gt;"")*(H415=""),IF((H411&lt;=$B$439)*((H412&gt;=$C$439)+(H412&lt;2/24)),1,0),0)</f>
        <v>0</v>
      </c>
      <c r="AI412" s="6">
        <f>IF((I411&lt;&gt;"")*(I415=""),IF((I411&lt;=$B$439)*((I412&gt;=$C$439)+(I412&lt;2/24)),1,0),0)</f>
        <v>0</v>
      </c>
      <c r="AJ412" s="6">
        <f>IF((J411&lt;&gt;"")*(J415=""),IF((J411&lt;=$B$439)*((J412&gt;=$C$439)+(J412&lt;2/24)),1,0),0)</f>
        <v>0</v>
      </c>
    </row>
    <row r="413" spans="1:36" x14ac:dyDescent="0.2">
      <c r="A413" s="39"/>
      <c r="B413" s="40"/>
      <c r="C413" s="15" t="s">
        <v>2</v>
      </c>
      <c r="D413" s="4"/>
      <c r="E413" s="4"/>
      <c r="F413" s="4"/>
      <c r="G413" s="73"/>
      <c r="H413" s="4"/>
      <c r="I413" s="4"/>
      <c r="J413" s="4"/>
      <c r="K413" s="17"/>
      <c r="L413" s="6"/>
      <c r="M413" s="21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D413" s="6">
        <f>IF((D411&lt;&gt;"")*(D415=""),IF((D411&lt;=$B$440)*((D412&gt;=$C$440)+(D412&lt;2/24)),1,0),0)</f>
        <v>0</v>
      </c>
      <c r="AE413" s="6">
        <f>IF((E411&lt;&gt;"")*(E415=""),IF((E411&lt;=$B$440)*((E412&gt;=$C$440)+(E412&lt;2/24)),1,0),0)</f>
        <v>0</v>
      </c>
      <c r="AF413" s="6">
        <f>IF((F411&lt;&gt;"")*(F415=""),IF((F411&lt;=$B$440)*((F412&gt;=$C$440)+(F412&lt;2/24)),1,0),0)</f>
        <v>0</v>
      </c>
      <c r="AG413" s="6">
        <f>IF((G411&lt;&gt;"")*(G415=""),IF((G411&lt;=$B$440)*((G412&gt;=$C$440)+(G412&lt;2/24)),1,0),0)</f>
        <v>0</v>
      </c>
      <c r="AH413" s="6">
        <f>IF((H411&lt;&gt;"")*(H415=""),IF((H411&lt;=$B$440)*((H412&gt;=$C$440)+(H412&lt;2/24)),1,0),0)</f>
        <v>0</v>
      </c>
      <c r="AI413" s="6">
        <f>IF((I411&lt;&gt;"")*(I415=""),IF((I411&lt;=$B$440)*((I412&gt;=$C$440)+(I412&lt;2/24)),1,0),0)</f>
        <v>0</v>
      </c>
      <c r="AJ413" s="6">
        <f>IF((J411&lt;&gt;"")*(J415=""),IF((J411&lt;=$B$440)*((J412&gt;=$C$440)+(J412&lt;2/24)),1,0),0)</f>
        <v>0</v>
      </c>
    </row>
    <row r="414" spans="1:36" x14ac:dyDescent="0.2">
      <c r="A414" s="39"/>
      <c r="B414" s="40"/>
      <c r="C414" s="15" t="s">
        <v>3</v>
      </c>
      <c r="D414" s="43"/>
      <c r="E414" s="43" t="str">
        <f t="shared" ref="E414:J414" si="240">IF(E411="","",IF(E412&gt;E411,(E412-E411-E413)*24,(1-E411-E413+E412)*24))</f>
        <v/>
      </c>
      <c r="F414" s="43" t="str">
        <f t="shared" si="240"/>
        <v/>
      </c>
      <c r="G414" s="43"/>
      <c r="H414" s="43"/>
      <c r="I414" s="43"/>
      <c r="J414" s="44" t="str">
        <f t="shared" si="240"/>
        <v/>
      </c>
      <c r="K414" s="18">
        <f>SUMIF(D415:J415,"",D414:J414)</f>
        <v>0</v>
      </c>
      <c r="L414" s="12">
        <f>SUM(D414:J414)</f>
        <v>0</v>
      </c>
      <c r="M414" s="24"/>
      <c r="N414" s="10">
        <f t="shared" ref="N414" si="241">IF(D415="",D414,0)</f>
        <v>0</v>
      </c>
      <c r="O414" s="10" t="str">
        <f t="shared" ref="O414" si="242">IF(E415="",E414,0)</f>
        <v/>
      </c>
      <c r="P414" s="10" t="str">
        <f t="shared" ref="P414" si="243">IF(F415="",F414,0)</f>
        <v/>
      </c>
      <c r="Q414" s="10">
        <f t="shared" ref="Q414" si="244">IF(G415="",G414,0)</f>
        <v>0</v>
      </c>
      <c r="R414" s="10">
        <f t="shared" ref="R414" si="245">IF(H415="",H414,0)</f>
        <v>0</v>
      </c>
      <c r="S414" s="10">
        <f t="shared" ref="S414" si="246">IF(I415="",I414,0)</f>
        <v>0</v>
      </c>
      <c r="T414" s="10" t="str">
        <f t="shared" ref="T414" si="247">IF(J415="",J414,0)</f>
        <v/>
      </c>
      <c r="U414" s="10"/>
      <c r="V414" s="10">
        <f t="shared" ref="V414" si="248">D414</f>
        <v>0</v>
      </c>
      <c r="W414" s="10" t="str">
        <f t="shared" ref="W414" si="249">E414</f>
        <v/>
      </c>
      <c r="X414" s="10" t="str">
        <f t="shared" ref="X414" si="250">F414</f>
        <v/>
      </c>
      <c r="Y414" s="10">
        <f t="shared" ref="Y414" si="251">G414</f>
        <v>0</v>
      </c>
      <c r="Z414" s="10">
        <f t="shared" ref="Z414" si="252">H414</f>
        <v>0</v>
      </c>
      <c r="AA414" s="10">
        <f t="shared" ref="AA414" si="253">I414</f>
        <v>0</v>
      </c>
      <c r="AB414" s="10" t="str">
        <f t="shared" ref="AB414" si="254">J414</f>
        <v/>
      </c>
      <c r="AD414" s="6">
        <f>IF((D411&lt;&gt;"")*(D415=""),IF((D411&lt;=$B$441)*((D412&gt;=$C$441)+(D412&lt;2/24)),1,0),0)</f>
        <v>0</v>
      </c>
      <c r="AE414" s="6">
        <f>IF((E411&lt;&gt;"")*(E415=""),IF((E411&lt;=$B$441)*((E412&gt;=$C$441)+(E412&lt;2/24)),1,0),0)</f>
        <v>0</v>
      </c>
      <c r="AF414" s="6">
        <f>IF((F411&lt;&gt;"")*(F415=""),IF((F411&lt;=$B$441)*((F412&gt;=$C$441)+(F412&lt;2/24)),1,0),0)</f>
        <v>0</v>
      </c>
      <c r="AG414" s="6">
        <f>IF((G411&lt;&gt;"")*(G415=""),IF((G411&lt;=$B$441)*((G412&gt;=$C$441)+(G412&lt;2/24)),1,0),0)</f>
        <v>0</v>
      </c>
      <c r="AH414" s="6">
        <f>IF((H411&lt;&gt;"")*(H415=""),IF((H411&lt;=$B$441)*((H412&gt;=$C$441)+(H412&lt;2/24)),1,0),0)</f>
        <v>0</v>
      </c>
      <c r="AI414" s="6">
        <f>IF((I411&lt;&gt;"")*(I415=""),IF((I411&lt;=$B$441)*((I412&gt;=$C$441)+(I412&lt;2/24)),1,0),0)</f>
        <v>0</v>
      </c>
      <c r="AJ414" s="6">
        <f>IF((J411&lt;&gt;"")*(J415=""),IF((J411&lt;=$B$441)*((J412&gt;=$C$441)+(J412&lt;2/24)),1,0),0)</f>
        <v>0</v>
      </c>
    </row>
    <row r="415" spans="1:36" x14ac:dyDescent="0.2">
      <c r="A415" s="39"/>
      <c r="B415" s="40"/>
      <c r="C415" s="32" t="s">
        <v>4</v>
      </c>
      <c r="D415" s="33"/>
      <c r="E415" s="33"/>
      <c r="F415" s="33"/>
      <c r="G415" s="33"/>
      <c r="H415" s="33"/>
      <c r="I415" s="33"/>
      <c r="J415" s="33"/>
      <c r="K415" s="17"/>
      <c r="L415" s="6"/>
      <c r="M415" s="25"/>
      <c r="N415" s="6"/>
      <c r="O415" s="6"/>
      <c r="P415" s="6"/>
      <c r="Q415" s="6"/>
      <c r="R415" s="6"/>
      <c r="S415" s="6"/>
      <c r="T415" s="6"/>
      <c r="U415" s="6"/>
      <c r="V415" s="20"/>
      <c r="W415" s="20"/>
      <c r="X415" s="20"/>
      <c r="Y415" s="20"/>
      <c r="Z415" s="20"/>
      <c r="AA415" s="20"/>
      <c r="AB415" s="20"/>
      <c r="AD415" s="6">
        <f>IF((D411&lt;&gt;"")*(D415=""),IF((D411&lt;=$B$442)*((D412&gt;=$C$442)+(D412&lt;2/24)),1,0),0)</f>
        <v>0</v>
      </c>
      <c r="AE415" s="6">
        <f>IF((E411&lt;&gt;"")*(E415=""),IF((E411&lt;=$B$442)*((E412&gt;=$C$442)+(E412&lt;2/24)),1,0),0)</f>
        <v>0</v>
      </c>
      <c r="AF415" s="6">
        <f>IF((F411&lt;&gt;"")*(F415=""),IF((F411&lt;=$B$442)*((F412&gt;=$C$442)+(F412&lt;2/24)),1,0),0)</f>
        <v>0</v>
      </c>
      <c r="AG415" s="6">
        <f>IF((G411&lt;&gt;"")*(G415=""),IF((G411&lt;=$B$442)*((G412&gt;=$C$442)+(G412&lt;2/24)),1,0),0)</f>
        <v>0</v>
      </c>
      <c r="AH415" s="6">
        <f>IF((H411&lt;&gt;"")*(H415=""),IF((H411&lt;=$B$442)*((H412&gt;=$C$442)+(H412&lt;2/24)),1,0),0)</f>
        <v>0</v>
      </c>
      <c r="AI415" s="6">
        <f>IF((I411&lt;&gt;"")*(I415=""),IF((I411&lt;=$B$442)*((I412&gt;=$C$442)+(I412&lt;2/24)),1,0),0)</f>
        <v>0</v>
      </c>
      <c r="AJ415" s="6">
        <f>IF((J411&lt;&gt;"")*(J415=""),IF((J411&lt;=$B$442)*((J412&gt;=$C$442)+(J412&lt;2/24)),1,0),0)</f>
        <v>0</v>
      </c>
    </row>
    <row r="416" spans="1:36" ht="13.5" thickBot="1" x14ac:dyDescent="0.25">
      <c r="A416" s="41"/>
      <c r="B416" s="42"/>
      <c r="C416" s="35" t="s">
        <v>28</v>
      </c>
      <c r="D416" s="36"/>
      <c r="E416" s="36"/>
      <c r="F416" s="36"/>
      <c r="G416" s="36"/>
      <c r="H416" s="36"/>
      <c r="I416" s="36"/>
      <c r="J416" s="36"/>
      <c r="K416" s="34"/>
      <c r="L416" s="6"/>
      <c r="M416" s="25"/>
      <c r="N416" s="6"/>
      <c r="O416" s="6"/>
      <c r="P416" s="6"/>
      <c r="Q416" s="6"/>
      <c r="R416" s="6"/>
      <c r="S416" s="6"/>
      <c r="T416" s="6"/>
      <c r="U416" s="6"/>
      <c r="V416" s="20"/>
      <c r="W416" s="20"/>
      <c r="X416" s="20"/>
      <c r="Y416" s="20"/>
      <c r="Z416" s="20"/>
      <c r="AA416" s="20"/>
      <c r="AB416" s="20"/>
      <c r="AD416" s="6"/>
      <c r="AE416" s="6"/>
      <c r="AF416" s="6"/>
      <c r="AG416" s="6"/>
      <c r="AH416" s="6"/>
      <c r="AI416" s="6"/>
      <c r="AJ416" s="6"/>
    </row>
    <row r="417" spans="1:36" x14ac:dyDescent="0.2">
      <c r="A417" s="37" t="s">
        <v>119</v>
      </c>
      <c r="B417" s="38" t="s">
        <v>45</v>
      </c>
      <c r="C417" s="14" t="s">
        <v>0</v>
      </c>
      <c r="D417" s="26">
        <v>0.54166666666666663</v>
      </c>
      <c r="E417" s="26"/>
      <c r="F417" s="26"/>
      <c r="G417" s="26">
        <v>0.54166666666666663</v>
      </c>
      <c r="H417" s="26">
        <v>0.77083333333333337</v>
      </c>
      <c r="I417" s="26"/>
      <c r="J417" s="26"/>
      <c r="K417" s="16"/>
      <c r="L417" s="6"/>
      <c r="M417" s="21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D417" s="6" t="e">
        <f>IF((D417&lt;&gt;"")*(D421=""),IF((D417&lt;=#REF!)*((D418&gt;=#REF!)+(D418&lt;2/24)),1,0),0)</f>
        <v>#REF!</v>
      </c>
      <c r="AE417" s="6">
        <f>IF((E417&lt;&gt;"")*(E421=""),IF((E417&lt;=#REF!)*((E418&gt;=#REF!)+(E418&lt;2/24)),1,0),0)</f>
        <v>0</v>
      </c>
      <c r="AF417" s="6">
        <f>IF((F417&lt;&gt;"")*(F421=""),IF((F417&lt;=#REF!)*((F418&gt;=#REF!)+(F418&lt;2/24)),1,0),0)</f>
        <v>0</v>
      </c>
      <c r="AG417" s="6" t="e">
        <f>IF((G417&lt;&gt;"")*(G421=""),IF((G417&lt;=#REF!)*((G418&gt;=#REF!)+(G418&lt;2/24)),1,0),0)</f>
        <v>#REF!</v>
      </c>
      <c r="AH417" s="6" t="e">
        <f>IF((H417&lt;&gt;"")*(H421=""),IF((H417&lt;=#REF!)*((H418&gt;=#REF!)+(H418&lt;2/24)),1,0),0)</f>
        <v>#REF!</v>
      </c>
      <c r="AI417" s="6">
        <f>IF((I417&lt;&gt;"")*(I421=""),IF((I417&lt;=#REF!)*((I418&gt;=#REF!)+(I418&lt;2/24)),1,0),0)</f>
        <v>0</v>
      </c>
      <c r="AJ417" s="6">
        <f>IF((J417&lt;&gt;"")*(J421=""),IF((J417&lt;=#REF!)*((J418&gt;=#REF!)+(J418&lt;2/24)),1,0),0)</f>
        <v>0</v>
      </c>
    </row>
    <row r="418" spans="1:36" x14ac:dyDescent="0.2">
      <c r="A418" s="39"/>
      <c r="B418" s="40"/>
      <c r="C418" s="15" t="s">
        <v>1</v>
      </c>
      <c r="D418" s="27">
        <v>0.75</v>
      </c>
      <c r="E418" s="27"/>
      <c r="F418" s="27"/>
      <c r="G418" s="27">
        <v>0.75</v>
      </c>
      <c r="H418" s="27">
        <v>0.95833333333333337</v>
      </c>
      <c r="I418" s="27"/>
      <c r="J418" s="27"/>
      <c r="K418" s="17"/>
      <c r="L418" s="6"/>
      <c r="M418" s="21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D418" s="6" t="e">
        <f>IF((D417&lt;&gt;"")*(D421=""),IF((D417&lt;=#REF!)*((D418&gt;=#REF!)+(D418&lt;2/24)),1,0),0)</f>
        <v>#REF!</v>
      </c>
      <c r="AE418" s="6">
        <f>IF((E417&lt;&gt;"")*(E421=""),IF((E417&lt;=#REF!)*((E418&gt;=#REF!)+(E418&lt;2/24)),1,0),0)</f>
        <v>0</v>
      </c>
      <c r="AF418" s="6">
        <f>IF((F417&lt;&gt;"")*(F421=""),IF((F417&lt;=#REF!)*((F418&gt;=#REF!)+(F418&lt;2/24)),1,0),0)</f>
        <v>0</v>
      </c>
      <c r="AG418" s="6" t="e">
        <f>IF((G417&lt;&gt;"")*(G421=""),IF((G417&lt;=#REF!)*((G418&gt;=#REF!)+(G418&lt;2/24)),1,0),0)</f>
        <v>#REF!</v>
      </c>
      <c r="AH418" s="6" t="e">
        <f>IF((H417&lt;&gt;"")*(H421=""),IF((H417&lt;=#REF!)*((H418&gt;=#REF!)+(H418&lt;2/24)),1,0),0)</f>
        <v>#REF!</v>
      </c>
      <c r="AI418" s="6">
        <f>IF((I417&lt;&gt;"")*(I421=""),IF((I417&lt;=#REF!)*((I418&gt;=#REF!)+(I418&lt;2/24)),1,0),0)</f>
        <v>0</v>
      </c>
      <c r="AJ418" s="6">
        <f>IF((J417&lt;&gt;"")*(J421=""),IF((J417&lt;=#REF!)*((J418&gt;=#REF!)+(J418&lt;2/24)),1,0),0)</f>
        <v>0</v>
      </c>
    </row>
    <row r="419" spans="1:36" x14ac:dyDescent="0.2">
      <c r="A419" s="39"/>
      <c r="B419" s="40"/>
      <c r="C419" s="15" t="s">
        <v>2</v>
      </c>
      <c r="D419" s="27"/>
      <c r="E419" s="27"/>
      <c r="F419" s="27"/>
      <c r="G419" s="27"/>
      <c r="H419" s="27"/>
      <c r="I419" s="27"/>
      <c r="J419" s="4"/>
      <c r="K419" s="17"/>
      <c r="L419" s="6"/>
      <c r="M419" s="21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D419" s="6" t="e">
        <f>IF((D417&lt;&gt;"")*(D421=""),IF((D417&lt;=#REF!)*((D418&gt;=#REF!)+(D418&lt;2/24)),1,0),0)</f>
        <v>#REF!</v>
      </c>
      <c r="AE419" s="6">
        <f>IF((E417&lt;&gt;"")*(E421=""),IF((E417&lt;=#REF!)*((E418&gt;=#REF!)+(E418&lt;2/24)),1,0),0)</f>
        <v>0</v>
      </c>
      <c r="AF419" s="6">
        <f>IF((F417&lt;&gt;"")*(F421=""),IF((F417&lt;=#REF!)*((F418&gt;=#REF!)+(F418&lt;2/24)),1,0),0)</f>
        <v>0</v>
      </c>
      <c r="AG419" s="6" t="e">
        <f>IF((G417&lt;&gt;"")*(G421=""),IF((G417&lt;=#REF!)*((G418&gt;=#REF!)+(G418&lt;2/24)),1,0),0)</f>
        <v>#REF!</v>
      </c>
      <c r="AH419" s="6" t="e">
        <f>IF((H417&lt;&gt;"")*(H421=""),IF((H417&lt;=#REF!)*((H418&gt;=#REF!)+(H418&lt;2/24)),1,0),0)</f>
        <v>#REF!</v>
      </c>
      <c r="AI419" s="6">
        <f>IF((I417&lt;&gt;"")*(I421=""),IF((I417&lt;=#REF!)*((I418&gt;=#REF!)+(I418&lt;2/24)),1,0),0)</f>
        <v>0</v>
      </c>
      <c r="AJ419" s="6">
        <f>IF((J417&lt;&gt;"")*(J421=""),IF((J417&lt;=#REF!)*((J418&gt;=#REF!)+(J418&lt;2/24)),1,0),0)</f>
        <v>0</v>
      </c>
    </row>
    <row r="420" spans="1:36" x14ac:dyDescent="0.2">
      <c r="A420" s="39"/>
      <c r="B420" s="40"/>
      <c r="C420" s="15" t="s">
        <v>3</v>
      </c>
      <c r="D420" s="57">
        <f t="shared" ref="D420:H420" si="255">IF(D417="","",IF(D418&gt;D417,(D418-D417-D419)*24,(1-D417-D419+D418)*24))</f>
        <v>5.0000000000000009</v>
      </c>
      <c r="E420" s="43" t="str">
        <f t="shared" si="255"/>
        <v/>
      </c>
      <c r="F420" s="43" t="str">
        <f t="shared" si="255"/>
        <v/>
      </c>
      <c r="G420" s="43">
        <f t="shared" si="255"/>
        <v>5.0000000000000009</v>
      </c>
      <c r="H420" s="43">
        <f t="shared" si="255"/>
        <v>4.5</v>
      </c>
      <c r="I420" s="57"/>
      <c r="J420" s="44" t="str">
        <f t="shared" ref="J420" si="256">IF(J417="","",IF(J418&gt;J417,(J418-J417-J419)*24,(1-J417-J419+J418)*24))</f>
        <v/>
      </c>
      <c r="K420" s="18">
        <f>SUMIF(D421:J421,"",D420:J420)</f>
        <v>14.500000000000002</v>
      </c>
      <c r="L420" s="12">
        <f>SUM(D420:J420)</f>
        <v>14.500000000000002</v>
      </c>
      <c r="M420" s="24"/>
      <c r="N420" s="10">
        <f t="shared" ref="N420" si="257">IF(D421="",D420,0)</f>
        <v>5.0000000000000009</v>
      </c>
      <c r="O420" s="10" t="str">
        <f t="shared" ref="O420" si="258">IF(E421="",E420,0)</f>
        <v/>
      </c>
      <c r="P420" s="10" t="str">
        <f t="shared" ref="P420" si="259">IF(F421="",F420,0)</f>
        <v/>
      </c>
      <c r="Q420" s="10">
        <f t="shared" ref="Q420" si="260">IF(G421="",G420,0)</f>
        <v>5.0000000000000009</v>
      </c>
      <c r="R420" s="10">
        <f t="shared" ref="R420" si="261">IF(H421="",H420,0)</f>
        <v>4.5</v>
      </c>
      <c r="S420" s="10">
        <f t="shared" ref="S420" si="262">IF(I421="",I420,0)</f>
        <v>0</v>
      </c>
      <c r="T420" s="10" t="str">
        <f t="shared" ref="T420" si="263">IF(J421="",J420,0)</f>
        <v/>
      </c>
      <c r="U420" s="10"/>
      <c r="V420" s="10">
        <f t="shared" ref="V420" si="264">D420</f>
        <v>5.0000000000000009</v>
      </c>
      <c r="W420" s="10" t="str">
        <f t="shared" ref="W420" si="265">E420</f>
        <v/>
      </c>
      <c r="X420" s="10" t="str">
        <f t="shared" ref="X420" si="266">F420</f>
        <v/>
      </c>
      <c r="Y420" s="10">
        <f t="shared" ref="Y420" si="267">G420</f>
        <v>5.0000000000000009</v>
      </c>
      <c r="Z420" s="10">
        <f t="shared" ref="Z420" si="268">H420</f>
        <v>4.5</v>
      </c>
      <c r="AA420" s="10">
        <f t="shared" ref="AA420" si="269">I420</f>
        <v>0</v>
      </c>
      <c r="AB420" s="10" t="str">
        <f t="shared" ref="AB420" si="270">J420</f>
        <v/>
      </c>
      <c r="AD420" s="6" t="e">
        <f>IF((D417&lt;&gt;"")*(D421=""),IF((D417&lt;=#REF!)*((D418&gt;=#REF!)+(D418&lt;2/24)),1,0),0)</f>
        <v>#REF!</v>
      </c>
      <c r="AE420" s="6">
        <f>IF((E417&lt;&gt;"")*(E421=""),IF((E417&lt;=#REF!)*((E418&gt;=#REF!)+(E418&lt;2/24)),1,0),0)</f>
        <v>0</v>
      </c>
      <c r="AF420" s="6">
        <f>IF((F417&lt;&gt;"")*(F421=""),IF((F417&lt;=#REF!)*((F418&gt;=#REF!)+(F418&lt;2/24)),1,0),0)</f>
        <v>0</v>
      </c>
      <c r="AG420" s="6" t="e">
        <f>IF((G417&lt;&gt;"")*(G421=""),IF((G417&lt;=#REF!)*((G418&gt;=#REF!)+(G418&lt;2/24)),1,0),0)</f>
        <v>#REF!</v>
      </c>
      <c r="AH420" s="6" t="e">
        <f>IF((H417&lt;&gt;"")*(H421=""),IF((H417&lt;=#REF!)*((H418&gt;=#REF!)+(H418&lt;2/24)),1,0),0)</f>
        <v>#REF!</v>
      </c>
      <c r="AI420" s="6">
        <f>IF((I417&lt;&gt;"")*(I421=""),IF((I417&lt;=#REF!)*((I418&gt;=#REF!)+(I418&lt;2/24)),1,0),0)</f>
        <v>0</v>
      </c>
      <c r="AJ420" s="6">
        <f>IF((J417&lt;&gt;"")*(J421=""),IF((J417&lt;=#REF!)*((J418&gt;=#REF!)+(J418&lt;2/24)),1,0),0)</f>
        <v>0</v>
      </c>
    </row>
    <row r="421" spans="1:36" x14ac:dyDescent="0.2">
      <c r="A421" s="39"/>
      <c r="B421" s="40"/>
      <c r="C421" s="32" t="s">
        <v>4</v>
      </c>
      <c r="D421" s="33"/>
      <c r="E421" s="33"/>
      <c r="F421" s="33"/>
      <c r="G421" s="33"/>
      <c r="H421" s="33"/>
      <c r="I421" s="33"/>
      <c r="J421" s="33"/>
      <c r="K421" s="17"/>
      <c r="L421" s="6"/>
      <c r="M421" s="25"/>
      <c r="N421" s="6"/>
      <c r="O421" s="6"/>
      <c r="P421" s="6"/>
      <c r="Q421" s="6"/>
      <c r="R421" s="6"/>
      <c r="S421" s="6"/>
      <c r="T421" s="6"/>
      <c r="U421" s="6"/>
      <c r="V421" s="20"/>
      <c r="W421" s="20"/>
      <c r="X421" s="20"/>
      <c r="Y421" s="20"/>
      <c r="Z421" s="20"/>
      <c r="AA421" s="20"/>
      <c r="AB421" s="20"/>
      <c r="AD421" s="6" t="e">
        <f>IF((D417&lt;&gt;"")*(D421=""),IF((D417&lt;=#REF!)*((D418&gt;=#REF!)+(D418&lt;2/24)),1,0),0)</f>
        <v>#REF!</v>
      </c>
      <c r="AE421" s="6">
        <f>IF((E417&lt;&gt;"")*(E421=""),IF((E417&lt;=#REF!)*((E418&gt;=#REF!)+(E418&lt;2/24)),1,0),0)</f>
        <v>0</v>
      </c>
      <c r="AF421" s="6">
        <f>IF((F417&lt;&gt;"")*(F421=""),IF((F417&lt;=#REF!)*((F418&gt;=#REF!)+(F418&lt;2/24)),1,0),0)</f>
        <v>0</v>
      </c>
      <c r="AG421" s="6" t="e">
        <f>IF((G417&lt;&gt;"")*(G421=""),IF((G417&lt;=#REF!)*((G418&gt;=#REF!)+(G418&lt;2/24)),1,0),0)</f>
        <v>#REF!</v>
      </c>
      <c r="AH421" s="6" t="e">
        <f>IF((H417&lt;&gt;"")*(H421=""),IF((H417&lt;=#REF!)*((H418&gt;=#REF!)+(H418&lt;2/24)),1,0),0)</f>
        <v>#REF!</v>
      </c>
      <c r="AI421" s="6">
        <f>IF((I417&lt;&gt;"")*(I421=""),IF((I417&lt;=#REF!)*((I418&gt;=#REF!)+(I418&lt;2/24)),1,0),0)</f>
        <v>0</v>
      </c>
      <c r="AJ421" s="6">
        <f>IF((J417&lt;&gt;"")*(J421=""),IF((J417&lt;=#REF!)*((J418&gt;=#REF!)+(J418&lt;2/24)),1,0),0)</f>
        <v>0</v>
      </c>
    </row>
    <row r="422" spans="1:36" ht="13.5" thickBot="1" x14ac:dyDescent="0.25">
      <c r="A422" s="41"/>
      <c r="B422" s="42"/>
      <c r="C422" s="35" t="s">
        <v>28</v>
      </c>
      <c r="D422" s="93"/>
      <c r="E422" s="93"/>
      <c r="F422" s="93"/>
      <c r="G422" s="93"/>
      <c r="H422" s="93"/>
      <c r="I422" s="93"/>
      <c r="J422" s="93"/>
      <c r="K422" s="94"/>
      <c r="L422" s="6"/>
      <c r="M422" s="25"/>
      <c r="N422" s="6"/>
      <c r="O422" s="6"/>
      <c r="P422" s="6"/>
      <c r="Q422" s="6"/>
      <c r="R422" s="6"/>
      <c r="S422" s="6"/>
      <c r="T422" s="6"/>
      <c r="U422" s="6"/>
      <c r="V422" s="20"/>
      <c r="W422" s="20"/>
      <c r="X422" s="20"/>
      <c r="Y422" s="20"/>
      <c r="Z422" s="20"/>
      <c r="AA422" s="20"/>
      <c r="AB422" s="20"/>
      <c r="AD422" s="6"/>
      <c r="AE422" s="6"/>
      <c r="AF422" s="6"/>
      <c r="AG422" s="6"/>
      <c r="AH422" s="6"/>
      <c r="AI422" s="6"/>
      <c r="AJ422" s="6"/>
    </row>
    <row r="423" spans="1:36" x14ac:dyDescent="0.2">
      <c r="A423" s="37" t="s">
        <v>60</v>
      </c>
      <c r="B423" s="38" t="s">
        <v>51</v>
      </c>
      <c r="C423" s="14" t="s">
        <v>0</v>
      </c>
      <c r="D423" s="26"/>
      <c r="E423" s="26"/>
      <c r="F423" s="26"/>
      <c r="G423" s="26"/>
      <c r="H423" s="26"/>
      <c r="I423" s="26"/>
      <c r="J423" s="26"/>
      <c r="K423" s="16"/>
      <c r="L423" s="6"/>
      <c r="M423" s="25"/>
      <c r="N423" s="6"/>
      <c r="O423" s="6"/>
      <c r="P423" s="6"/>
      <c r="Q423" s="6"/>
      <c r="R423" s="6"/>
      <c r="S423" s="6"/>
      <c r="T423" s="6"/>
      <c r="U423" s="6"/>
      <c r="V423" s="20"/>
      <c r="W423" s="20"/>
      <c r="X423" s="20"/>
      <c r="Y423" s="20"/>
      <c r="Z423" s="20"/>
      <c r="AA423" s="20"/>
      <c r="AB423" s="20"/>
      <c r="AD423" s="6"/>
      <c r="AE423" s="6"/>
      <c r="AF423" s="6"/>
      <c r="AG423" s="6"/>
      <c r="AH423" s="6"/>
      <c r="AI423" s="6"/>
      <c r="AJ423" s="6"/>
    </row>
    <row r="424" spans="1:36" x14ac:dyDescent="0.2">
      <c r="A424" s="39"/>
      <c r="B424" s="40"/>
      <c r="C424" s="15" t="s">
        <v>1</v>
      </c>
      <c r="D424" s="27"/>
      <c r="E424" s="27"/>
      <c r="F424" s="27"/>
      <c r="G424" s="27"/>
      <c r="H424" s="27"/>
      <c r="I424" s="27"/>
      <c r="J424" s="27"/>
      <c r="K424" s="17"/>
      <c r="L424" s="6"/>
      <c r="M424" s="25"/>
      <c r="N424" s="6"/>
      <c r="O424" s="6"/>
      <c r="P424" s="6"/>
      <c r="Q424" s="6"/>
      <c r="R424" s="6"/>
      <c r="S424" s="6"/>
      <c r="T424" s="6"/>
      <c r="U424" s="6"/>
      <c r="V424" s="20"/>
      <c r="W424" s="20"/>
      <c r="X424" s="20"/>
      <c r="Y424" s="20"/>
      <c r="Z424" s="20"/>
      <c r="AA424" s="20"/>
      <c r="AB424" s="20"/>
      <c r="AD424" s="6"/>
      <c r="AE424" s="6"/>
      <c r="AF424" s="6"/>
      <c r="AG424" s="6"/>
      <c r="AH424" s="6"/>
      <c r="AI424" s="6"/>
      <c r="AJ424" s="6"/>
    </row>
    <row r="425" spans="1:36" x14ac:dyDescent="0.2">
      <c r="A425" s="39"/>
      <c r="B425" s="40"/>
      <c r="C425" s="15" t="s">
        <v>2</v>
      </c>
      <c r="D425" s="27"/>
      <c r="E425" s="27"/>
      <c r="F425" s="27"/>
      <c r="G425" s="27"/>
      <c r="H425" s="27"/>
      <c r="I425" s="27"/>
      <c r="J425" s="4"/>
      <c r="K425" s="17"/>
      <c r="L425" s="6"/>
      <c r="M425" s="25"/>
      <c r="N425" s="6"/>
      <c r="O425" s="6"/>
      <c r="P425" s="6"/>
      <c r="Q425" s="6"/>
      <c r="R425" s="6"/>
      <c r="S425" s="6"/>
      <c r="T425" s="6"/>
      <c r="U425" s="6"/>
      <c r="V425" s="20"/>
      <c r="W425" s="20"/>
      <c r="X425" s="20"/>
      <c r="Y425" s="20"/>
      <c r="Z425" s="20"/>
      <c r="AA425" s="20"/>
      <c r="AB425" s="20"/>
      <c r="AD425" s="6"/>
      <c r="AE425" s="6"/>
      <c r="AF425" s="6"/>
      <c r="AG425" s="6"/>
      <c r="AH425" s="6"/>
      <c r="AI425" s="6"/>
      <c r="AJ425" s="6"/>
    </row>
    <row r="426" spans="1:36" x14ac:dyDescent="0.2">
      <c r="A426" s="39"/>
      <c r="B426" s="40"/>
      <c r="C426" s="15" t="s">
        <v>3</v>
      </c>
      <c r="D426" s="57" t="str">
        <f t="shared" ref="D426:H426" si="271">IF(D423="","",IF(D424&gt;D423,(D424-D423-D425)*24,(1-D423-D425+D424)*24))</f>
        <v/>
      </c>
      <c r="E426" s="43" t="str">
        <f t="shared" si="271"/>
        <v/>
      </c>
      <c r="F426" s="43" t="str">
        <f t="shared" si="271"/>
        <v/>
      </c>
      <c r="G426" s="43" t="str">
        <f t="shared" si="271"/>
        <v/>
      </c>
      <c r="H426" s="43" t="str">
        <f t="shared" si="271"/>
        <v/>
      </c>
      <c r="I426" s="57"/>
      <c r="J426" s="44" t="str">
        <f t="shared" ref="J426" si="272">IF(J423="","",IF(J424&gt;J423,(J424-J423-J425)*24,(1-J423-J425+J424)*24))</f>
        <v/>
      </c>
      <c r="K426" s="18">
        <f>SUMIF(D427:J427,"",D426:J426)</f>
        <v>0</v>
      </c>
      <c r="L426" s="12">
        <f>SUM(D426:J426)</f>
        <v>0</v>
      </c>
      <c r="M426" s="25"/>
      <c r="N426" s="6"/>
      <c r="O426" s="6"/>
      <c r="P426" s="6"/>
      <c r="Q426" s="6"/>
      <c r="R426" s="6"/>
      <c r="S426" s="6"/>
      <c r="T426" s="6"/>
      <c r="U426" s="6"/>
      <c r="V426" s="20"/>
      <c r="W426" s="20"/>
      <c r="X426" s="20"/>
      <c r="Y426" s="20"/>
      <c r="Z426" s="20"/>
      <c r="AA426" s="20"/>
      <c r="AB426" s="20"/>
      <c r="AD426" s="6"/>
      <c r="AE426" s="6"/>
      <c r="AF426" s="6"/>
      <c r="AG426" s="6"/>
      <c r="AH426" s="6"/>
      <c r="AI426" s="6"/>
      <c r="AJ426" s="6"/>
    </row>
    <row r="427" spans="1:36" x14ac:dyDescent="0.2">
      <c r="A427" s="39"/>
      <c r="B427" s="40"/>
      <c r="C427" s="32" t="s">
        <v>4</v>
      </c>
      <c r="D427" s="33"/>
      <c r="E427" s="33"/>
      <c r="F427" s="33"/>
      <c r="G427" s="33"/>
      <c r="H427" s="33"/>
      <c r="I427" s="33"/>
      <c r="J427" s="33"/>
      <c r="K427" s="17"/>
      <c r="L427" s="6"/>
      <c r="M427" s="25"/>
      <c r="N427" s="6"/>
      <c r="O427" s="6"/>
      <c r="P427" s="6"/>
      <c r="Q427" s="6"/>
      <c r="R427" s="6"/>
      <c r="S427" s="6"/>
      <c r="T427" s="6"/>
      <c r="U427" s="6"/>
      <c r="V427" s="20"/>
      <c r="W427" s="20"/>
      <c r="X427" s="20"/>
      <c r="Y427" s="20"/>
      <c r="Z427" s="20"/>
      <c r="AA427" s="20"/>
      <c r="AB427" s="20"/>
      <c r="AD427" s="6"/>
      <c r="AE427" s="6"/>
      <c r="AF427" s="6"/>
      <c r="AG427" s="6"/>
      <c r="AH427" s="6"/>
      <c r="AI427" s="6"/>
      <c r="AJ427" s="6"/>
    </row>
    <row r="428" spans="1:36" ht="13.5" thickBot="1" x14ac:dyDescent="0.25">
      <c r="A428" s="41"/>
      <c r="B428" s="42"/>
      <c r="C428" s="35" t="s">
        <v>28</v>
      </c>
      <c r="D428" s="93"/>
      <c r="E428" s="93"/>
      <c r="F428" s="93"/>
      <c r="G428" s="93"/>
      <c r="H428" s="93"/>
      <c r="I428" s="93"/>
      <c r="J428" s="93"/>
      <c r="K428" s="94"/>
      <c r="L428" s="6"/>
      <c r="M428" s="25"/>
      <c r="N428" s="6"/>
      <c r="O428" s="6"/>
      <c r="P428" s="6"/>
      <c r="Q428" s="6"/>
      <c r="R428" s="6"/>
      <c r="S428" s="6"/>
      <c r="T428" s="6"/>
      <c r="U428" s="6"/>
      <c r="V428" s="20"/>
      <c r="W428" s="20"/>
      <c r="X428" s="20"/>
      <c r="Y428" s="20"/>
      <c r="Z428" s="20"/>
      <c r="AA428" s="20"/>
      <c r="AB428" s="20"/>
      <c r="AD428" s="6"/>
      <c r="AE428" s="6"/>
      <c r="AF428" s="6"/>
      <c r="AG428" s="6"/>
      <c r="AH428" s="6"/>
      <c r="AI428" s="6"/>
      <c r="AJ428" s="6"/>
    </row>
    <row r="429" spans="1:36" x14ac:dyDescent="0.2">
      <c r="A429" s="6"/>
      <c r="B429" s="6"/>
      <c r="C429" s="6"/>
      <c r="D429" s="5"/>
      <c r="E429" s="5"/>
      <c r="F429" s="5"/>
      <c r="G429" s="5"/>
      <c r="H429" s="5"/>
      <c r="I429" s="5"/>
      <c r="J429" s="5"/>
      <c r="K429" s="5"/>
      <c r="L429" s="6"/>
      <c r="M429" s="29" t="s">
        <v>26</v>
      </c>
      <c r="N429" s="29" t="s">
        <v>27</v>
      </c>
    </row>
    <row r="430" spans="1:36" x14ac:dyDescent="0.2">
      <c r="A430" s="6"/>
      <c r="B430" s="6"/>
      <c r="C430" s="7" t="s">
        <v>15</v>
      </c>
      <c r="D430" s="11">
        <f>SUM(V4:V236)</f>
        <v>0</v>
      </c>
      <c r="E430" s="11">
        <f>SUM(W4:W236)</f>
        <v>0</v>
      </c>
      <c r="F430" s="11">
        <f>SUM(X4:X236)</f>
        <v>0</v>
      </c>
      <c r="G430" s="11">
        <f>SUM(Y4:Y236)</f>
        <v>0</v>
      </c>
      <c r="H430" s="11">
        <f>SUM(Z4:Z236)</f>
        <v>0</v>
      </c>
      <c r="I430" s="11">
        <f>SUM(AA4:AA236)</f>
        <v>4.5</v>
      </c>
      <c r="J430" s="11">
        <f>SUM(AB4:AB236)</f>
        <v>4.5</v>
      </c>
      <c r="K430" s="12"/>
      <c r="L430" s="12">
        <f>SUM(L4:L429)</f>
        <v>263.5</v>
      </c>
      <c r="M430" s="28">
        <f>+D430+E430+F430+G430+H430+I430+J430</f>
        <v>9</v>
      </c>
      <c r="N430" s="28">
        <f>+L430-M430</f>
        <v>254.5</v>
      </c>
    </row>
    <row r="431" spans="1:36" x14ac:dyDescent="0.2">
      <c r="A431" s="6"/>
      <c r="B431" s="6"/>
      <c r="C431" s="7" t="s">
        <v>16</v>
      </c>
      <c r="D431" s="11">
        <f>SUM(N4:N236)</f>
        <v>0</v>
      </c>
      <c r="E431" s="11">
        <f>SUM(O4:O236)</f>
        <v>0</v>
      </c>
      <c r="F431" s="11">
        <f>SUM(P4:P236)</f>
        <v>0</v>
      </c>
      <c r="G431" s="11">
        <f>SUM(Q4:Q236)</f>
        <v>0</v>
      </c>
      <c r="H431" s="11">
        <f>SUM(R4:R236)</f>
        <v>0</v>
      </c>
      <c r="I431" s="11">
        <f>SUM(S4:S236)</f>
        <v>4.5</v>
      </c>
      <c r="J431" s="11">
        <f>SUM(T4:T236)</f>
        <v>4.5</v>
      </c>
      <c r="K431" s="11">
        <f>SUM(K4:K236)</f>
        <v>9</v>
      </c>
      <c r="L431" s="12"/>
      <c r="M431" s="28">
        <f>+D431+E431+F431+G431+H431+I431+J431</f>
        <v>9</v>
      </c>
      <c r="N431" s="28">
        <f>+K431-M431</f>
        <v>0</v>
      </c>
    </row>
    <row r="432" spans="1:36" x14ac:dyDescent="0.2">
      <c r="A432" s="6"/>
      <c r="B432" s="6"/>
      <c r="C432" s="6"/>
      <c r="D432" s="5"/>
      <c r="E432" s="5"/>
      <c r="F432" s="5"/>
      <c r="G432" s="5"/>
      <c r="H432" s="5"/>
      <c r="I432" s="5"/>
      <c r="J432" s="5"/>
      <c r="K432" s="5"/>
      <c r="L432" s="6"/>
    </row>
    <row r="433" spans="1:12" hidden="1" x14ac:dyDescent="0.2">
      <c r="A433" s="6"/>
      <c r="B433" s="6"/>
      <c r="C433" s="7" t="s">
        <v>17</v>
      </c>
      <c r="D433" s="11"/>
      <c r="E433" s="11"/>
      <c r="F433" s="11"/>
      <c r="G433" s="11"/>
      <c r="H433" s="11"/>
      <c r="I433" s="11"/>
      <c r="J433" s="11"/>
      <c r="K433" s="11">
        <f>SUM(D433:J433)</f>
        <v>0</v>
      </c>
      <c r="L433" s="13"/>
    </row>
    <row r="434" spans="1:12" hidden="1" x14ac:dyDescent="0.2">
      <c r="A434" s="6"/>
      <c r="B434" s="6"/>
      <c r="C434" s="6"/>
      <c r="D434" s="5"/>
      <c r="E434" s="5"/>
      <c r="F434" s="5"/>
      <c r="G434" s="5"/>
      <c r="H434" s="5"/>
      <c r="I434" s="5"/>
      <c r="J434" s="5"/>
      <c r="K434" s="5"/>
      <c r="L434" s="6"/>
    </row>
    <row r="435" spans="1:12" hidden="1" x14ac:dyDescent="0.2">
      <c r="A435" s="6"/>
      <c r="B435" s="6"/>
      <c r="C435" s="7" t="s">
        <v>18</v>
      </c>
      <c r="D435" s="9">
        <f t="shared" ref="D435:K435" si="273">D433-D431</f>
        <v>0</v>
      </c>
      <c r="E435" s="9">
        <f t="shared" si="273"/>
        <v>0</v>
      </c>
      <c r="F435" s="9">
        <f t="shared" si="273"/>
        <v>0</v>
      </c>
      <c r="G435" s="9">
        <f t="shared" si="273"/>
        <v>0</v>
      </c>
      <c r="H435" s="9">
        <f t="shared" si="273"/>
        <v>0</v>
      </c>
      <c r="I435" s="9">
        <f t="shared" si="273"/>
        <v>-4.5</v>
      </c>
      <c r="J435" s="9">
        <f t="shared" si="273"/>
        <v>-4.5</v>
      </c>
      <c r="K435" s="9">
        <f t="shared" si="273"/>
        <v>-9</v>
      </c>
      <c r="L435" s="6"/>
    </row>
    <row r="437" spans="1:12" x14ac:dyDescent="0.2">
      <c r="B437" s="5" t="s">
        <v>19</v>
      </c>
      <c r="C437" s="5" t="s">
        <v>20</v>
      </c>
      <c r="D437" s="5"/>
      <c r="E437" s="5"/>
      <c r="F437" s="5"/>
      <c r="G437" s="5"/>
      <c r="H437" s="5"/>
      <c r="I437" s="5"/>
      <c r="J437" s="5"/>
    </row>
    <row r="438" spans="1:12" x14ac:dyDescent="0.2">
      <c r="B438" s="8">
        <v>0.4375</v>
      </c>
      <c r="C438" s="8">
        <v>0.5625</v>
      </c>
      <c r="D438" s="5" t="e">
        <f>#REF!+#REF!+#REF!+AD8+AD13+#REF!+AD17+AD22+AD27+AD32+AD37+AD42+AD47+AD52+AD57+AD62+AD67+AD72+AD77+AD82+AD87+AD92+AD97+AD102+AD107+AD112+AD117+AD122+AD127+AD132+AD137+AD142+AD147+AD152+AD157+AD162+AD167+AD172+AD177+AD182+AD187+AD192+AD197+AD202+AD207+AD212+AD217+AD222+AD227+AD232</f>
        <v>#REF!</v>
      </c>
      <c r="E438" s="5" t="e">
        <f>#REF!+#REF!+#REF!+AE8+AE13+#REF!+AE17+AE22+AE27+AE32+AE37+AE42+AE47+AE52+AE57+AE62+AE67+AE72+AE77+AE82+AE87+AE92+AE97+AE102+AE107+AE112+AE117+AE122+AE127+AE132+AE137+AE142+AE147+AE152+AE157+AE162+AE167+AE172+AE177+AE182+AE187+AE192+AE197+AE202+AE207+AE212+AE217+AE222+AE227+AE232</f>
        <v>#REF!</v>
      </c>
      <c r="F438" s="5" t="e">
        <f>#REF!+#REF!+#REF!+AF8+AF13+#REF!+AF17+AF22+AF27+AF32+AF37+AF42+AF47+AF52+AF57+AF62+AF67+AF72+AF77+AF82+AF87+AF92+AF97+AF102+AF107+AF112+AF117+AF122+AF127+AF132+AF137+AF142+AF147+AF152+AF157+AF162+AF167+AF172+AF177+AF182+AF187+AF192+AF197+AF202+AF207+AF212+AF217+AF222+AF227+AF232</f>
        <v>#REF!</v>
      </c>
      <c r="G438" s="5" t="e">
        <f>#REF!+#REF!+#REF!+AG8+AG13+#REF!+AG17+AG22+AG27+AG32+AG37+AG42+AG47+AG52+AG57+AG62+AG67+AG72+AG77+AG82+AG87+AG92+AG97+AG102+AG107+AG112+AG117+AG122+AG127+AG132+AG137+AG142+AG147+AG152+AG157+AG162+AG167+AG172+AG177+AG182+AG187+AG192+AG197+AG202+AG207+AG212+AG217+AG222+AG227+AG232</f>
        <v>#REF!</v>
      </c>
      <c r="H438" s="5" t="e">
        <f>#REF!+#REF!+#REF!+AH8+AH13+#REF!+AH17+AH22+AH27+AH32+AH37+AH42+AH47+AH52+AH57+AH62+AH67+AH72+AH77+AH82+AH87+AH92+AH97+AH102+AH107+AH112+AH117+AH122+AH127+AH132+AH137+AH142+AH147+AH152+AH157+AH162+AH167+AH172+AH177+AH182+AH187+AH192+AH197+AH202+AH207+AH212+AH217+AH222+AH227+AH232</f>
        <v>#REF!</v>
      </c>
      <c r="I438" s="5" t="e">
        <f>#REF!+#REF!+#REF!+AI8+AI13+#REF!+AI17+AI22+AI27+AI32+AI37+AI42+AI47+AI52+AI57+AI62+AI67+AI72+AI77+AI82+AI87+AI92+AI97+AI102+AI107+AI112+AI117+AI122+AI127+AI132+AI137+AI142+AI147+AI152+AI157+AI162+AI167+AI172+AI177+AI182+AI187+AI192+AI197+AI202+AI207+AI212+AI217+AI222+AI227+AI232</f>
        <v>#REF!</v>
      </c>
      <c r="J438" s="5" t="e">
        <f>#REF!+#REF!+#REF!+AJ8+AJ13+#REF!+AJ17+AJ22+AJ27+AJ32+AJ37+AJ42+AJ47+AJ52+AJ57+AJ62+AJ67+AJ72+AJ77+AJ82+AJ87+AJ92+AJ97+AJ102+AJ107+AJ112+AJ117+AJ122+AJ127+AJ132+AJ137+AJ142+AJ147+AJ152+AJ157+AJ162+AJ167+AJ172+AJ177+AJ182+AJ187+AJ192+AJ197+AJ202+AJ207+AJ212+AJ217+AJ222+AJ227+AJ232</f>
        <v>#REF!</v>
      </c>
    </row>
    <row r="439" spans="1:12" x14ac:dyDescent="0.2">
      <c r="B439" s="8">
        <v>0.5625</v>
      </c>
      <c r="C439" s="8">
        <v>0.66666666666666663</v>
      </c>
      <c r="D439" s="5" t="e">
        <f>#REF!+#REF!+AD4+AD9+AD14+#REF!+AD18+AD23+AD28+AD33+AD38+AD43+AD48+AD53+AD58+AD63+AD68+AD73+AD78+AD83+AD88+AD93+AD98+AD103+AD108+AD113+AD118+AD123+AD128+AD133+AD138+AD143+AD148+AD153+AD158+AD163+AD168+AD173+AD178+AD183+AD188+AD193+AD198+AD203+AD208+AD213+AD218+AD223+AD228+AD233</f>
        <v>#REF!</v>
      </c>
      <c r="E439" s="5" t="e">
        <f>#REF!+#REF!+AE4+AE9+AE14+#REF!+AE18+AE23+AE28+AE33+AE38+AE43+AE48+AE53+AE58+AE63+AE68+AE73+AE78+AE83+AE88+AE93+AE98+AE103+AE108+AE113+AE118+AE123+AE128+AE133+AE138+AE143+AE148+AE153+AE158+AE163+AE168+AE173+AE178+AE183+AE188+AE193+AE198+AE203+AE208+AE213+AE218+AE223+AE228+AE233</f>
        <v>#REF!</v>
      </c>
      <c r="F439" s="5" t="e">
        <f>#REF!+#REF!+AF4+AF9+AF14+#REF!+AF18+AF23+AF28+AF33+AF38+AF43+AF48+AF53+AF58+AF63+AF68+AF73+AF78+AF83+AF88+AF93+AF98+AF103+AF108+AF113+AF118+AF123+AF128+AF133+AF138+AF143+AF148+AF153+AF158+AF163+AF168+AF173+AF178+AF183+AF188+AF193+AF198+AF203+AF208+AF213+AF218+AF223+AF228+AF233</f>
        <v>#REF!</v>
      </c>
      <c r="G439" s="5" t="e">
        <f>#REF!+#REF!+AG4+AG9+AG14+#REF!+AG18+AG23+AG28+AG33+AG38+AG43+AG48+AG53+AG58+AG63+AG68+AG73+AG78+AG83+AG88+AG93+AG98+AG103+AG108+AG113+AG118+AG123+AG128+AG133+AG138+AG143+AG148+AG153+AG158+AG163+AG168+AG173+AG178+AG183+AG188+AG193+AG198+AG203+AG208+AG213+AG218+AG223+AG228+AG233</f>
        <v>#REF!</v>
      </c>
      <c r="H439" s="5" t="e">
        <f>#REF!+#REF!+AH4+AH9+AH14+#REF!+AH18+AH23+AH28+AH33+AH38+AH43+AH48+AH53+AH58+AH63+AH68+AH73+AH78+AH83+AH88+AH93+AH98+AH103+AH108+AH113+AH118+AH123+AH128+AH133+AH138+AH143+AH148+AH153+AH158+AH163+AH168+AH173+AH178+AH183+AH188+AH193+AH198+AH203+AH208+AH213+AH218+AH223+AH228+AH233</f>
        <v>#REF!</v>
      </c>
      <c r="I439" s="5" t="e">
        <f>#REF!+#REF!+AI4+AI9+AI14+#REF!+AI18+AI23+AI28+AI33+AI38+AI43+AI48+AI53+AI58+AI63+AI68+AI73+AI78+AI83+AI88+AI93+AI98+AI103+AI108+AI113+AI118+AI123+AI128+AI133+AI138+AI143+AI148+AI153+AI158+AI163+AI168+AI173+AI178+AI183+AI188+AI193+AI198+AI203+AI208+AI213+AI218+AI223+AI228+AI233</f>
        <v>#REF!</v>
      </c>
      <c r="J439" s="5" t="e">
        <f>#REF!+#REF!+AJ4+AJ9+AJ14+#REF!+AJ18+AJ23+AJ28+AJ33+AJ38+AJ43+AJ48+AJ53+AJ58+AJ63+AJ68+AJ73+AJ78+AJ83+AJ88+AJ93+AJ98+AJ103+AJ108+AJ113+AJ118+AJ123+AJ128+AJ133+AJ138+AJ143+AJ148+AJ153+AJ158+AJ163+AJ168+AJ173+AJ178+AJ183+AJ188+AJ193+AJ198+AJ203+AJ208+AJ213+AJ218+AJ223+AJ228+AJ233</f>
        <v>#REF!</v>
      </c>
    </row>
    <row r="440" spans="1:12" x14ac:dyDescent="0.2">
      <c r="B440" s="8">
        <v>0.66666666666666663</v>
      </c>
      <c r="C440" s="8">
        <v>0.72916666666666663</v>
      </c>
      <c r="D440" s="5" t="e">
        <f>#REF!+#REF!+AD5+AD10+AD15+#REF!+AD19+AD24+AD29+AD34+AD39+AD44+AD49+AD54+AD59+AD64+AD69+AD74+AD79+AD84+AD89+AD94+AD99+AD104+AD109+AD114+AD119+AD124+AD129+AD134+AD139+AD144+AD149+AD154+AD159+AD164+AD169+AD174+AD179+AD184+AD189+AD194+AD199+AD204+AD209+AD214+AD219+AD224+AD229+AD234</f>
        <v>#REF!</v>
      </c>
      <c r="E440" s="5" t="e">
        <f>#REF!+#REF!+AE5+AE10+AE15+#REF!+AE19+AE24+AE29+AE34+AE39+AE44+AE49+AE54+AE59+AE64+AE69+AE74+AE79+AE84+AE89+AE94+AE99+AE104+AE109+AE114+AE119+AE124+AE129+AE134+AE139+AE144+AE149+AE154+AE159+AE164+AE169+AE174+AE179+AE184+AE189+AE194+AE199+AE204+AE209+AE214+AE219+AE224+AE229+AE234</f>
        <v>#REF!</v>
      </c>
      <c r="F440" s="5" t="e">
        <f>#REF!+#REF!+AF5+AF10+AF15+#REF!+AF19+AF24+AF29+AF34+AF39+AF44+AF49+AF54+AF59+AF64+AF69+AF74+AF79+AF84+AF89+AF94+AF99+AF104+AF109+AF114+AF119+AF124+AF129+AF134+AF139+AF144+AF149+AF154+AF159+AF164+AF169+AF174+AF179+AF184+AF189+AF194+AF199+AF204+AF209+AF214+AF219+AF224+AF229+AF234</f>
        <v>#REF!</v>
      </c>
      <c r="G440" s="5" t="e">
        <f>#REF!+#REF!+AG5+AG10+AG15+#REF!+AG19+AG24+AG29+AG34+AG39+AG44+AG49+AG54+AG59+AG64+AG69+AG74+AG79+AG84+AG89+AG94+AG99+AG104+AG109+AG114+AG119+AG124+AG129+AG134+AG139+AG144+AG149+AG154+AG159+AG164+AG169+AG174+AG179+AG184+AG189+AG194+AG199+AG204+AG209+AG214+AG219+AG224+AG229+AG234</f>
        <v>#REF!</v>
      </c>
      <c r="H440" s="5" t="e">
        <f>#REF!+#REF!+AH5+AH10+AH15+#REF!+AH19+AH24+AH29+AH34+AH39+AH44+AH49+AH54+AH59+AH64+AH69+AH74+AH79+AH84+AH89+AH94+AH99+AH104+AH109+AH114+AH119+AH124+AH129+AH134+AH139+AH144+AH149+AH154+AH159+AH164+AH169+AH174+AH179+AH184+AH189+AH194+AH199+AH204+AH209+AH214+AH219+AH224+AH229+AH234</f>
        <v>#REF!</v>
      </c>
      <c r="I440" s="5" t="e">
        <f>#REF!+#REF!+AI5+AI10+AI15+#REF!+AI19+AI24+AI29+AI34+AI39+AI44+AI49+AI54+AI59+AI64+AI69+AI74+AI79+AI84+AI89+AI94+AI99+AI104+AI109+AI114+AI119+AI124+AI129+AI134+AI139+AI144+AI149+AI154+AI159+AI164+AI169+AI174+AI179+AI184+AI189+AI194+AI199+AI204+AI209+AI214+AI219+AI224+AI229+AI234</f>
        <v>#REF!</v>
      </c>
      <c r="J440" s="5" t="e">
        <f>#REF!+#REF!+AJ5+AJ10+AJ15+#REF!+AJ19+AJ24+AJ29+AJ34+AJ39+AJ44+AJ49+AJ54+AJ59+AJ64+AJ69+AJ74+AJ79+AJ84+AJ89+AJ94+AJ99+AJ104+AJ109+AJ114+AJ119+AJ124+AJ129+AJ134+AJ139+AJ144+AJ149+AJ154+AJ159+AJ164+AJ169+AJ174+AJ179+AJ184+AJ189+AJ194+AJ199+AJ204+AJ209+AJ214+AJ219+AJ224+AJ229+AJ234</f>
        <v>#REF!</v>
      </c>
    </row>
    <row r="441" spans="1:12" x14ac:dyDescent="0.2">
      <c r="B441" s="8">
        <v>0.79166666666666663</v>
      </c>
      <c r="C441" s="8">
        <v>0.85416666666666663</v>
      </c>
      <c r="D441" s="5" t="e">
        <f>#REF!+#REF!+AD6+AD11+#REF!+#REF!+AD20+AD25+AD30+AD35+AD40+AD45+AD50+AD55+AD60+AD65+AD70+AD75+AD80+AD85+AD90+AD95+AD100+AD105+AD110+AD115+AD120+AD125+AD130+AD135+AD140+AD145+AD150+AD155+AD160+AD165+AD170+AD175+AD180+AD185+AD190+AD195+AD200+AD205+AD210+AD215+AD220+AD225+AD230+AD236</f>
        <v>#REF!</v>
      </c>
      <c r="E441" s="5" t="e">
        <f>#REF!+#REF!+AE6+AE11+#REF!+#REF!+AE20+AE25+AE30+AE35+AE40+AE45+AE50+AE55+AE60+AE65+AE70+AE75+AE80+AE85+AE90+AE95+AE100+AE105+AE110+AE115+AE120+AE125+AE130+AE135+AE140+AE145+AE150+AE155+AE160+AE165+AE170+AE175+AE180+AE185+AE190+AE195+AE200+AE205+AE210+AE215+AE220+AE225+AE230+AE236</f>
        <v>#REF!</v>
      </c>
      <c r="F441" s="5" t="e">
        <f>#REF!+#REF!+AF6+AF11+#REF!+#REF!+AF20+AF25+AF30+AF35+AF40+AF45+AF50+AF55+AF60+AF65+AF70+AF75+AF80+AF85+AF90+AF95+AF100+AF105+AF110+AF115+AF120+AF125+AF130+AF135+AF140+AF145+AF150+AF155+AF160+AF165+AF170+AF175+AF180+AF185+AF190+AF195+AF200+AF205+AF210+AF215+AF220+AF225+AF230+AF236</f>
        <v>#REF!</v>
      </c>
      <c r="G441" s="5" t="e">
        <f>#REF!+#REF!+AG6+AG11+#REF!+#REF!+AG20+AG25+AG30+AG35+AG40+AG45+AG50+AG55+AG60+AG65+AG70+AG75+AG80+AG85+AG90+AG95+AG100+AG105+AG110+AG115+AG120+AG125+AG130+AG135+AG140+AG145+AG150+AG155+AG160+AG165+AG170+AG175+AG180+AG185+AG190+AG195+AG200+AG205+AG210+AG215+AG220+AG225+AG230+AG236</f>
        <v>#REF!</v>
      </c>
      <c r="H441" s="5" t="e">
        <f>#REF!+#REF!+AH6+AH11+#REF!+#REF!+AH20+AH25+AH30+AH35+AH40+AH45+AH50+AH55+AH60+AH65+AH70+AH75+AH80+AH85+AH90+AH95+AH100+AH105+AH110+AH115+AH120+AH125+AH130+AH135+AH140+AH145+AH150+AH155+AH160+AH165+AH170+AH175+AH180+AH185+AH190+AH195+AH200+AH205+AH210+AH215+AH220+AH225+AH230+AH236</f>
        <v>#REF!</v>
      </c>
      <c r="I441" s="5" t="e">
        <f>#REF!+#REF!+AI6+AI11+#REF!+#REF!+AI20+AI25+AI30+AI35+AI40+AI45+AI50+AI55+AI60+AI65+AI70+AI75+AI80+AI85+AI90+AI95+AI100+AI105+AI110+AI115+AI120+AI125+AI130+AI135+AI140+AI145+AI150+AI155+AI160+AI165+AI170+AI175+AI180+AI185+AI190+AI195+AI200+AI205+AI210+AI215+AI220+AI225+AI230+AI236</f>
        <v>#REF!</v>
      </c>
      <c r="J441" s="5" t="e">
        <f>#REF!+#REF!+AJ6+AJ11+#REF!+#REF!+AJ20+AJ25+AJ30+AJ35+AJ40+AJ45+AJ50+AJ55+AJ60+AJ65+AJ70+AJ75+AJ80+AJ85+AJ90+AJ95+AJ100+AJ105+AJ110+AJ115+AJ120+AJ125+AJ130+AJ135+AJ140+AJ145+AJ150+AJ155+AJ160+AJ165+AJ170+AJ175+AJ180+AJ185+AJ190+AJ195+AJ200+AJ205+AJ210+AJ215+AJ220+AJ225+AJ230+AJ236</f>
        <v>#REF!</v>
      </c>
    </row>
    <row r="442" spans="1:12" x14ac:dyDescent="0.2">
      <c r="B442" s="8">
        <v>0.85416666666666663</v>
      </c>
      <c r="C442" s="8">
        <v>0.92708333333333337</v>
      </c>
      <c r="D442" s="5" t="e">
        <f>#REF!+#REF!+AD7+AD12+#REF!+AD16+AD21+AD26+AD31+AD36+AD41+AD46+AD51+AD56+AD61+AD66+AD71+AD76+AD81+AD86+AD91+AD96+AD101+AD106+AD111+AD116+AD121+AD126+AD131+AD136+AD141+AD146+AD151+AD156+AD161+AD166+AD171+AD176+AD181+AD186+AD191+AD196+AD201+AD206+AD211+AD216+AD221+AD226+AD231+AD237</f>
        <v>#REF!</v>
      </c>
      <c r="E442" s="5" t="e">
        <f>#REF!+#REF!+AE7+AE12+#REF!+AE16+AE21+AE26+AE31+AE36+AE41+AE46+AE51+AE56+AE61+AE66+AE71+AE76+AE81+AE86+AE91+AE96+AE101+AE106+AE111+AE116+AE121+AE126+AE131+AE136+AE141+AE146+AE151+AE156+AE161+AE166+AE171+AE176+AE181+AE186+AE191+AE196+AE201+AE206+AE211+AE216+AE221+AE226+AE231+AE237</f>
        <v>#REF!</v>
      </c>
      <c r="F442" s="5" t="e">
        <f>#REF!+#REF!+AF7+AF12+#REF!+AF16+AF21+AF26+AF31+AF36+AF41+AF46+AF51+AF56+AF61+AF66+AF71+AF76+AF81+AF86+AF91+AF96+AF101+AF106+AF111+AF116+AF121+AF126+AF131+AF136+AF141+AF146+AF151+AF156+AF161+AF166+AF171+AF176+AF181+AF186+AF191+AF196+AF201+AF206+AF211+AF216+AF221+AF226+AF231+AF237</f>
        <v>#REF!</v>
      </c>
      <c r="G442" s="5" t="e">
        <f>#REF!+#REF!+AG7+AG12+#REF!+AG16+AG21+AG26+AG31+AG36+AG41+AG46+AG51+AG56+AG61+AG66+AG71+AG76+AG81+AG86+AG91+AG96+AG101+AG106+AG111+AG116+AG121+AG126+AG131+AG136+AG141+AG146+AG151+AG156+AG161+AG166+AG171+AG176+AG181+AG186+AG191+AG196+AG201+AG206+AG211+AG216+AG221+AG226+AG231+AG237</f>
        <v>#REF!</v>
      </c>
      <c r="H442" s="5" t="e">
        <f>#REF!+#REF!+AH7+AH12+#REF!+AH16+AH21+AH26+AH31+AH36+AH41+AH46+AH51+AH56+AH61+AH66+AH71+AH76+AH81+AH86+AH91+AH96+AH101+AH106+AH111+AH116+AH121+AH126+AH131+AH136+AH141+AH146+AH151+AH156+AH161+AH166+AH171+AH176+AH181+AH186+AH191+AH196+AH201+AH206+AH211+AH216+AH221+AH226+AH231+AH237</f>
        <v>#REF!</v>
      </c>
      <c r="I442" s="5" t="e">
        <f>#REF!+#REF!+AI7+AI12+#REF!+AI16+AI21+AI26+AI31+AI36+AI41+AI46+AI51+AI56+AI61+AI66+AI71+AI76+AI81+AI86+AI91+AI96+AI101+AI106+AI111+AI116+AI121+AI126+AI131+AI136+AI141+AI146+AI151+AI156+AI161+AI166+AI171+AI176+AI181+AI186+AI191+AI196+AI201+AI206+AI211+AI216+AI221+AI226+AI231+AI237</f>
        <v>#REF!</v>
      </c>
      <c r="J442" s="5" t="e">
        <f>#REF!+#REF!+AJ7+AJ12+#REF!+AJ16+AJ21+AJ26+AJ31+AJ36+AJ41+AJ46+AJ51+AJ56+AJ61+AJ66+AJ71+AJ76+AJ81+AJ86+AJ91+AJ96+AJ101+AJ106+AJ111+AJ116+AJ121+AJ126+AJ131+AJ136+AJ141+AJ146+AJ151+AJ156+AJ161+AJ166+AJ171+AJ176+AJ181+AJ186+AJ191+AJ196+AJ201+AJ206+AJ211+AJ216+AJ221+AJ226+AJ231+AJ237</f>
        <v>#REF!</v>
      </c>
    </row>
    <row r="444" spans="1:12" hidden="1" x14ac:dyDescent="0.2">
      <c r="C444" s="46" t="s">
        <v>31</v>
      </c>
      <c r="D444" s="22">
        <v>100</v>
      </c>
      <c r="E444" s="22"/>
      <c r="F444" s="22"/>
      <c r="G444" s="22"/>
      <c r="H444" s="22"/>
      <c r="I444" s="22"/>
      <c r="J444" s="22"/>
      <c r="K444" s="22">
        <f>J444+I444+H444+G444+F444+E444+D444</f>
        <v>100</v>
      </c>
    </row>
    <row r="445" spans="1:12" hidden="1" x14ac:dyDescent="0.2"/>
    <row r="446" spans="1:12" hidden="1" x14ac:dyDescent="0.2">
      <c r="C446" s="46" t="s">
        <v>33</v>
      </c>
      <c r="D446" s="23" t="e">
        <f t="shared" ref="D446:K446" si="274">D444/D431</f>
        <v>#DIV/0!</v>
      </c>
      <c r="E446" s="23" t="e">
        <f t="shared" si="274"/>
        <v>#DIV/0!</v>
      </c>
      <c r="F446" s="23" t="e">
        <f t="shared" si="274"/>
        <v>#DIV/0!</v>
      </c>
      <c r="G446" s="23" t="e">
        <f t="shared" si="274"/>
        <v>#DIV/0!</v>
      </c>
      <c r="H446" s="23" t="e">
        <f t="shared" si="274"/>
        <v>#DIV/0!</v>
      </c>
      <c r="I446" s="23">
        <f t="shared" si="274"/>
        <v>0</v>
      </c>
      <c r="J446" s="23">
        <f t="shared" si="274"/>
        <v>0</v>
      </c>
      <c r="K446" s="23">
        <f t="shared" si="274"/>
        <v>11.111111111111111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448"/>
  <sheetViews>
    <sheetView tabSelected="1" topLeftCell="A362" zoomScale="80" zoomScaleNormal="80" workbookViewId="0">
      <selection activeCell="D388" sqref="D1:D1048576"/>
    </sheetView>
  </sheetViews>
  <sheetFormatPr defaultRowHeight="12.75" x14ac:dyDescent="0.2"/>
  <cols>
    <col min="1" max="1" width="16.5703125" customWidth="1"/>
    <col min="2" max="2" width="17.42578125" customWidth="1"/>
    <col min="3" max="3" width="7.28515625" customWidth="1"/>
    <col min="4" max="4" width="10.28515625" style="1" bestFit="1" customWidth="1"/>
    <col min="5" max="5" width="13.42578125" style="1" customWidth="1"/>
    <col min="6" max="6" width="9.85546875" style="1" customWidth="1"/>
    <col min="7" max="7" width="9.140625" style="1" customWidth="1"/>
    <col min="8" max="8" width="9.140625" style="1" hidden="1" customWidth="1"/>
    <col min="9" max="9" width="9.5703125" style="1" hidden="1" customWidth="1"/>
    <col min="10" max="10" width="14.140625" style="1" hidden="1" customWidth="1"/>
    <col min="11" max="11" width="9.140625" style="1"/>
    <col min="13" max="13" width="46.42578125" customWidth="1"/>
    <col min="14" max="14" width="6" customWidth="1"/>
    <col min="15" max="15" width="6.140625" bestFit="1" customWidth="1"/>
    <col min="16" max="16" width="5.7109375" customWidth="1"/>
    <col min="17" max="17" width="6.140625" bestFit="1" customWidth="1"/>
    <col min="18" max="19" width="5.7109375" customWidth="1"/>
    <col min="20" max="20" width="6.140625" bestFit="1" customWidth="1"/>
    <col min="21" max="21" width="2.42578125" customWidth="1"/>
    <col min="22" max="23" width="6.140625" bestFit="1" customWidth="1"/>
    <col min="24" max="28" width="5.7109375" customWidth="1"/>
    <col min="30" max="31" width="2.28515625" customWidth="1"/>
    <col min="32" max="32" width="2.42578125" customWidth="1"/>
    <col min="33" max="33" width="2.28515625" customWidth="1"/>
    <col min="34" max="34" width="2.42578125" customWidth="1"/>
    <col min="35" max="36" width="2" customWidth="1"/>
  </cols>
  <sheetData>
    <row r="1" spans="1:36" ht="13.5" customHeight="1" x14ac:dyDescent="0.2">
      <c r="A1" s="50" t="s">
        <v>34</v>
      </c>
      <c r="B1" s="49"/>
      <c r="C1" s="6"/>
      <c r="D1" s="62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  <c r="AD1" s="6"/>
      <c r="AE1" s="6"/>
      <c r="AF1" s="6"/>
      <c r="AG1" s="6"/>
      <c r="AH1" s="6"/>
      <c r="AI1" s="6"/>
      <c r="AJ1" s="6"/>
    </row>
    <row r="2" spans="1:36" ht="13.5" thickBot="1" x14ac:dyDescent="0.25">
      <c r="A2" s="29"/>
      <c r="B2" s="48"/>
      <c r="C2" s="6"/>
      <c r="D2" s="31">
        <v>45532</v>
      </c>
      <c r="E2" s="31">
        <v>45533</v>
      </c>
      <c r="F2" s="31">
        <v>45534</v>
      </c>
      <c r="G2" s="31">
        <v>45535</v>
      </c>
      <c r="H2" s="31">
        <v>45501</v>
      </c>
      <c r="I2" s="31">
        <v>45502</v>
      </c>
      <c r="J2" s="31">
        <v>45503</v>
      </c>
      <c r="K2" s="5" t="s">
        <v>6</v>
      </c>
      <c r="L2" s="5" t="s">
        <v>14</v>
      </c>
      <c r="M2" s="51" t="s">
        <v>32</v>
      </c>
      <c r="O2" s="21"/>
      <c r="AD2" s="6" t="s">
        <v>21</v>
      </c>
      <c r="AE2" s="6" t="s">
        <v>22</v>
      </c>
      <c r="AF2" s="6" t="s">
        <v>23</v>
      </c>
      <c r="AG2" s="6" t="s">
        <v>22</v>
      </c>
      <c r="AH2" s="6" t="s">
        <v>24</v>
      </c>
      <c r="AI2" s="6" t="s">
        <v>25</v>
      </c>
      <c r="AJ2" s="6" t="s">
        <v>25</v>
      </c>
    </row>
    <row r="3" spans="1:36" ht="13.5" thickBot="1" x14ac:dyDescent="0.25">
      <c r="A3" s="6" t="s">
        <v>30</v>
      </c>
      <c r="B3" s="6" t="s">
        <v>35</v>
      </c>
      <c r="C3" s="6"/>
      <c r="D3" s="65"/>
      <c r="E3" s="65"/>
      <c r="F3" s="65"/>
      <c r="G3" s="65"/>
      <c r="H3" s="65"/>
      <c r="I3" s="65"/>
      <c r="J3" s="65"/>
      <c r="K3" s="5"/>
      <c r="L3" s="6"/>
      <c r="M3" s="52" t="s">
        <v>39</v>
      </c>
      <c r="AD3" s="6"/>
      <c r="AE3" s="6"/>
      <c r="AF3" s="6"/>
      <c r="AG3" s="6"/>
      <c r="AH3" s="6"/>
      <c r="AI3" s="6"/>
      <c r="AJ3" s="6"/>
    </row>
    <row r="4" spans="1:36" ht="13.5" hidden="1" thickBot="1" x14ac:dyDescent="0.25">
      <c r="A4" s="37" t="s">
        <v>29</v>
      </c>
      <c r="B4" s="38" t="s">
        <v>30</v>
      </c>
      <c r="C4" s="14" t="s">
        <v>0</v>
      </c>
      <c r="D4" s="26"/>
      <c r="E4" s="26"/>
      <c r="F4" s="26"/>
      <c r="G4" s="26"/>
      <c r="H4" s="26"/>
      <c r="I4" s="26"/>
      <c r="J4" s="26"/>
      <c r="K4" s="16"/>
      <c r="L4" s="6"/>
      <c r="M4" s="21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D4" s="6">
        <f>IF((D4&lt;&gt;"")*(D8=""),IF((D4&lt;=$B$440)*((D5&gt;=$C$440)+(D5&lt;2/24)),1,0),0)</f>
        <v>0</v>
      </c>
      <c r="AE4" s="6">
        <f>IF((E4&lt;&gt;"")*(E8=""),IF((E4&lt;=$B$440)*((E5&gt;=$C$440)+(E5&lt;2/24)),1,0),0)</f>
        <v>0</v>
      </c>
      <c r="AF4" s="6">
        <f>IF((F4&lt;&gt;"")*(F8=""),IF((F4&lt;=$B$440)*((F5&gt;=$C$440)+(F5&lt;2/24)),1,0),0)</f>
        <v>0</v>
      </c>
      <c r="AG4" s="6">
        <f>IF((G4&lt;&gt;"")*(G8=""),IF((G4&lt;=$B$440)*((G5&gt;=$C$440)+(G5&lt;2/24)),1,0),0)</f>
        <v>0</v>
      </c>
      <c r="AH4" s="6">
        <f>IF((H4&lt;&gt;"")*(H8=""),IF((H4&lt;=$B$440)*((H5&gt;=$C$440)+(H5&lt;2/24)),1,0),0)</f>
        <v>0</v>
      </c>
      <c r="AI4" s="6">
        <f>IF((I4&lt;&gt;"")*(I8=""),IF((I4&lt;=$B$440)*((I5&gt;=$C$440)+(I5&lt;2/24)),1,0),0)</f>
        <v>0</v>
      </c>
      <c r="AJ4" s="6">
        <f>IF((J4&lt;&gt;"")*(J8=""),IF((J4&lt;=$B$440)*((J5&gt;=$C$440)+(J5&lt;2/24)),1,0),0)</f>
        <v>0</v>
      </c>
    </row>
    <row r="5" spans="1:36" ht="13.5" hidden="1" thickBot="1" x14ac:dyDescent="0.25">
      <c r="A5" s="39"/>
      <c r="B5" s="40"/>
      <c r="C5" s="15" t="s">
        <v>1</v>
      </c>
      <c r="D5" s="27"/>
      <c r="E5" s="27"/>
      <c r="F5" s="27"/>
      <c r="G5" s="27"/>
      <c r="H5" s="27"/>
      <c r="I5" s="27"/>
      <c r="J5" s="27"/>
      <c r="K5" s="17"/>
      <c r="L5" s="6"/>
      <c r="M5" s="2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D5" s="6">
        <f>IF((D4&lt;&gt;"")*(D8=""),IF((D4&lt;=$B$441)*((D5&gt;=$C$441)+(D5&lt;2/24)),1,0),0)</f>
        <v>0</v>
      </c>
      <c r="AE5" s="6">
        <f>IF((E4&lt;&gt;"")*(E8=""),IF((E4&lt;=$B$441)*((E5&gt;=$C$441)+(E5&lt;2/24)),1,0),0)</f>
        <v>0</v>
      </c>
      <c r="AF5" s="6">
        <f>IF((F4&lt;&gt;"")*(F8=""),IF((F4&lt;=$B$441)*((F5&gt;=$C$441)+(F5&lt;2/24)),1,0),0)</f>
        <v>0</v>
      </c>
      <c r="AG5" s="6">
        <f>IF((G4&lt;&gt;"")*(G8=""),IF((G4&lt;=$B$441)*((G5&gt;=$C$441)+(G5&lt;2/24)),1,0),0)</f>
        <v>0</v>
      </c>
      <c r="AH5" s="6">
        <f>IF((H4&lt;&gt;"")*(H8=""),IF((H4&lt;=$B$441)*((H5&gt;=$C$441)+(H5&lt;2/24)),1,0),0)</f>
        <v>0</v>
      </c>
      <c r="AI5" s="6">
        <f>IF((I4&lt;&gt;"")*(I8=""),IF((I4&lt;=$B$441)*((I5&gt;=$C$441)+(I5&lt;2/24)),1,0),0)</f>
        <v>0</v>
      </c>
      <c r="AJ5" s="6">
        <f>IF((J4&lt;&gt;"")*(J8=""),IF((J4&lt;=$B$441)*((J5&gt;=$C$441)+(J5&lt;2/24)),1,0),0)</f>
        <v>0</v>
      </c>
    </row>
    <row r="6" spans="1:36" ht="13.5" hidden="1" thickBot="1" x14ac:dyDescent="0.25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D6" s="6">
        <f>IF((D4&lt;&gt;"")*(D8=""),IF((D4&lt;=$B$442)*((D5&gt;=$C$442)+(D5&lt;2/24)),1,0),0)</f>
        <v>0</v>
      </c>
      <c r="AE6" s="6">
        <f>IF((E4&lt;&gt;"")*(E8=""),IF((E4&lt;=$B$442)*((E5&gt;=$C$442)+(E5&lt;2/24)),1,0),0)</f>
        <v>0</v>
      </c>
      <c r="AF6" s="6">
        <f>IF((F4&lt;&gt;"")*(F8=""),IF((F4&lt;=$B$442)*((F5&gt;=$C$442)+(F5&lt;2/24)),1,0),0)</f>
        <v>0</v>
      </c>
      <c r="AG6" s="6">
        <f>IF((G4&lt;&gt;"")*(G8=""),IF((G4&lt;=$B$442)*((G5&gt;=$C$442)+(G5&lt;2/24)),1,0),0)</f>
        <v>0</v>
      </c>
      <c r="AH6" s="6">
        <f>IF((H4&lt;&gt;"")*(H8=""),IF((H4&lt;=$B$442)*((H5&gt;=$C$442)+(H5&lt;2/24)),1,0),0)</f>
        <v>0</v>
      </c>
      <c r="AI6" s="6">
        <f>IF((I4&lt;&gt;"")*(I8=""),IF((I4&lt;=$B$442)*((I5&gt;=$C$442)+(I5&lt;2/24)),1,0),0)</f>
        <v>0</v>
      </c>
      <c r="AJ6" s="6">
        <f>IF((J4&lt;&gt;"")*(J8=""),IF((J4&lt;=$B$442)*((J5&gt;=$C$442)+(J5&lt;2/24)),1,0),0)</f>
        <v>0</v>
      </c>
    </row>
    <row r="7" spans="1:36" ht="13.5" hidden="1" thickBot="1" x14ac:dyDescent="0.25">
      <c r="A7" s="39"/>
      <c r="B7" s="40"/>
      <c r="C7" s="15" t="s">
        <v>3</v>
      </c>
      <c r="D7" s="43"/>
      <c r="E7" s="43"/>
      <c r="F7" s="43"/>
      <c r="G7" s="43"/>
      <c r="H7" s="43"/>
      <c r="I7" s="43"/>
      <c r="J7" s="44"/>
      <c r="K7" s="18">
        <f>SUMIF(D8:J8,"",D7:J7)</f>
        <v>0</v>
      </c>
      <c r="L7" s="12">
        <f>SUM(D7:J7)</f>
        <v>0</v>
      </c>
      <c r="M7" s="24"/>
      <c r="N7" s="10">
        <f>IF(D8="",D7,0)</f>
        <v>0</v>
      </c>
      <c r="O7" s="10">
        <f>IF(E8="",E7,0)</f>
        <v>0</v>
      </c>
      <c r="P7" s="10">
        <f t="shared" ref="P7:T7" si="0">IF(F8="",F7,0)</f>
        <v>0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0</v>
      </c>
      <c r="U7" s="10"/>
      <c r="V7" s="10">
        <f>D7</f>
        <v>0</v>
      </c>
      <c r="W7" s="10">
        <f>E7</f>
        <v>0</v>
      </c>
      <c r="X7" s="10">
        <f t="shared" ref="X7:AB7" si="1">F7</f>
        <v>0</v>
      </c>
      <c r="Y7" s="10">
        <f t="shared" si="1"/>
        <v>0</v>
      </c>
      <c r="Z7" s="10">
        <f t="shared" si="1"/>
        <v>0</v>
      </c>
      <c r="AA7" s="10">
        <f t="shared" si="1"/>
        <v>0</v>
      </c>
      <c r="AB7" s="10">
        <f t="shared" si="1"/>
        <v>0</v>
      </c>
      <c r="AD7" s="6">
        <f>IF((D4&lt;&gt;"")*(D8=""),IF((D4&lt;=$B$443)*((D5&gt;=$C$443)+(D5&lt;2/24)),1,0),0)</f>
        <v>0</v>
      </c>
      <c r="AE7" s="6">
        <f>IF((E4&lt;&gt;"")*(E8=""),IF((E4&lt;=$B$443)*((E5&gt;=$C$443)+(E5&lt;2/24)),1,0),0)</f>
        <v>0</v>
      </c>
      <c r="AF7" s="6">
        <f>IF((F4&lt;&gt;"")*(F8=""),IF((F4&lt;=$B$443)*((F5&gt;=$C$443)+(F5&lt;2/24)),1,0),0)</f>
        <v>0</v>
      </c>
      <c r="AG7" s="6">
        <f>IF((G4&lt;&gt;"")*(G8=""),IF((G4&lt;=$B$443)*((G5&gt;=$C$443)+(G5&lt;2/24)),1,0),0)</f>
        <v>0</v>
      </c>
      <c r="AH7" s="6">
        <f>IF((H4&lt;&gt;"")*(H8=""),IF((H4&lt;=$B$443)*((H5&gt;=$C$443)+(H5&lt;2/24)),1,0),0)</f>
        <v>0</v>
      </c>
      <c r="AI7" s="6">
        <f>IF((I4&lt;&gt;"")*(I8=""),IF((I4&lt;=$B$443)*((I5&gt;=$C$443)+(I5&lt;2/24)),1,0),0)</f>
        <v>0</v>
      </c>
      <c r="AJ7" s="6">
        <f>IF((J4&lt;&gt;"")*(J8=""),IF((J4&lt;=$B$443)*((J5&gt;=$C$443)+(J5&lt;2/24)),1,0),0)</f>
        <v>0</v>
      </c>
    </row>
    <row r="8" spans="1:36" ht="13.5" hidden="1" thickBot="1" x14ac:dyDescent="0.25">
      <c r="A8" s="39"/>
      <c r="B8" s="40"/>
      <c r="C8" s="32" t="s">
        <v>4</v>
      </c>
      <c r="D8" s="33"/>
      <c r="E8" s="33"/>
      <c r="F8" s="33"/>
      <c r="G8" s="33"/>
      <c r="H8" s="33"/>
      <c r="I8" s="33"/>
      <c r="J8" s="33"/>
      <c r="K8" s="17"/>
      <c r="L8" s="6"/>
      <c r="M8" s="25"/>
      <c r="N8" s="6"/>
      <c r="O8" s="6"/>
      <c r="P8" s="6"/>
      <c r="Q8" s="6"/>
      <c r="R8" s="6"/>
      <c r="S8" s="6"/>
      <c r="T8" s="6"/>
      <c r="U8" s="6"/>
      <c r="V8" s="20"/>
      <c r="W8" s="20"/>
      <c r="X8" s="20"/>
      <c r="Y8" s="20"/>
      <c r="Z8" s="20"/>
      <c r="AA8" s="20"/>
      <c r="AB8" s="20"/>
      <c r="AD8" s="6">
        <f>IF((D4&lt;&gt;"")*(D8=""),IF((D4&lt;=$B$444)*((D5&gt;=$C$444)+(D5&lt;2/24)),1,0),0)</f>
        <v>0</v>
      </c>
      <c r="AE8" s="6">
        <f>IF((E4&lt;&gt;"")*(E8=""),IF((E4&lt;=$B$444)*((E5&gt;=$C$444)+(E5&lt;2/24)),1,0),0)</f>
        <v>0</v>
      </c>
      <c r="AF8" s="6">
        <f>IF((F4&lt;&gt;"")*(F8=""),IF((F4&lt;=$B$444)*((F5&gt;=$C$444)+(F5&lt;2/24)),1,0),0)</f>
        <v>0</v>
      </c>
      <c r="AG8" s="6">
        <f>IF((G4&lt;&gt;"")*(G8=""),IF((G4&lt;=$B$444)*((G5&gt;=$C$444)+(G5&lt;2/24)),1,0),0)</f>
        <v>0</v>
      </c>
      <c r="AH8" s="6">
        <f>IF((H4&lt;&gt;"")*(H8=""),IF((H4&lt;=$B$444)*((H5&gt;=$C$444)+(H5&lt;2/24)),1,0),0)</f>
        <v>0</v>
      </c>
      <c r="AI8" s="6">
        <f>IF((I4&lt;&gt;"")*(I8=""),IF((I4&lt;=$B$444)*((I5&gt;=$C$444)+(I5&lt;2/24)),1,0),0)</f>
        <v>0</v>
      </c>
      <c r="AJ8" s="6">
        <f>IF((J4&lt;&gt;"")*(J8=""),IF((J4&lt;=$B$444)*((J5&gt;=$C$444)+(J5&lt;2/24)),1,0),0)</f>
        <v>0</v>
      </c>
    </row>
    <row r="9" spans="1:36" ht="13.5" hidden="1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  <c r="L9" s="6"/>
      <c r="M9" s="25"/>
      <c r="N9" s="6"/>
      <c r="O9" s="6"/>
      <c r="P9" s="6"/>
      <c r="Q9" s="6"/>
      <c r="R9" s="6"/>
      <c r="S9" s="6"/>
      <c r="T9" s="6"/>
      <c r="U9" s="6"/>
      <c r="V9" s="20"/>
      <c r="W9" s="20"/>
      <c r="X9" s="20"/>
      <c r="Y9" s="20"/>
      <c r="Z9" s="20"/>
      <c r="AA9" s="20"/>
      <c r="AB9" s="20"/>
      <c r="AD9" s="6"/>
      <c r="AE9" s="6"/>
      <c r="AF9" s="6"/>
      <c r="AG9" s="6"/>
      <c r="AH9" s="6"/>
      <c r="AI9" s="6"/>
      <c r="AJ9" s="6"/>
    </row>
    <row r="10" spans="1:36" ht="13.5" hidden="1" thickBot="1" x14ac:dyDescent="0.25">
      <c r="A10" s="37" t="s">
        <v>29</v>
      </c>
      <c r="B10" s="38" t="s">
        <v>30</v>
      </c>
      <c r="C10" s="14" t="s">
        <v>0</v>
      </c>
      <c r="D10" s="26"/>
      <c r="E10" s="26"/>
      <c r="F10" s="26"/>
      <c r="G10" s="26"/>
      <c r="H10" s="26"/>
      <c r="I10" s="26"/>
      <c r="J10" s="26"/>
      <c r="K10" s="16"/>
      <c r="L10" s="6"/>
      <c r="M10" s="21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D10" s="6">
        <f>IF((D10&lt;&gt;"")*(D14=""),IF((D10&lt;=$B$440)*((D11&gt;=$C$440)+(D11&lt;2/24)),1,0),0)</f>
        <v>0</v>
      </c>
      <c r="AE10" s="6">
        <f>IF((E10&lt;&gt;"")*(E14=""),IF((E10&lt;=$B$440)*((E11&gt;=$C$440)+(E11&lt;2/24)),1,0),0)</f>
        <v>0</v>
      </c>
      <c r="AF10" s="6">
        <f>IF((F10&lt;&gt;"")*(F14=""),IF((F10&lt;=$B$440)*((F11&gt;=$C$440)+(F11&lt;2/24)),1,0),0)</f>
        <v>0</v>
      </c>
      <c r="AG10" s="6">
        <f>IF((G10&lt;&gt;"")*(G14=""),IF((G10&lt;=$B$440)*((G11&gt;=$C$440)+(G11&lt;2/24)),1,0),0)</f>
        <v>0</v>
      </c>
      <c r="AH10" s="6">
        <f>IF((H10&lt;&gt;"")*(H14=""),IF((H10&lt;=$B$440)*((H11&gt;=$C$440)+(H11&lt;2/24)),1,0),0)</f>
        <v>0</v>
      </c>
      <c r="AI10" s="6">
        <f>IF((I10&lt;&gt;"")*(I14=""),IF((I10&lt;=$B$440)*((I11&gt;=$C$440)+(I11&lt;2/24)),1,0),0)</f>
        <v>0</v>
      </c>
      <c r="AJ10" s="6">
        <f>IF((J10&lt;&gt;"")*(J14=""),IF((J10&lt;=$B$440)*((J11&gt;=$C$440)+(J11&lt;2/24)),1,0),0)</f>
        <v>0</v>
      </c>
    </row>
    <row r="11" spans="1:36" ht="13.5" hidden="1" thickBot="1" x14ac:dyDescent="0.25">
      <c r="A11" s="39"/>
      <c r="B11" s="40"/>
      <c r="C11" s="15" t="s">
        <v>1</v>
      </c>
      <c r="D11" s="27"/>
      <c r="E11" s="27"/>
      <c r="F11" s="27"/>
      <c r="G11" s="27"/>
      <c r="H11" s="27"/>
      <c r="I11" s="27"/>
      <c r="J11" s="27"/>
      <c r="K11" s="17"/>
      <c r="L11" s="6"/>
      <c r="M11" s="21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D11" s="6">
        <f>IF((D10&lt;&gt;"")*(D14=""),IF((D10&lt;=$B$441)*((D11&gt;=$C$441)+(D11&lt;2/24)),1,0),0)</f>
        <v>0</v>
      </c>
      <c r="AE11" s="6">
        <f>IF((E10&lt;&gt;"")*(E14=""),IF((E10&lt;=$B$441)*((E11&gt;=$C$441)+(E11&lt;2/24)),1,0),0)</f>
        <v>0</v>
      </c>
      <c r="AF11" s="6">
        <f>IF((F10&lt;&gt;"")*(F14=""),IF((F10&lt;=$B$441)*((F11&gt;=$C$441)+(F11&lt;2/24)),1,0),0)</f>
        <v>0</v>
      </c>
      <c r="AG11" s="6">
        <f>IF((G10&lt;&gt;"")*(G14=""),IF((G10&lt;=$B$441)*((G11&gt;=$C$441)+(G11&lt;2/24)),1,0),0)</f>
        <v>0</v>
      </c>
      <c r="AH11" s="6">
        <f>IF((H10&lt;&gt;"")*(H14=""),IF((H10&lt;=$B$441)*((H11&gt;=$C$441)+(H11&lt;2/24)),1,0),0)</f>
        <v>0</v>
      </c>
      <c r="AI11" s="6">
        <f>IF((I10&lt;&gt;"")*(I14=""),IF((I10&lt;=$B$441)*((I11&gt;=$C$441)+(I11&lt;2/24)),1,0),0)</f>
        <v>0</v>
      </c>
      <c r="AJ11" s="6">
        <f>IF((J10&lt;&gt;"")*(J14=""),IF((J10&lt;=$B$441)*((J11&gt;=$C$441)+(J11&lt;2/24)),1,0),0)</f>
        <v>0</v>
      </c>
    </row>
    <row r="12" spans="1:36" ht="13.5" hidden="1" thickBot="1" x14ac:dyDescent="0.25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D12" s="6">
        <f>IF((D10&lt;&gt;"")*(D14=""),IF((D10&lt;=$B$442)*((D11&gt;=$C$442)+(D11&lt;2/24)),1,0),0)</f>
        <v>0</v>
      </c>
      <c r="AE12" s="6">
        <f>IF((E10&lt;&gt;"")*(E14=""),IF((E10&lt;=$B$442)*((E11&gt;=$C$442)+(E11&lt;2/24)),1,0),0)</f>
        <v>0</v>
      </c>
      <c r="AF12" s="6">
        <f>IF((F10&lt;&gt;"")*(F14=""),IF((F10&lt;=$B$442)*((F11&gt;=$C$442)+(F11&lt;2/24)),1,0),0)</f>
        <v>0</v>
      </c>
      <c r="AG12" s="6">
        <f>IF((G10&lt;&gt;"")*(G14=""),IF((G10&lt;=$B$442)*((G11&gt;=$C$442)+(G11&lt;2/24)),1,0),0)</f>
        <v>0</v>
      </c>
      <c r="AH12" s="6">
        <f>IF((H10&lt;&gt;"")*(H14=""),IF((H10&lt;=$B$442)*((H11&gt;=$C$442)+(H11&lt;2/24)),1,0),0)</f>
        <v>0</v>
      </c>
      <c r="AI12" s="6">
        <f>IF((I10&lt;&gt;"")*(I14=""),IF((I10&lt;=$B$442)*((I11&gt;=$C$442)+(I11&lt;2/24)),1,0),0)</f>
        <v>0</v>
      </c>
      <c r="AJ12" s="6">
        <f>IF((J10&lt;&gt;"")*(J14=""),IF((J10&lt;=$B$442)*((J11&gt;=$C$442)+(J11&lt;2/24)),1,0),0)</f>
        <v>0</v>
      </c>
    </row>
    <row r="13" spans="1:36" ht="13.5" hidden="1" thickBot="1" x14ac:dyDescent="0.25">
      <c r="A13" s="39"/>
      <c r="B13" s="40"/>
      <c r="C13" s="15" t="s">
        <v>3</v>
      </c>
      <c r="D13" s="43"/>
      <c r="E13" s="43"/>
      <c r="F13" s="43"/>
      <c r="G13" s="43"/>
      <c r="H13" s="43"/>
      <c r="I13" s="43"/>
      <c r="J13" s="44"/>
      <c r="K13" s="18">
        <f>SUMIF(D14:J14,"",D13:J13)</f>
        <v>0</v>
      </c>
      <c r="L13" s="12">
        <f>SUM(D13:J13)</f>
        <v>0</v>
      </c>
      <c r="M13" s="24"/>
      <c r="N13" s="10">
        <f>IF(D14="",D13,0)</f>
        <v>0</v>
      </c>
      <c r="O13" s="10">
        <f>IF(E14="",E13,0)</f>
        <v>0</v>
      </c>
      <c r="P13" s="10">
        <f t="shared" ref="P13:T13" si="2">IF(F14="",F13,0)</f>
        <v>0</v>
      </c>
      <c r="Q13" s="10">
        <f t="shared" si="2"/>
        <v>0</v>
      </c>
      <c r="R13" s="10">
        <f t="shared" si="2"/>
        <v>0</v>
      </c>
      <c r="S13" s="10">
        <f t="shared" si="2"/>
        <v>0</v>
      </c>
      <c r="T13" s="10">
        <f t="shared" si="2"/>
        <v>0</v>
      </c>
      <c r="U13" s="10"/>
      <c r="V13" s="10">
        <f>D13</f>
        <v>0</v>
      </c>
      <c r="W13" s="10">
        <f>E13</f>
        <v>0</v>
      </c>
      <c r="X13" s="10">
        <f t="shared" ref="X13:AB13" si="3">F13</f>
        <v>0</v>
      </c>
      <c r="Y13" s="10">
        <f t="shared" si="3"/>
        <v>0</v>
      </c>
      <c r="Z13" s="10">
        <f t="shared" si="3"/>
        <v>0</v>
      </c>
      <c r="AA13" s="10">
        <f t="shared" si="3"/>
        <v>0</v>
      </c>
      <c r="AB13" s="10">
        <f t="shared" si="3"/>
        <v>0</v>
      </c>
      <c r="AD13" s="6">
        <f>IF((D10&lt;&gt;"")*(D14=""),IF((D10&lt;=$B$443)*((D11&gt;=$C$443)+(D11&lt;2/24)),1,0),0)</f>
        <v>0</v>
      </c>
      <c r="AE13" s="6">
        <f>IF((E10&lt;&gt;"")*(E14=""),IF((E10&lt;=$B$443)*((E11&gt;=$C$443)+(E11&lt;2/24)),1,0),0)</f>
        <v>0</v>
      </c>
      <c r="AF13" s="6">
        <f>IF((F10&lt;&gt;"")*(F14=""),IF((F10&lt;=$B$443)*((F11&gt;=$C$443)+(F11&lt;2/24)),1,0),0)</f>
        <v>0</v>
      </c>
      <c r="AG13" s="6">
        <f>IF((G10&lt;&gt;"")*(G14=""),IF((G10&lt;=$B$443)*((G11&gt;=$C$443)+(G11&lt;2/24)),1,0),0)</f>
        <v>0</v>
      </c>
      <c r="AH13" s="6">
        <f>IF((H10&lt;&gt;"")*(H14=""),IF((H10&lt;=$B$443)*((H11&gt;=$C$443)+(H11&lt;2/24)),1,0),0)</f>
        <v>0</v>
      </c>
      <c r="AI13" s="6">
        <f>IF((I10&lt;&gt;"")*(I14=""),IF((I10&lt;=$B$443)*((I11&gt;=$C$443)+(I11&lt;2/24)),1,0),0)</f>
        <v>0</v>
      </c>
      <c r="AJ13" s="6">
        <f>IF((J10&lt;&gt;"")*(J14=""),IF((J10&lt;=$B$443)*((J11&gt;=$C$443)+(J11&lt;2/24)),1,0),0)</f>
        <v>0</v>
      </c>
    </row>
    <row r="14" spans="1:36" ht="13.5" hidden="1" thickBot="1" x14ac:dyDescent="0.25">
      <c r="A14" s="39"/>
      <c r="B14" s="40"/>
      <c r="C14" s="32" t="s">
        <v>4</v>
      </c>
      <c r="D14" s="33"/>
      <c r="E14" s="33"/>
      <c r="F14" s="33"/>
      <c r="G14" s="33"/>
      <c r="H14" s="33"/>
      <c r="I14" s="33"/>
      <c r="J14" s="33"/>
      <c r="K14" s="17"/>
      <c r="L14" s="6"/>
      <c r="M14" s="25"/>
      <c r="N14" s="6"/>
      <c r="O14" s="6"/>
      <c r="P14" s="6"/>
      <c r="Q14" s="6"/>
      <c r="R14" s="6"/>
      <c r="S14" s="6"/>
      <c r="T14" s="6"/>
      <c r="U14" s="6"/>
      <c r="V14" s="20"/>
      <c r="W14" s="20"/>
      <c r="X14" s="20"/>
      <c r="Y14" s="20"/>
      <c r="Z14" s="20"/>
      <c r="AA14" s="20"/>
      <c r="AB14" s="20"/>
      <c r="AD14" s="6">
        <f>IF((D10&lt;&gt;"")*(D14=""),IF((D10&lt;=$B$444)*((D11&gt;=$C$444)+(D11&lt;2/24)),1,0),0)</f>
        <v>0</v>
      </c>
      <c r="AE14" s="6">
        <f>IF((E10&lt;&gt;"")*(E14=""),IF((E10&lt;=$B$444)*((E11&gt;=$C$444)+(E11&lt;2/24)),1,0),0)</f>
        <v>0</v>
      </c>
      <c r="AF14" s="6">
        <f>IF((F10&lt;&gt;"")*(F14=""),IF((F10&lt;=$B$444)*((F11&gt;=$C$444)+(F11&lt;2/24)),1,0),0)</f>
        <v>0</v>
      </c>
      <c r="AG14" s="6">
        <f>IF((G10&lt;&gt;"")*(G14=""),IF((G10&lt;=$B$444)*((G11&gt;=$C$444)+(G11&lt;2/24)),1,0),0)</f>
        <v>0</v>
      </c>
      <c r="AH14" s="6">
        <f>IF((H10&lt;&gt;"")*(H14=""),IF((H10&lt;=$B$444)*((H11&gt;=$C$444)+(H11&lt;2/24)),1,0),0)</f>
        <v>0</v>
      </c>
      <c r="AI14" s="6">
        <f>IF((I10&lt;&gt;"")*(I14=""),IF((I10&lt;=$B$444)*((I11&gt;=$C$444)+(I11&lt;2/24)),1,0),0)</f>
        <v>0</v>
      </c>
      <c r="AJ14" s="6">
        <f>IF((J10&lt;&gt;"")*(J14=""),IF((J10&lt;=$B$444)*((J11&gt;=$C$444)+(J11&lt;2/24)),1,0),0)</f>
        <v>0</v>
      </c>
    </row>
    <row r="15" spans="1:36" ht="13.5" hidden="1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  <c r="L15" s="6"/>
      <c r="M15" s="25"/>
      <c r="N15" s="6"/>
      <c r="O15" s="6"/>
      <c r="P15" s="6"/>
      <c r="Q15" s="6"/>
      <c r="R15" s="6"/>
      <c r="S15" s="6"/>
      <c r="T15" s="6"/>
      <c r="U15" s="6"/>
      <c r="V15" s="20"/>
      <c r="W15" s="20"/>
      <c r="X15" s="20"/>
      <c r="Y15" s="20"/>
      <c r="Z15" s="20"/>
      <c r="AA15" s="20"/>
      <c r="AB15" s="20"/>
      <c r="AD15" s="6"/>
      <c r="AE15" s="6"/>
      <c r="AF15" s="6"/>
      <c r="AG15" s="6"/>
      <c r="AH15" s="6"/>
      <c r="AI15" s="6"/>
      <c r="AJ15" s="6"/>
    </row>
    <row r="16" spans="1:36" ht="13.5" hidden="1" thickBot="1" x14ac:dyDescent="0.25">
      <c r="A16" s="37" t="s">
        <v>29</v>
      </c>
      <c r="B16" s="38" t="s">
        <v>30</v>
      </c>
      <c r="C16" s="14" t="s">
        <v>0</v>
      </c>
      <c r="D16" s="26"/>
      <c r="E16" s="26"/>
      <c r="F16" s="26"/>
      <c r="G16" s="26"/>
      <c r="H16" s="26"/>
      <c r="I16" s="26"/>
      <c r="J16" s="26"/>
      <c r="K16" s="16"/>
      <c r="L16" s="6"/>
      <c r="M16" s="21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D16" s="6">
        <f>IF((D16&lt;&gt;"")*(D20=""),IF((D16&lt;=$B$440)*((D17&gt;=$C$440)+(D17&lt;2/24)),1,0),0)</f>
        <v>0</v>
      </c>
      <c r="AE16" s="6">
        <f>IF((E16&lt;&gt;"")*(E20=""),IF((E16&lt;=$B$440)*((E17&gt;=$C$440)+(E17&lt;2/24)),1,0),0)</f>
        <v>0</v>
      </c>
      <c r="AF16" s="6">
        <f>IF((F16&lt;&gt;"")*(F20=""),IF((F16&lt;=$B$440)*((F17&gt;=$C$440)+(F17&lt;2/24)),1,0),0)</f>
        <v>0</v>
      </c>
      <c r="AG16" s="6">
        <f>IF((G16&lt;&gt;"")*(G20=""),IF((G16&lt;=$B$440)*((G17&gt;=$C$440)+(G17&lt;2/24)),1,0),0)</f>
        <v>0</v>
      </c>
      <c r="AH16" s="6">
        <f>IF((H16&lt;&gt;"")*(H20=""),IF((H16&lt;=$B$440)*((H17&gt;=$C$440)+(H17&lt;2/24)),1,0),0)</f>
        <v>0</v>
      </c>
      <c r="AI16" s="6">
        <f>IF((I16&lt;&gt;"")*(I20=""),IF((I16&lt;=$B$440)*((I17&gt;=$C$440)+(I17&lt;2/24)),1,0),0)</f>
        <v>0</v>
      </c>
      <c r="AJ16" s="6">
        <f>IF((J16&lt;&gt;"")*(J20=""),IF((J16&lt;=$B$440)*((J17&gt;=$C$440)+(J17&lt;2/24)),1,0),0)</f>
        <v>0</v>
      </c>
    </row>
    <row r="17" spans="1:36" ht="13.5" hidden="1" thickBot="1" x14ac:dyDescent="0.25">
      <c r="A17" s="39"/>
      <c r="B17" s="40"/>
      <c r="C17" s="15" t="s">
        <v>1</v>
      </c>
      <c r="D17" s="27"/>
      <c r="E17" s="27"/>
      <c r="F17" s="27"/>
      <c r="G17" s="27"/>
      <c r="H17" s="27"/>
      <c r="I17" s="27"/>
      <c r="J17" s="27"/>
      <c r="K17" s="17"/>
      <c r="L17" s="6"/>
      <c r="M17" s="21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D17" s="6">
        <f>IF((D16&lt;&gt;"")*(D20=""),IF((D16&lt;=$B$441)*((D17&gt;=$C$441)+(D17&lt;2/24)),1,0),0)</f>
        <v>0</v>
      </c>
      <c r="AE17" s="6">
        <f>IF((E16&lt;&gt;"")*(E20=""),IF((E16&lt;=$B$441)*((E17&gt;=$C$441)+(E17&lt;2/24)),1,0),0)</f>
        <v>0</v>
      </c>
      <c r="AF17" s="6">
        <f>IF((F16&lt;&gt;"")*(F20=""),IF((F16&lt;=$B$441)*((F17&gt;=$C$441)+(F17&lt;2/24)),1,0),0)</f>
        <v>0</v>
      </c>
      <c r="AG17" s="6">
        <f>IF((G16&lt;&gt;"")*(G20=""),IF((G16&lt;=$B$441)*((G17&gt;=$C$441)+(G17&lt;2/24)),1,0),0)</f>
        <v>0</v>
      </c>
      <c r="AH17" s="6">
        <f>IF((H16&lt;&gt;"")*(H20=""),IF((H16&lt;=$B$441)*((H17&gt;=$C$441)+(H17&lt;2/24)),1,0),0)</f>
        <v>0</v>
      </c>
      <c r="AI17" s="6">
        <f>IF((I16&lt;&gt;"")*(I20=""),IF((I16&lt;=$B$441)*((I17&gt;=$C$441)+(I17&lt;2/24)),1,0),0)</f>
        <v>0</v>
      </c>
      <c r="AJ17" s="6">
        <f>IF((J16&lt;&gt;"")*(J20=""),IF((J16&lt;=$B$441)*((J17&gt;=$C$441)+(J17&lt;2/24)),1,0),0)</f>
        <v>0</v>
      </c>
    </row>
    <row r="18" spans="1:36" ht="13.5" hidden="1" thickBot="1" x14ac:dyDescent="0.25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D18" s="6">
        <f>IF((D16&lt;&gt;"")*(D20=""),IF((D16&lt;=$B$442)*((D17&gt;=$C$442)+(D17&lt;2/24)),1,0),0)</f>
        <v>0</v>
      </c>
      <c r="AE18" s="6">
        <f>IF((E16&lt;&gt;"")*(E20=""),IF((E16&lt;=$B$442)*((E17&gt;=$C$442)+(E17&lt;2/24)),1,0),0)</f>
        <v>0</v>
      </c>
      <c r="AF18" s="6">
        <f>IF((F16&lt;&gt;"")*(F20=""),IF((F16&lt;=$B$442)*((F17&gt;=$C$442)+(F17&lt;2/24)),1,0),0)</f>
        <v>0</v>
      </c>
      <c r="AG18" s="6">
        <f>IF((G16&lt;&gt;"")*(G20=""),IF((G16&lt;=$B$442)*((G17&gt;=$C$442)+(G17&lt;2/24)),1,0),0)</f>
        <v>0</v>
      </c>
      <c r="AH18" s="6">
        <f>IF((H16&lt;&gt;"")*(H20=""),IF((H16&lt;=$B$442)*((H17&gt;=$C$442)+(H17&lt;2/24)),1,0),0)</f>
        <v>0</v>
      </c>
      <c r="AI18" s="6">
        <f>IF((I16&lt;&gt;"")*(I20=""),IF((I16&lt;=$B$442)*((I17&gt;=$C$442)+(I17&lt;2/24)),1,0),0)</f>
        <v>0</v>
      </c>
      <c r="AJ18" s="6">
        <f>IF((J16&lt;&gt;"")*(J20=""),IF((J16&lt;=$B$442)*((J17&gt;=$C$442)+(J17&lt;2/24)),1,0),0)</f>
        <v>0</v>
      </c>
    </row>
    <row r="19" spans="1:36" ht="13.5" hidden="1" thickBot="1" x14ac:dyDescent="0.25">
      <c r="A19" s="39"/>
      <c r="B19" s="40"/>
      <c r="C19" s="15" t="s">
        <v>3</v>
      </c>
      <c r="D19" s="43"/>
      <c r="E19" s="43"/>
      <c r="F19" s="43"/>
      <c r="G19" s="43"/>
      <c r="H19" s="43"/>
      <c r="I19" s="43"/>
      <c r="J19" s="44"/>
      <c r="K19" s="18">
        <f>SUMIF(D20:J20,"",D19:J19)</f>
        <v>0</v>
      </c>
      <c r="L19" s="12">
        <f>SUM(D19:J19)</f>
        <v>0</v>
      </c>
      <c r="M19" s="24"/>
      <c r="N19" s="10">
        <f>IF(D20="",D19,0)</f>
        <v>0</v>
      </c>
      <c r="O19" s="10">
        <f>IF(E20="",E19,0)</f>
        <v>0</v>
      </c>
      <c r="P19" s="10">
        <f t="shared" ref="P19:T19" si="4">IF(F20="",F19,0)</f>
        <v>0</v>
      </c>
      <c r="Q19" s="10">
        <f t="shared" si="4"/>
        <v>0</v>
      </c>
      <c r="R19" s="10">
        <f t="shared" si="4"/>
        <v>0</v>
      </c>
      <c r="S19" s="10">
        <f t="shared" si="4"/>
        <v>0</v>
      </c>
      <c r="T19" s="10">
        <f t="shared" si="4"/>
        <v>0</v>
      </c>
      <c r="U19" s="10"/>
      <c r="V19" s="10">
        <f>D19</f>
        <v>0</v>
      </c>
      <c r="W19" s="10">
        <f>E19</f>
        <v>0</v>
      </c>
      <c r="X19" s="10">
        <f t="shared" ref="X19:AB19" si="5">F19</f>
        <v>0</v>
      </c>
      <c r="Y19" s="10">
        <f t="shared" si="5"/>
        <v>0</v>
      </c>
      <c r="Z19" s="10">
        <f t="shared" si="5"/>
        <v>0</v>
      </c>
      <c r="AA19" s="10">
        <f t="shared" si="5"/>
        <v>0</v>
      </c>
      <c r="AB19" s="10">
        <f t="shared" si="5"/>
        <v>0</v>
      </c>
      <c r="AD19" s="6">
        <f>IF((D16&lt;&gt;"")*(D20=""),IF((D16&lt;=$B$443)*((D17&gt;=$C$443)+(D17&lt;2/24)),1,0),0)</f>
        <v>0</v>
      </c>
      <c r="AE19" s="6">
        <f>IF((E16&lt;&gt;"")*(E20=""),IF((E16&lt;=$B$443)*((E17&gt;=$C$443)+(E17&lt;2/24)),1,0),0)</f>
        <v>0</v>
      </c>
      <c r="AF19" s="6">
        <f>IF((F16&lt;&gt;"")*(F20=""),IF((F16&lt;=$B$443)*((F17&gt;=$C$443)+(F17&lt;2/24)),1,0),0)</f>
        <v>0</v>
      </c>
      <c r="AG19" s="6">
        <f>IF((G16&lt;&gt;"")*(G20=""),IF((G16&lt;=$B$443)*((G17&gt;=$C$443)+(G17&lt;2/24)),1,0),0)</f>
        <v>0</v>
      </c>
      <c r="AH19" s="6">
        <f>IF((H16&lt;&gt;"")*(H20=""),IF((H16&lt;=$B$443)*((H17&gt;=$C$443)+(H17&lt;2/24)),1,0),0)</f>
        <v>0</v>
      </c>
      <c r="AI19" s="6">
        <f>IF((I16&lt;&gt;"")*(I20=""),IF((I16&lt;=$B$443)*((I17&gt;=$C$443)+(I17&lt;2/24)),1,0),0)</f>
        <v>0</v>
      </c>
      <c r="AJ19" s="6">
        <f>IF((J16&lt;&gt;"")*(J20=""),IF((J16&lt;=$B$443)*((J17&gt;=$C$443)+(J17&lt;2/24)),1,0),0)</f>
        <v>0</v>
      </c>
    </row>
    <row r="20" spans="1:36" ht="13.5" hidden="1" thickBot="1" x14ac:dyDescent="0.25">
      <c r="A20" s="39"/>
      <c r="B20" s="40"/>
      <c r="C20" s="32" t="s">
        <v>4</v>
      </c>
      <c r="D20" s="33"/>
      <c r="E20" s="33"/>
      <c r="F20" s="33"/>
      <c r="G20" s="33"/>
      <c r="H20" s="33"/>
      <c r="I20" s="33"/>
      <c r="J20" s="33"/>
      <c r="K20" s="17"/>
      <c r="L20" s="6"/>
      <c r="M20" s="25"/>
      <c r="N20" s="6"/>
      <c r="O20" s="6"/>
      <c r="P20" s="6"/>
      <c r="Q20" s="6"/>
      <c r="R20" s="6"/>
      <c r="S20" s="6"/>
      <c r="T20" s="6"/>
      <c r="U20" s="6"/>
      <c r="V20" s="20"/>
      <c r="W20" s="20"/>
      <c r="X20" s="20"/>
      <c r="Y20" s="20"/>
      <c r="Z20" s="20"/>
      <c r="AA20" s="20"/>
      <c r="AB20" s="20"/>
      <c r="AD20" s="6">
        <f>IF((D16&lt;&gt;"")*(D20=""),IF((D16&lt;=$B$444)*((D17&gt;=$C$444)+(D17&lt;2/24)),1,0),0)</f>
        <v>0</v>
      </c>
      <c r="AE20" s="6">
        <f>IF((E16&lt;&gt;"")*(E20=""),IF((E16&lt;=$B$444)*((E17&gt;=$C$444)+(E17&lt;2/24)),1,0),0)</f>
        <v>0</v>
      </c>
      <c r="AF20" s="6">
        <f>IF((F16&lt;&gt;"")*(F20=""),IF((F16&lt;=$B$444)*((F17&gt;=$C$444)+(F17&lt;2/24)),1,0),0)</f>
        <v>0</v>
      </c>
      <c r="AG20" s="6">
        <f>IF((G16&lt;&gt;"")*(G20=""),IF((G16&lt;=$B$444)*((G17&gt;=$C$444)+(G17&lt;2/24)),1,0),0)</f>
        <v>0</v>
      </c>
      <c r="AH20" s="6">
        <f>IF((H16&lt;&gt;"")*(H20=""),IF((H16&lt;=$B$444)*((H17&gt;=$C$444)+(H17&lt;2/24)),1,0),0)</f>
        <v>0</v>
      </c>
      <c r="AI20" s="6">
        <f>IF((I16&lt;&gt;"")*(I20=""),IF((I16&lt;=$B$444)*((I17&gt;=$C$444)+(I17&lt;2/24)),1,0),0)</f>
        <v>0</v>
      </c>
      <c r="AJ20" s="6">
        <f>IF((J16&lt;&gt;"")*(J20=""),IF((J16&lt;=$B$444)*((J17&gt;=$C$444)+(J17&lt;2/24)),1,0),0)</f>
        <v>0</v>
      </c>
    </row>
    <row r="21" spans="1:36" ht="13.5" hidden="1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  <c r="N21" s="6"/>
      <c r="O21" s="6"/>
      <c r="P21" s="6"/>
      <c r="Q21" s="6"/>
      <c r="R21" s="6"/>
      <c r="S21" s="6"/>
      <c r="T21" s="6"/>
      <c r="U21" s="6"/>
      <c r="V21" s="20"/>
      <c r="W21" s="20"/>
      <c r="X21" s="20"/>
      <c r="Y21" s="20"/>
      <c r="Z21" s="20"/>
      <c r="AA21" s="20"/>
      <c r="AB21" s="20"/>
      <c r="AD21" s="6"/>
      <c r="AE21" s="6"/>
      <c r="AF21" s="6"/>
      <c r="AG21" s="6"/>
      <c r="AH21" s="6"/>
      <c r="AI21" s="6"/>
      <c r="AJ21" s="6"/>
    </row>
    <row r="22" spans="1:36" ht="13.5" hidden="1" thickBot="1" x14ac:dyDescent="0.25">
      <c r="A22" s="37" t="s">
        <v>29</v>
      </c>
      <c r="B22" s="38" t="s">
        <v>30</v>
      </c>
      <c r="C22" s="14" t="s">
        <v>0</v>
      </c>
      <c r="D22" s="26"/>
      <c r="E22" s="26"/>
      <c r="F22" s="26"/>
      <c r="G22" s="26"/>
      <c r="H22" s="26"/>
      <c r="I22" s="26"/>
      <c r="J22" s="26"/>
      <c r="K22" s="16"/>
      <c r="L22" s="6"/>
      <c r="M22" s="21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D22" s="6">
        <f>IF((D22&lt;&gt;"")*(D26=""),IF((D22&lt;=$B$440)*((D23&gt;=$C$440)+(D23&lt;2/24)),1,0),0)</f>
        <v>0</v>
      </c>
      <c r="AE22" s="6">
        <f>IF((E22&lt;&gt;"")*(E26=""),IF((E22&lt;=$B$440)*((E23&gt;=$C$440)+(E23&lt;2/24)),1,0),0)</f>
        <v>0</v>
      </c>
      <c r="AF22" s="6">
        <f>IF((F22&lt;&gt;"")*(F26=""),IF((F22&lt;=$B$440)*((F23&gt;=$C$440)+(F23&lt;2/24)),1,0),0)</f>
        <v>0</v>
      </c>
      <c r="AG22" s="6">
        <f>IF((G22&lt;&gt;"")*(G26=""),IF((G22&lt;=$B$440)*((G23&gt;=$C$440)+(G23&lt;2/24)),1,0),0)</f>
        <v>0</v>
      </c>
      <c r="AH22" s="6">
        <f>IF((H22&lt;&gt;"")*(H26=""),IF((H22&lt;=$B$440)*((H23&gt;=$C$440)+(H23&lt;2/24)),1,0),0)</f>
        <v>0</v>
      </c>
      <c r="AI22" s="6">
        <f>IF((I22&lt;&gt;"")*(I26=""),IF((I22&lt;=$B$440)*((I23&gt;=$C$440)+(I23&lt;2/24)),1,0),0)</f>
        <v>0</v>
      </c>
      <c r="AJ22" s="6">
        <f>IF((J22&lt;&gt;"")*(J26=""),IF((J22&lt;=$B$440)*((J23&gt;=$C$440)+(J23&lt;2/24)),1,0),0)</f>
        <v>0</v>
      </c>
    </row>
    <row r="23" spans="1:36" ht="13.5" hidden="1" thickBot="1" x14ac:dyDescent="0.25">
      <c r="A23" s="39"/>
      <c r="B23" s="40"/>
      <c r="C23" s="15" t="s">
        <v>1</v>
      </c>
      <c r="D23" s="27"/>
      <c r="E23" s="27"/>
      <c r="F23" s="27"/>
      <c r="G23" s="27"/>
      <c r="H23" s="27"/>
      <c r="I23" s="27"/>
      <c r="J23" s="27"/>
      <c r="K23" s="17"/>
      <c r="L23" s="6"/>
      <c r="M23" s="21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D23" s="6">
        <f>IF((D22&lt;&gt;"")*(D26=""),IF((D22&lt;=$B$441)*((D23&gt;=$C$441)+(D23&lt;2/24)),1,0),0)</f>
        <v>0</v>
      </c>
      <c r="AE23" s="6">
        <f>IF((E22&lt;&gt;"")*(E26=""),IF((E22&lt;=$B$441)*((E23&gt;=$C$441)+(E23&lt;2/24)),1,0),0)</f>
        <v>0</v>
      </c>
      <c r="AF23" s="6">
        <f>IF((F22&lt;&gt;"")*(F26=""),IF((F22&lt;=$B$441)*((F23&gt;=$C$441)+(F23&lt;2/24)),1,0),0)</f>
        <v>0</v>
      </c>
      <c r="AG23" s="6">
        <f>IF((G22&lt;&gt;"")*(G26=""),IF((G22&lt;=$B$441)*((G23&gt;=$C$441)+(G23&lt;2/24)),1,0),0)</f>
        <v>0</v>
      </c>
      <c r="AH23" s="6">
        <f>IF((H22&lt;&gt;"")*(H26=""),IF((H22&lt;=$B$441)*((H23&gt;=$C$441)+(H23&lt;2/24)),1,0),0)</f>
        <v>0</v>
      </c>
      <c r="AI23" s="6">
        <f>IF((I22&lt;&gt;"")*(I26=""),IF((I22&lt;=$B$441)*((I23&gt;=$C$441)+(I23&lt;2/24)),1,0),0)</f>
        <v>0</v>
      </c>
      <c r="AJ23" s="6">
        <f>IF((J22&lt;&gt;"")*(J26=""),IF((J22&lt;=$B$441)*((J23&gt;=$C$441)+(J23&lt;2/24)),1,0),0)</f>
        <v>0</v>
      </c>
    </row>
    <row r="24" spans="1:36" ht="13.5" hidden="1" thickBot="1" x14ac:dyDescent="0.25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D24" s="6">
        <f>IF((D22&lt;&gt;"")*(D26=""),IF((D22&lt;=$B$442)*((D23&gt;=$C$442)+(D23&lt;2/24)),1,0),0)</f>
        <v>0</v>
      </c>
      <c r="AE24" s="6">
        <f>IF((E22&lt;&gt;"")*(E26=""),IF((E22&lt;=$B$442)*((E23&gt;=$C$442)+(E23&lt;2/24)),1,0),0)</f>
        <v>0</v>
      </c>
      <c r="AF24" s="6">
        <f>IF((F22&lt;&gt;"")*(F26=""),IF((F22&lt;=$B$442)*((F23&gt;=$C$442)+(F23&lt;2/24)),1,0),0)</f>
        <v>0</v>
      </c>
      <c r="AG24" s="6">
        <f>IF((G22&lt;&gt;"")*(G26=""),IF((G22&lt;=$B$442)*((G23&gt;=$C$442)+(G23&lt;2/24)),1,0),0)</f>
        <v>0</v>
      </c>
      <c r="AH24" s="6">
        <f>IF((H22&lt;&gt;"")*(H26=""),IF((H22&lt;=$B$442)*((H23&gt;=$C$442)+(H23&lt;2/24)),1,0),0)</f>
        <v>0</v>
      </c>
      <c r="AI24" s="6">
        <f>IF((I22&lt;&gt;"")*(I26=""),IF((I22&lt;=$B$442)*((I23&gt;=$C$442)+(I23&lt;2/24)),1,0),0)</f>
        <v>0</v>
      </c>
      <c r="AJ24" s="6">
        <f>IF((J22&lt;&gt;"")*(J26=""),IF((J22&lt;=$B$442)*((J23&gt;=$C$442)+(J23&lt;2/24)),1,0),0)</f>
        <v>0</v>
      </c>
    </row>
    <row r="25" spans="1:36" ht="13.5" hidden="1" thickBot="1" x14ac:dyDescent="0.25">
      <c r="A25" s="39"/>
      <c r="B25" s="40"/>
      <c r="C25" s="15" t="s">
        <v>3</v>
      </c>
      <c r="D25" s="43"/>
      <c r="E25" s="43"/>
      <c r="F25" s="43"/>
      <c r="G25" s="43"/>
      <c r="H25" s="43"/>
      <c r="I25" s="43"/>
      <c r="J25" s="44"/>
      <c r="K25" s="18">
        <f>SUMIF(D26:J26,"",D25:J25)</f>
        <v>0</v>
      </c>
      <c r="L25" s="12">
        <f>SUM(D25:J25)</f>
        <v>0</v>
      </c>
      <c r="M25" s="24"/>
      <c r="N25" s="10">
        <f>IF(D26="",D25,0)</f>
        <v>0</v>
      </c>
      <c r="O25" s="10">
        <f>IF(E26="",E25,0)</f>
        <v>0</v>
      </c>
      <c r="P25" s="10">
        <f t="shared" ref="P25:T25" si="6">IF(F26="",F25,0)</f>
        <v>0</v>
      </c>
      <c r="Q25" s="10">
        <f t="shared" si="6"/>
        <v>0</v>
      </c>
      <c r="R25" s="10">
        <f t="shared" si="6"/>
        <v>0</v>
      </c>
      <c r="S25" s="10">
        <f t="shared" si="6"/>
        <v>0</v>
      </c>
      <c r="T25" s="10">
        <f t="shared" si="6"/>
        <v>0</v>
      </c>
      <c r="U25" s="10"/>
      <c r="V25" s="10">
        <f>D25</f>
        <v>0</v>
      </c>
      <c r="W25" s="10">
        <f>E25</f>
        <v>0</v>
      </c>
      <c r="X25" s="10">
        <f t="shared" ref="X25:AB25" si="7">F25</f>
        <v>0</v>
      </c>
      <c r="Y25" s="10">
        <f t="shared" si="7"/>
        <v>0</v>
      </c>
      <c r="Z25" s="10">
        <f t="shared" si="7"/>
        <v>0</v>
      </c>
      <c r="AA25" s="10">
        <f t="shared" si="7"/>
        <v>0</v>
      </c>
      <c r="AB25" s="10">
        <f t="shared" si="7"/>
        <v>0</v>
      </c>
      <c r="AD25" s="6">
        <f>IF((D22&lt;&gt;"")*(D26=""),IF((D22&lt;=$B$443)*((D23&gt;=$C$443)+(D23&lt;2/24)),1,0),0)</f>
        <v>0</v>
      </c>
      <c r="AE25" s="6">
        <f>IF((E22&lt;&gt;"")*(E26=""),IF((E22&lt;=$B$443)*((E23&gt;=$C$443)+(E23&lt;2/24)),1,0),0)</f>
        <v>0</v>
      </c>
      <c r="AF25" s="6">
        <f>IF((F22&lt;&gt;"")*(F26=""),IF((F22&lt;=$B$443)*((F23&gt;=$C$443)+(F23&lt;2/24)),1,0),0)</f>
        <v>0</v>
      </c>
      <c r="AG25" s="6">
        <f>IF((G22&lt;&gt;"")*(G26=""),IF((G22&lt;=$B$443)*((G23&gt;=$C$443)+(G23&lt;2/24)),1,0),0)</f>
        <v>0</v>
      </c>
      <c r="AH25" s="6">
        <f>IF((H22&lt;&gt;"")*(H26=""),IF((H22&lt;=$B$443)*((H23&gt;=$C$443)+(H23&lt;2/24)),1,0),0)</f>
        <v>0</v>
      </c>
      <c r="AI25" s="6">
        <f>IF((I22&lt;&gt;"")*(I26=""),IF((I22&lt;=$B$443)*((I23&gt;=$C$443)+(I23&lt;2/24)),1,0),0)</f>
        <v>0</v>
      </c>
      <c r="AJ25" s="6">
        <f>IF((J22&lt;&gt;"")*(J26=""),IF((J22&lt;=$B$443)*((J23&gt;=$C$443)+(J23&lt;2/24)),1,0),0)</f>
        <v>0</v>
      </c>
    </row>
    <row r="26" spans="1:36" ht="13.5" hidden="1" thickBot="1" x14ac:dyDescent="0.25">
      <c r="A26" s="39"/>
      <c r="B26" s="40"/>
      <c r="C26" s="32" t="s">
        <v>4</v>
      </c>
      <c r="D26" s="33"/>
      <c r="E26" s="33"/>
      <c r="F26" s="33"/>
      <c r="G26" s="33"/>
      <c r="H26" s="33"/>
      <c r="I26" s="33"/>
      <c r="J26" s="33"/>
      <c r="K26" s="17"/>
      <c r="L26" s="6"/>
      <c r="M26" s="25"/>
      <c r="N26" s="6"/>
      <c r="O26" s="6"/>
      <c r="P26" s="6"/>
      <c r="Q26" s="6"/>
      <c r="R26" s="6"/>
      <c r="S26" s="6"/>
      <c r="T26" s="6"/>
      <c r="U26" s="6"/>
      <c r="V26" s="20"/>
      <c r="W26" s="20"/>
      <c r="X26" s="20"/>
      <c r="Y26" s="20"/>
      <c r="Z26" s="20"/>
      <c r="AA26" s="20"/>
      <c r="AB26" s="20"/>
      <c r="AD26" s="6">
        <f>IF((D22&lt;&gt;"")*(D26=""),IF((D22&lt;=$B$444)*((D23&gt;=$C$444)+(D23&lt;2/24)),1,0),0)</f>
        <v>0</v>
      </c>
      <c r="AE26" s="6">
        <f>IF((E22&lt;&gt;"")*(E26=""),IF((E22&lt;=$B$444)*((E23&gt;=$C$444)+(E23&lt;2/24)),1,0),0)</f>
        <v>0</v>
      </c>
      <c r="AF26" s="6">
        <f>IF((F22&lt;&gt;"")*(F26=""),IF((F22&lt;=$B$444)*((F23&gt;=$C$444)+(F23&lt;2/24)),1,0),0)</f>
        <v>0</v>
      </c>
      <c r="AG26" s="6">
        <f>IF((G22&lt;&gt;"")*(G26=""),IF((G22&lt;=$B$444)*((G23&gt;=$C$444)+(G23&lt;2/24)),1,0),0)</f>
        <v>0</v>
      </c>
      <c r="AH26" s="6">
        <f>IF((H22&lt;&gt;"")*(H26=""),IF((H22&lt;=$B$444)*((H23&gt;=$C$444)+(H23&lt;2/24)),1,0),0)</f>
        <v>0</v>
      </c>
      <c r="AI26" s="6">
        <f>IF((I22&lt;&gt;"")*(I26=""),IF((I22&lt;=$B$444)*((I23&gt;=$C$444)+(I23&lt;2/24)),1,0),0)</f>
        <v>0</v>
      </c>
      <c r="AJ26" s="6">
        <f>IF((J22&lt;&gt;"")*(J26=""),IF((J22&lt;=$B$444)*((J23&gt;=$C$444)+(J23&lt;2/24)),1,0),0)</f>
        <v>0</v>
      </c>
    </row>
    <row r="27" spans="1:36" ht="13.5" hidden="1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  <c r="N27" s="6"/>
      <c r="O27" s="6"/>
      <c r="P27" s="6"/>
      <c r="Q27" s="6"/>
      <c r="R27" s="6"/>
      <c r="S27" s="6"/>
      <c r="T27" s="6"/>
      <c r="U27" s="6"/>
      <c r="V27" s="20"/>
      <c r="W27" s="20"/>
      <c r="X27" s="20"/>
      <c r="Y27" s="20"/>
      <c r="Z27" s="20"/>
      <c r="AA27" s="20"/>
      <c r="AB27" s="20"/>
      <c r="AD27" s="6"/>
      <c r="AE27" s="6"/>
      <c r="AF27" s="6"/>
      <c r="AG27" s="6"/>
      <c r="AH27" s="6"/>
      <c r="AI27" s="6"/>
      <c r="AJ27" s="6"/>
    </row>
    <row r="28" spans="1:36" ht="13.5" hidden="1" thickBot="1" x14ac:dyDescent="0.25">
      <c r="A28" s="37" t="s">
        <v>29</v>
      </c>
      <c r="B28" s="38" t="s">
        <v>30</v>
      </c>
      <c r="C28" s="14" t="s">
        <v>0</v>
      </c>
      <c r="D28" s="26"/>
      <c r="E28" s="26"/>
      <c r="F28" s="26"/>
      <c r="G28" s="26"/>
      <c r="H28" s="26"/>
      <c r="I28" s="26"/>
      <c r="J28" s="26"/>
      <c r="K28" s="16"/>
      <c r="L28" s="6"/>
      <c r="M28" s="21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D28" s="6">
        <f>IF((D28&lt;&gt;"")*(D32=""),IF((D28&lt;=$B$440)*((D29&gt;=$C$440)+(D29&lt;2/24)),1,0),0)</f>
        <v>0</v>
      </c>
      <c r="AE28" s="6">
        <f>IF((E28&lt;&gt;"")*(E32=""),IF((E28&lt;=$B$440)*((E29&gt;=$C$440)+(E29&lt;2/24)),1,0),0)</f>
        <v>0</v>
      </c>
      <c r="AF28" s="6">
        <f>IF((F28&lt;&gt;"")*(F32=""),IF((F28&lt;=$B$440)*((F29&gt;=$C$440)+(F29&lt;2/24)),1,0),0)</f>
        <v>0</v>
      </c>
      <c r="AG28" s="6">
        <f>IF((G28&lt;&gt;"")*(G32=""),IF((G28&lt;=$B$440)*((G29&gt;=$C$440)+(G29&lt;2/24)),1,0),0)</f>
        <v>0</v>
      </c>
      <c r="AH28" s="6">
        <f>IF((H28&lt;&gt;"")*(H32=""),IF((H28&lt;=$B$440)*((H29&gt;=$C$440)+(H29&lt;2/24)),1,0),0)</f>
        <v>0</v>
      </c>
      <c r="AI28" s="6">
        <f>IF((I28&lt;&gt;"")*(I32=""),IF((I28&lt;=$B$440)*((I29&gt;=$C$440)+(I29&lt;2/24)),1,0),0)</f>
        <v>0</v>
      </c>
      <c r="AJ28" s="6">
        <f>IF((J28&lt;&gt;"")*(J32=""),IF((J28&lt;=$B$440)*((J29&gt;=$C$440)+(J29&lt;2/24)),1,0),0)</f>
        <v>0</v>
      </c>
    </row>
    <row r="29" spans="1:36" ht="13.5" hidden="1" thickBot="1" x14ac:dyDescent="0.25">
      <c r="A29" s="39"/>
      <c r="B29" s="40"/>
      <c r="C29" s="15" t="s">
        <v>1</v>
      </c>
      <c r="D29" s="27"/>
      <c r="E29" s="27"/>
      <c r="F29" s="27"/>
      <c r="G29" s="27"/>
      <c r="H29" s="27"/>
      <c r="I29" s="27"/>
      <c r="J29" s="27"/>
      <c r="K29" s="17"/>
      <c r="L29" s="6"/>
      <c r="M29" s="21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D29" s="6">
        <f>IF((D28&lt;&gt;"")*(D32=""),IF((D28&lt;=$B$441)*((D29&gt;=$C$441)+(D29&lt;2/24)),1,0),0)</f>
        <v>0</v>
      </c>
      <c r="AE29" s="6">
        <f>IF((E28&lt;&gt;"")*(E32=""),IF((E28&lt;=$B$441)*((E29&gt;=$C$441)+(E29&lt;2/24)),1,0),0)</f>
        <v>0</v>
      </c>
      <c r="AF29" s="6">
        <f>IF((F28&lt;&gt;"")*(F32=""),IF((F28&lt;=$B$441)*((F29&gt;=$C$441)+(F29&lt;2/24)),1,0),0)</f>
        <v>0</v>
      </c>
      <c r="AG29" s="6">
        <f>IF((G28&lt;&gt;"")*(G32=""),IF((G28&lt;=$B$441)*((G29&gt;=$C$441)+(G29&lt;2/24)),1,0),0)</f>
        <v>0</v>
      </c>
      <c r="AH29" s="6">
        <f>IF((H28&lt;&gt;"")*(H32=""),IF((H28&lt;=$B$441)*((H29&gt;=$C$441)+(H29&lt;2/24)),1,0),0)</f>
        <v>0</v>
      </c>
      <c r="AI29" s="6">
        <f>IF((I28&lt;&gt;"")*(I32=""),IF((I28&lt;=$B$441)*((I29&gt;=$C$441)+(I29&lt;2/24)),1,0),0)</f>
        <v>0</v>
      </c>
      <c r="AJ29" s="6">
        <f>IF((J28&lt;&gt;"")*(J32=""),IF((J28&lt;=$B$441)*((J29&gt;=$C$441)+(J29&lt;2/24)),1,0),0)</f>
        <v>0</v>
      </c>
    </row>
    <row r="30" spans="1:36" ht="13.5" hidden="1" thickBot="1" x14ac:dyDescent="0.25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D30" s="6">
        <f>IF((D28&lt;&gt;"")*(D32=""),IF((D28&lt;=$B$442)*((D29&gt;=$C$442)+(D29&lt;2/24)),1,0),0)</f>
        <v>0</v>
      </c>
      <c r="AE30" s="6">
        <f>IF((E28&lt;&gt;"")*(E32=""),IF((E28&lt;=$B$442)*((E29&gt;=$C$442)+(E29&lt;2/24)),1,0),0)</f>
        <v>0</v>
      </c>
      <c r="AF30" s="6">
        <f>IF((F28&lt;&gt;"")*(F32=""),IF((F28&lt;=$B$442)*((F29&gt;=$C$442)+(F29&lt;2/24)),1,0),0)</f>
        <v>0</v>
      </c>
      <c r="AG30" s="6">
        <f>IF((G28&lt;&gt;"")*(G32=""),IF((G28&lt;=$B$442)*((G29&gt;=$C$442)+(G29&lt;2/24)),1,0),0)</f>
        <v>0</v>
      </c>
      <c r="AH30" s="6">
        <f>IF((H28&lt;&gt;"")*(H32=""),IF((H28&lt;=$B$442)*((H29&gt;=$C$442)+(H29&lt;2/24)),1,0),0)</f>
        <v>0</v>
      </c>
      <c r="AI30" s="6">
        <f>IF((I28&lt;&gt;"")*(I32=""),IF((I28&lt;=$B$442)*((I29&gt;=$C$442)+(I29&lt;2/24)),1,0),0)</f>
        <v>0</v>
      </c>
      <c r="AJ30" s="6">
        <f>IF((J28&lt;&gt;"")*(J32=""),IF((J28&lt;=$B$442)*((J29&gt;=$C$442)+(J29&lt;2/24)),1,0),0)</f>
        <v>0</v>
      </c>
    </row>
    <row r="31" spans="1:36" ht="13.5" hidden="1" thickBot="1" x14ac:dyDescent="0.25">
      <c r="A31" s="39"/>
      <c r="B31" s="40"/>
      <c r="C31" s="15" t="s">
        <v>3</v>
      </c>
      <c r="D31" s="43"/>
      <c r="E31" s="43"/>
      <c r="F31" s="43"/>
      <c r="G31" s="43"/>
      <c r="H31" s="43"/>
      <c r="I31" s="43"/>
      <c r="J31" s="44"/>
      <c r="K31" s="18">
        <f>SUMIF(D32:J32,"",D31:J31)</f>
        <v>0</v>
      </c>
      <c r="L31" s="12">
        <f>SUM(D31:J31)</f>
        <v>0</v>
      </c>
      <c r="M31" s="24"/>
      <c r="N31" s="10">
        <f>IF(D32="",D31,0)</f>
        <v>0</v>
      </c>
      <c r="O31" s="10">
        <f>IF(E32="",E31,0)</f>
        <v>0</v>
      </c>
      <c r="P31" s="10">
        <f t="shared" ref="P31:T31" si="8">IF(F32="",F31,0)</f>
        <v>0</v>
      </c>
      <c r="Q31" s="10">
        <f t="shared" si="8"/>
        <v>0</v>
      </c>
      <c r="R31" s="10">
        <f t="shared" si="8"/>
        <v>0</v>
      </c>
      <c r="S31" s="10">
        <f t="shared" si="8"/>
        <v>0</v>
      </c>
      <c r="T31" s="10">
        <f t="shared" si="8"/>
        <v>0</v>
      </c>
      <c r="U31" s="10"/>
      <c r="V31" s="10">
        <f>D31</f>
        <v>0</v>
      </c>
      <c r="W31" s="10">
        <f>E31</f>
        <v>0</v>
      </c>
      <c r="X31" s="10">
        <f t="shared" ref="X31:AB31" si="9">F31</f>
        <v>0</v>
      </c>
      <c r="Y31" s="10">
        <f t="shared" si="9"/>
        <v>0</v>
      </c>
      <c r="Z31" s="10">
        <f t="shared" si="9"/>
        <v>0</v>
      </c>
      <c r="AA31" s="10">
        <f t="shared" si="9"/>
        <v>0</v>
      </c>
      <c r="AB31" s="10">
        <f t="shared" si="9"/>
        <v>0</v>
      </c>
      <c r="AD31" s="6">
        <f>IF((D28&lt;&gt;"")*(D32=""),IF((D28&lt;=$B$443)*((D29&gt;=$C$443)+(D29&lt;2/24)),1,0),0)</f>
        <v>0</v>
      </c>
      <c r="AE31" s="6">
        <f>IF((E28&lt;&gt;"")*(E32=""),IF((E28&lt;=$B$443)*((E29&gt;=$C$443)+(E29&lt;2/24)),1,0),0)</f>
        <v>0</v>
      </c>
      <c r="AF31" s="6">
        <f>IF((F28&lt;&gt;"")*(F32=""),IF((F28&lt;=$B$443)*((F29&gt;=$C$443)+(F29&lt;2/24)),1,0),0)</f>
        <v>0</v>
      </c>
      <c r="AG31" s="6">
        <f>IF((G28&lt;&gt;"")*(G32=""),IF((G28&lt;=$B$443)*((G29&gt;=$C$443)+(G29&lt;2/24)),1,0),0)</f>
        <v>0</v>
      </c>
      <c r="AH31" s="6">
        <f>IF((H28&lt;&gt;"")*(H32=""),IF((H28&lt;=$B$443)*((H29&gt;=$C$443)+(H29&lt;2/24)),1,0),0)</f>
        <v>0</v>
      </c>
      <c r="AI31" s="6">
        <f>IF((I28&lt;&gt;"")*(I32=""),IF((I28&lt;=$B$443)*((I29&gt;=$C$443)+(I29&lt;2/24)),1,0),0)</f>
        <v>0</v>
      </c>
      <c r="AJ31" s="6">
        <f>IF((J28&lt;&gt;"")*(J32=""),IF((J28&lt;=$B$443)*((J29&gt;=$C$443)+(J29&lt;2/24)),1,0),0)</f>
        <v>0</v>
      </c>
    </row>
    <row r="32" spans="1:36" ht="13.5" hidden="1" thickBot="1" x14ac:dyDescent="0.25">
      <c r="A32" s="39"/>
      <c r="B32" s="40"/>
      <c r="C32" s="32" t="s">
        <v>4</v>
      </c>
      <c r="D32" s="33"/>
      <c r="E32" s="33"/>
      <c r="F32" s="33"/>
      <c r="G32" s="33"/>
      <c r="H32" s="33"/>
      <c r="I32" s="33"/>
      <c r="J32" s="33"/>
      <c r="K32" s="17"/>
      <c r="L32" s="6"/>
      <c r="M32" s="25"/>
      <c r="N32" s="6"/>
      <c r="O32" s="6"/>
      <c r="P32" s="6"/>
      <c r="Q32" s="6"/>
      <c r="R32" s="6"/>
      <c r="S32" s="6"/>
      <c r="T32" s="6"/>
      <c r="U32" s="6"/>
      <c r="V32" s="20"/>
      <c r="W32" s="20"/>
      <c r="X32" s="20"/>
      <c r="Y32" s="20"/>
      <c r="Z32" s="20"/>
      <c r="AA32" s="20"/>
      <c r="AB32" s="20"/>
      <c r="AD32" s="6">
        <f>IF((D28&lt;&gt;"")*(D32=""),IF((D28&lt;=$B$444)*((D29&gt;=$C$444)+(D29&lt;2/24)),1,0),0)</f>
        <v>0</v>
      </c>
      <c r="AE32" s="6">
        <f>IF((E28&lt;&gt;"")*(E32=""),IF((E28&lt;=$B$444)*((E29&gt;=$C$444)+(E29&lt;2/24)),1,0),0)</f>
        <v>0</v>
      </c>
      <c r="AF32" s="6">
        <f>IF((F28&lt;&gt;"")*(F32=""),IF((F28&lt;=$B$444)*((F29&gt;=$C$444)+(F29&lt;2/24)),1,0),0)</f>
        <v>0</v>
      </c>
      <c r="AG32" s="6">
        <f>IF((G28&lt;&gt;"")*(G32=""),IF((G28&lt;=$B$444)*((G29&gt;=$C$444)+(G29&lt;2/24)),1,0),0)</f>
        <v>0</v>
      </c>
      <c r="AH32" s="6">
        <f>IF((H28&lt;&gt;"")*(H32=""),IF((H28&lt;=$B$444)*((H29&gt;=$C$444)+(H29&lt;2/24)),1,0),0)</f>
        <v>0</v>
      </c>
      <c r="AI32" s="6">
        <f>IF((I28&lt;&gt;"")*(I32=""),IF((I28&lt;=$B$444)*((I29&gt;=$C$444)+(I29&lt;2/24)),1,0),0)</f>
        <v>0</v>
      </c>
      <c r="AJ32" s="6">
        <f>IF((J28&lt;&gt;"")*(J32=""),IF((J28&lt;=$B$444)*((J29&gt;=$C$444)+(J29&lt;2/24)),1,0),0)</f>
        <v>0</v>
      </c>
    </row>
    <row r="33" spans="1:36" ht="13.5" hidden="1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  <c r="N33" s="6"/>
      <c r="O33" s="6"/>
      <c r="P33" s="6"/>
      <c r="Q33" s="6"/>
      <c r="R33" s="6"/>
      <c r="S33" s="6"/>
      <c r="T33" s="6"/>
      <c r="U33" s="6"/>
      <c r="V33" s="20"/>
      <c r="W33" s="20"/>
      <c r="X33" s="20"/>
      <c r="Y33" s="20"/>
      <c r="Z33" s="20"/>
      <c r="AA33" s="20"/>
      <c r="AB33" s="20"/>
      <c r="AD33" s="6"/>
      <c r="AE33" s="6"/>
      <c r="AF33" s="6"/>
      <c r="AG33" s="6"/>
      <c r="AH33" s="6"/>
      <c r="AI33" s="6"/>
      <c r="AJ33" s="6"/>
    </row>
    <row r="34" spans="1:36" ht="13.5" hidden="1" thickBot="1" x14ac:dyDescent="0.25">
      <c r="A34" s="37" t="s">
        <v>29</v>
      </c>
      <c r="B34" s="38" t="s">
        <v>30</v>
      </c>
      <c r="C34" s="14" t="s">
        <v>0</v>
      </c>
      <c r="D34" s="26"/>
      <c r="E34" s="26"/>
      <c r="F34" s="26"/>
      <c r="G34" s="26"/>
      <c r="H34" s="26"/>
      <c r="I34" s="26"/>
      <c r="J34" s="26"/>
      <c r="K34" s="16"/>
      <c r="L34" s="6"/>
      <c r="M34" s="21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D34" s="6">
        <f>IF((D34&lt;&gt;"")*(D38=""),IF((D34&lt;=$B$440)*((D35&gt;=$C$440)+(D35&lt;2/24)),1,0),0)</f>
        <v>0</v>
      </c>
      <c r="AE34" s="6">
        <f>IF((E34&lt;&gt;"")*(E38=""),IF((E34&lt;=$B$440)*((E35&gt;=$C$440)+(E35&lt;2/24)),1,0),0)</f>
        <v>0</v>
      </c>
      <c r="AF34" s="6">
        <f>IF((F34&lt;&gt;"")*(F38=""),IF((F34&lt;=$B$440)*((F35&gt;=$C$440)+(F35&lt;2/24)),1,0),0)</f>
        <v>0</v>
      </c>
      <c r="AG34" s="6">
        <f>IF((G34&lt;&gt;"")*(G38=""),IF((G34&lt;=$B$440)*((G35&gt;=$C$440)+(G35&lt;2/24)),1,0),0)</f>
        <v>0</v>
      </c>
      <c r="AH34" s="6">
        <f>IF((H34&lt;&gt;"")*(H38=""),IF((H34&lt;=$B$440)*((H35&gt;=$C$440)+(H35&lt;2/24)),1,0),0)</f>
        <v>0</v>
      </c>
      <c r="AI34" s="6">
        <f>IF((I34&lt;&gt;"")*(I38=""),IF((I34&lt;=$B$440)*((I35&gt;=$C$440)+(I35&lt;2/24)),1,0),0)</f>
        <v>0</v>
      </c>
      <c r="AJ34" s="6">
        <f>IF((J34&lt;&gt;"")*(J38=""),IF((J34&lt;=$B$440)*((J35&gt;=$C$440)+(J35&lt;2/24)),1,0),0)</f>
        <v>0</v>
      </c>
    </row>
    <row r="35" spans="1:36" ht="13.5" hidden="1" thickBot="1" x14ac:dyDescent="0.25">
      <c r="A35" s="39"/>
      <c r="B35" s="40"/>
      <c r="C35" s="15" t="s">
        <v>1</v>
      </c>
      <c r="D35" s="27"/>
      <c r="E35" s="27"/>
      <c r="F35" s="27"/>
      <c r="G35" s="27"/>
      <c r="H35" s="27"/>
      <c r="I35" s="27"/>
      <c r="J35" s="27"/>
      <c r="K35" s="17"/>
      <c r="L35" s="6"/>
      <c r="M35" s="21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D35" s="6">
        <f>IF((D34&lt;&gt;"")*(D38=""),IF((D34&lt;=$B$441)*((D35&gt;=$C$441)+(D35&lt;2/24)),1,0),0)</f>
        <v>0</v>
      </c>
      <c r="AE35" s="6">
        <f>IF((E34&lt;&gt;"")*(E38=""),IF((E34&lt;=$B$441)*((E35&gt;=$C$441)+(E35&lt;2/24)),1,0),0)</f>
        <v>0</v>
      </c>
      <c r="AF35" s="6">
        <f>IF((F34&lt;&gt;"")*(F38=""),IF((F34&lt;=$B$441)*((F35&gt;=$C$441)+(F35&lt;2/24)),1,0),0)</f>
        <v>0</v>
      </c>
      <c r="AG35" s="6">
        <f>IF((G34&lt;&gt;"")*(G38=""),IF((G34&lt;=$B$441)*((G35&gt;=$C$441)+(G35&lt;2/24)),1,0),0)</f>
        <v>0</v>
      </c>
      <c r="AH35" s="6">
        <f>IF((H34&lt;&gt;"")*(H38=""),IF((H34&lt;=$B$441)*((H35&gt;=$C$441)+(H35&lt;2/24)),1,0),0)</f>
        <v>0</v>
      </c>
      <c r="AI35" s="6">
        <f>IF((I34&lt;&gt;"")*(I38=""),IF((I34&lt;=$B$441)*((I35&gt;=$C$441)+(I35&lt;2/24)),1,0),0)</f>
        <v>0</v>
      </c>
      <c r="AJ35" s="6">
        <f>IF((J34&lt;&gt;"")*(J38=""),IF((J34&lt;=$B$441)*((J35&gt;=$C$441)+(J35&lt;2/24)),1,0),0)</f>
        <v>0</v>
      </c>
    </row>
    <row r="36" spans="1:36" ht="13.5" hidden="1" thickBot="1" x14ac:dyDescent="0.25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D36" s="6">
        <f>IF((D34&lt;&gt;"")*(D38=""),IF((D34&lt;=$B$442)*((D35&gt;=$C$442)+(D35&lt;2/24)),1,0),0)</f>
        <v>0</v>
      </c>
      <c r="AE36" s="6">
        <f>IF((E34&lt;&gt;"")*(E38=""),IF((E34&lt;=$B$442)*((E35&gt;=$C$442)+(E35&lt;2/24)),1,0),0)</f>
        <v>0</v>
      </c>
      <c r="AF36" s="6">
        <f>IF((F34&lt;&gt;"")*(F38=""),IF((F34&lt;=$B$442)*((F35&gt;=$C$442)+(F35&lt;2/24)),1,0),0)</f>
        <v>0</v>
      </c>
      <c r="AG36" s="6">
        <f>IF((G34&lt;&gt;"")*(G38=""),IF((G34&lt;=$B$442)*((G35&gt;=$C$442)+(G35&lt;2/24)),1,0),0)</f>
        <v>0</v>
      </c>
      <c r="AH36" s="6">
        <f>IF((H34&lt;&gt;"")*(H38=""),IF((H34&lt;=$B$442)*((H35&gt;=$C$442)+(H35&lt;2/24)),1,0),0)</f>
        <v>0</v>
      </c>
      <c r="AI36" s="6">
        <f>IF((I34&lt;&gt;"")*(I38=""),IF((I34&lt;=$B$442)*((I35&gt;=$C$442)+(I35&lt;2/24)),1,0),0)</f>
        <v>0</v>
      </c>
      <c r="AJ36" s="6">
        <f>IF((J34&lt;&gt;"")*(J38=""),IF((J34&lt;=$B$442)*((J35&gt;=$C$442)+(J35&lt;2/24)),1,0),0)</f>
        <v>0</v>
      </c>
    </row>
    <row r="37" spans="1:36" ht="13.5" hidden="1" thickBot="1" x14ac:dyDescent="0.25">
      <c r="A37" s="39"/>
      <c r="B37" s="40"/>
      <c r="C37" s="15" t="s">
        <v>3</v>
      </c>
      <c r="D37" s="43"/>
      <c r="E37" s="43"/>
      <c r="F37" s="43"/>
      <c r="G37" s="43"/>
      <c r="H37" s="43"/>
      <c r="I37" s="43"/>
      <c r="J37" s="44"/>
      <c r="K37" s="18">
        <f>SUMIF(D38:J38,"",D37:J37)</f>
        <v>0</v>
      </c>
      <c r="L37" s="12">
        <f>SUM(D37:J37)</f>
        <v>0</v>
      </c>
      <c r="M37" s="24"/>
      <c r="N37" s="10">
        <f>IF(D38="",D37,0)</f>
        <v>0</v>
      </c>
      <c r="O37" s="10">
        <f>IF(E38="",E37,0)</f>
        <v>0</v>
      </c>
      <c r="P37" s="10">
        <f t="shared" ref="P37:T37" si="10">IF(F38="",F37,0)</f>
        <v>0</v>
      </c>
      <c r="Q37" s="10">
        <f t="shared" si="10"/>
        <v>0</v>
      </c>
      <c r="R37" s="10">
        <f t="shared" si="10"/>
        <v>0</v>
      </c>
      <c r="S37" s="10">
        <f t="shared" si="10"/>
        <v>0</v>
      </c>
      <c r="T37" s="10">
        <f t="shared" si="10"/>
        <v>0</v>
      </c>
      <c r="U37" s="10"/>
      <c r="V37" s="10">
        <f>D37</f>
        <v>0</v>
      </c>
      <c r="W37" s="10">
        <f>E37</f>
        <v>0</v>
      </c>
      <c r="X37" s="10">
        <f t="shared" ref="X37:AB37" si="11">F37</f>
        <v>0</v>
      </c>
      <c r="Y37" s="10">
        <f t="shared" si="11"/>
        <v>0</v>
      </c>
      <c r="Z37" s="10">
        <f t="shared" si="11"/>
        <v>0</v>
      </c>
      <c r="AA37" s="10">
        <f t="shared" si="11"/>
        <v>0</v>
      </c>
      <c r="AB37" s="10">
        <f t="shared" si="11"/>
        <v>0</v>
      </c>
      <c r="AD37" s="6">
        <f>IF((D34&lt;&gt;"")*(D38=""),IF((D34&lt;=$B$443)*((D35&gt;=$C$443)+(D35&lt;2/24)),1,0),0)</f>
        <v>0</v>
      </c>
      <c r="AE37" s="6">
        <f>IF((E34&lt;&gt;"")*(E38=""),IF((E34&lt;=$B$443)*((E35&gt;=$C$443)+(E35&lt;2/24)),1,0),0)</f>
        <v>0</v>
      </c>
      <c r="AF37" s="6">
        <f>IF((F34&lt;&gt;"")*(F38=""),IF((F34&lt;=$B$443)*((F35&gt;=$C$443)+(F35&lt;2/24)),1,0),0)</f>
        <v>0</v>
      </c>
      <c r="AG37" s="6">
        <f>IF((G34&lt;&gt;"")*(G38=""),IF((G34&lt;=$B$443)*((G35&gt;=$C$443)+(G35&lt;2/24)),1,0),0)</f>
        <v>0</v>
      </c>
      <c r="AH37" s="6">
        <f>IF((H34&lt;&gt;"")*(H38=""),IF((H34&lt;=$B$443)*((H35&gt;=$C$443)+(H35&lt;2/24)),1,0),0)</f>
        <v>0</v>
      </c>
      <c r="AI37" s="6">
        <f>IF((I34&lt;&gt;"")*(I38=""),IF((I34&lt;=$B$443)*((I35&gt;=$C$443)+(I35&lt;2/24)),1,0),0)</f>
        <v>0</v>
      </c>
      <c r="AJ37" s="6">
        <f>IF((J34&lt;&gt;"")*(J38=""),IF((J34&lt;=$B$443)*((J35&gt;=$C$443)+(J35&lt;2/24)),1,0),0)</f>
        <v>0</v>
      </c>
    </row>
    <row r="38" spans="1:36" ht="13.5" hidden="1" thickBot="1" x14ac:dyDescent="0.25">
      <c r="A38" s="39"/>
      <c r="B38" s="40"/>
      <c r="C38" s="32" t="s">
        <v>4</v>
      </c>
      <c r="D38" s="33"/>
      <c r="E38" s="33"/>
      <c r="F38" s="33"/>
      <c r="G38" s="33"/>
      <c r="H38" s="33"/>
      <c r="I38" s="33"/>
      <c r="J38" s="33"/>
      <c r="K38" s="17"/>
      <c r="L38" s="6"/>
      <c r="M38" s="25"/>
      <c r="N38" s="6"/>
      <c r="O38" s="6"/>
      <c r="P38" s="6"/>
      <c r="Q38" s="6"/>
      <c r="R38" s="6"/>
      <c r="S38" s="6"/>
      <c r="T38" s="6"/>
      <c r="U38" s="6"/>
      <c r="V38" s="20"/>
      <c r="W38" s="20"/>
      <c r="X38" s="20"/>
      <c r="Y38" s="20"/>
      <c r="Z38" s="20"/>
      <c r="AA38" s="20"/>
      <c r="AB38" s="20"/>
      <c r="AD38" s="6">
        <f>IF((D34&lt;&gt;"")*(D38=""),IF((D34&lt;=$B$444)*((D35&gt;=$C$444)+(D35&lt;2/24)),1,0),0)</f>
        <v>0</v>
      </c>
      <c r="AE38" s="6">
        <f>IF((E34&lt;&gt;"")*(E38=""),IF((E34&lt;=$B$444)*((E35&gt;=$C$444)+(E35&lt;2/24)),1,0),0)</f>
        <v>0</v>
      </c>
      <c r="AF38" s="6">
        <f>IF((F34&lt;&gt;"")*(F38=""),IF((F34&lt;=$B$444)*((F35&gt;=$C$444)+(F35&lt;2/24)),1,0),0)</f>
        <v>0</v>
      </c>
      <c r="AG38" s="6">
        <f>IF((G34&lt;&gt;"")*(G38=""),IF((G34&lt;=$B$444)*((G35&gt;=$C$444)+(G35&lt;2/24)),1,0),0)</f>
        <v>0</v>
      </c>
      <c r="AH38" s="6">
        <f>IF((H34&lt;&gt;"")*(H38=""),IF((H34&lt;=$B$444)*((H35&gt;=$C$444)+(H35&lt;2/24)),1,0),0)</f>
        <v>0</v>
      </c>
      <c r="AI38" s="6">
        <f>IF((I34&lt;&gt;"")*(I38=""),IF((I34&lt;=$B$444)*((I35&gt;=$C$444)+(I35&lt;2/24)),1,0),0)</f>
        <v>0</v>
      </c>
      <c r="AJ38" s="6">
        <f>IF((J34&lt;&gt;"")*(J38=""),IF((J34&lt;=$B$444)*((J35&gt;=$C$444)+(J35&lt;2/24)),1,0),0)</f>
        <v>0</v>
      </c>
    </row>
    <row r="39" spans="1:36" ht="13.5" hidden="1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  <c r="N39" s="6"/>
      <c r="O39" s="6"/>
      <c r="P39" s="6"/>
      <c r="Q39" s="6"/>
      <c r="R39" s="6"/>
      <c r="S39" s="6"/>
      <c r="T39" s="6"/>
      <c r="U39" s="6"/>
      <c r="V39" s="20"/>
      <c r="W39" s="20"/>
      <c r="X39" s="20"/>
      <c r="Y39" s="20"/>
      <c r="Z39" s="20"/>
      <c r="AA39" s="20"/>
      <c r="AB39" s="20"/>
      <c r="AD39" s="6"/>
      <c r="AE39" s="6"/>
      <c r="AF39" s="6"/>
      <c r="AG39" s="6"/>
      <c r="AH39" s="6"/>
      <c r="AI39" s="6"/>
      <c r="AJ39" s="6"/>
    </row>
    <row r="40" spans="1:36" ht="13.5" hidden="1" thickBot="1" x14ac:dyDescent="0.25">
      <c r="A40" s="37" t="s">
        <v>29</v>
      </c>
      <c r="B40" s="38" t="s">
        <v>30</v>
      </c>
      <c r="C40" s="14" t="s">
        <v>0</v>
      </c>
      <c r="D40" s="26"/>
      <c r="E40" s="26"/>
      <c r="F40" s="26"/>
      <c r="G40" s="26"/>
      <c r="H40" s="26"/>
      <c r="I40" s="26"/>
      <c r="J40" s="26"/>
      <c r="K40" s="16"/>
      <c r="L40" s="6"/>
      <c r="M40" s="21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D40" s="6">
        <f>IF((D40&lt;&gt;"")*(D44=""),IF((D40&lt;=$B$440)*((D41&gt;=$C$440)+(D41&lt;2/24)),1,0),0)</f>
        <v>0</v>
      </c>
      <c r="AE40" s="6">
        <f>IF((E40&lt;&gt;"")*(E44=""),IF((E40&lt;=$B$440)*((E41&gt;=$C$440)+(E41&lt;2/24)),1,0),0)</f>
        <v>0</v>
      </c>
      <c r="AF40" s="6">
        <f>IF((F40&lt;&gt;"")*(F44=""),IF((F40&lt;=$B$440)*((F41&gt;=$C$440)+(F41&lt;2/24)),1,0),0)</f>
        <v>0</v>
      </c>
      <c r="AG40" s="6">
        <f>IF((G40&lt;&gt;"")*(G44=""),IF((G40&lt;=$B$440)*((G41&gt;=$C$440)+(G41&lt;2/24)),1,0),0)</f>
        <v>0</v>
      </c>
      <c r="AH40" s="6">
        <f>IF((H40&lt;&gt;"")*(H44=""),IF((H40&lt;=$B$440)*((H41&gt;=$C$440)+(H41&lt;2/24)),1,0),0)</f>
        <v>0</v>
      </c>
      <c r="AI40" s="6">
        <f>IF((I40&lt;&gt;"")*(I44=""),IF((I40&lt;=$B$440)*((I41&gt;=$C$440)+(I41&lt;2/24)),1,0),0)</f>
        <v>0</v>
      </c>
      <c r="AJ40" s="6">
        <f>IF((J40&lt;&gt;"")*(J44=""),IF((J40&lt;=$B$440)*((J41&gt;=$C$440)+(J41&lt;2/24)),1,0),0)</f>
        <v>0</v>
      </c>
    </row>
    <row r="41" spans="1:36" ht="13.5" hidden="1" thickBot="1" x14ac:dyDescent="0.25">
      <c r="A41" s="39"/>
      <c r="B41" s="40"/>
      <c r="C41" s="15" t="s">
        <v>1</v>
      </c>
      <c r="D41" s="27"/>
      <c r="E41" s="27"/>
      <c r="F41" s="27"/>
      <c r="G41" s="27"/>
      <c r="H41" s="27"/>
      <c r="I41" s="27"/>
      <c r="J41" s="27"/>
      <c r="K41" s="17"/>
      <c r="L41" s="6"/>
      <c r="M41" s="21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D41" s="6">
        <f>IF((D40&lt;&gt;"")*(D44=""),IF((D40&lt;=$B$441)*((D41&gt;=$C$441)+(D41&lt;2/24)),1,0),0)</f>
        <v>0</v>
      </c>
      <c r="AE41" s="6">
        <f>IF((E40&lt;&gt;"")*(E44=""),IF((E40&lt;=$B$441)*((E41&gt;=$C$441)+(E41&lt;2/24)),1,0),0)</f>
        <v>0</v>
      </c>
      <c r="AF41" s="6">
        <f>IF((F40&lt;&gt;"")*(F44=""),IF((F40&lt;=$B$441)*((F41&gt;=$C$441)+(F41&lt;2/24)),1,0),0)</f>
        <v>0</v>
      </c>
      <c r="AG41" s="6">
        <f>IF((G40&lt;&gt;"")*(G44=""),IF((G40&lt;=$B$441)*((G41&gt;=$C$441)+(G41&lt;2/24)),1,0),0)</f>
        <v>0</v>
      </c>
      <c r="AH41" s="6">
        <f>IF((H40&lt;&gt;"")*(H44=""),IF((H40&lt;=$B$441)*((H41&gt;=$C$441)+(H41&lt;2/24)),1,0),0)</f>
        <v>0</v>
      </c>
      <c r="AI41" s="6">
        <f>IF((I40&lt;&gt;"")*(I44=""),IF((I40&lt;=$B$441)*((I41&gt;=$C$441)+(I41&lt;2/24)),1,0),0)</f>
        <v>0</v>
      </c>
      <c r="AJ41" s="6">
        <f>IF((J40&lt;&gt;"")*(J44=""),IF((J40&lt;=$B$441)*((J41&gt;=$C$441)+(J41&lt;2/24)),1,0),0)</f>
        <v>0</v>
      </c>
    </row>
    <row r="42" spans="1:36" ht="13.5" hidden="1" thickBot="1" x14ac:dyDescent="0.25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D42" s="6">
        <f>IF((D40&lt;&gt;"")*(D44=""),IF((D40&lt;=$B$442)*((D41&gt;=$C$442)+(D41&lt;2/24)),1,0),0)</f>
        <v>0</v>
      </c>
      <c r="AE42" s="6">
        <f>IF((E40&lt;&gt;"")*(E44=""),IF((E40&lt;=$B$442)*((E41&gt;=$C$442)+(E41&lt;2/24)),1,0),0)</f>
        <v>0</v>
      </c>
      <c r="AF42" s="6">
        <f>IF((F40&lt;&gt;"")*(F44=""),IF((F40&lt;=$B$442)*((F41&gt;=$C$442)+(F41&lt;2/24)),1,0),0)</f>
        <v>0</v>
      </c>
      <c r="AG42" s="6">
        <f>IF((G40&lt;&gt;"")*(G44=""),IF((G40&lt;=$B$442)*((G41&gt;=$C$442)+(G41&lt;2/24)),1,0),0)</f>
        <v>0</v>
      </c>
      <c r="AH42" s="6">
        <f>IF((H40&lt;&gt;"")*(H44=""),IF((H40&lt;=$B$442)*((H41&gt;=$C$442)+(H41&lt;2/24)),1,0),0)</f>
        <v>0</v>
      </c>
      <c r="AI42" s="6">
        <f>IF((I40&lt;&gt;"")*(I44=""),IF((I40&lt;=$B$442)*((I41&gt;=$C$442)+(I41&lt;2/24)),1,0),0)</f>
        <v>0</v>
      </c>
      <c r="AJ42" s="6">
        <f>IF((J40&lt;&gt;"")*(J44=""),IF((J40&lt;=$B$442)*((J41&gt;=$C$442)+(J41&lt;2/24)),1,0),0)</f>
        <v>0</v>
      </c>
    </row>
    <row r="43" spans="1:36" ht="13.5" hidden="1" thickBot="1" x14ac:dyDescent="0.25">
      <c r="A43" s="39"/>
      <c r="B43" s="40"/>
      <c r="C43" s="15" t="s">
        <v>3</v>
      </c>
      <c r="D43" s="43"/>
      <c r="E43" s="43"/>
      <c r="F43" s="43"/>
      <c r="G43" s="43"/>
      <c r="H43" s="43"/>
      <c r="I43" s="43"/>
      <c r="J43" s="44"/>
      <c r="K43" s="18">
        <f>SUMIF(D44:J44,"",D43:J43)</f>
        <v>0</v>
      </c>
      <c r="L43" s="12">
        <f>SUM(D43:J43)</f>
        <v>0</v>
      </c>
      <c r="M43" s="24"/>
      <c r="N43" s="10">
        <f>IF(D44="",D43,0)</f>
        <v>0</v>
      </c>
      <c r="O43" s="10">
        <f>IF(E44="",E43,0)</f>
        <v>0</v>
      </c>
      <c r="P43" s="10">
        <f t="shared" ref="P43:T43" si="12">IF(F44="",F43,0)</f>
        <v>0</v>
      </c>
      <c r="Q43" s="10">
        <f t="shared" si="12"/>
        <v>0</v>
      </c>
      <c r="R43" s="10">
        <f t="shared" si="12"/>
        <v>0</v>
      </c>
      <c r="S43" s="10">
        <f t="shared" si="12"/>
        <v>0</v>
      </c>
      <c r="T43" s="10">
        <f t="shared" si="12"/>
        <v>0</v>
      </c>
      <c r="U43" s="10"/>
      <c r="V43" s="10">
        <f>D43</f>
        <v>0</v>
      </c>
      <c r="W43" s="10">
        <f>E43</f>
        <v>0</v>
      </c>
      <c r="X43" s="10">
        <f t="shared" ref="X43:AB43" si="13">F43</f>
        <v>0</v>
      </c>
      <c r="Y43" s="10">
        <f t="shared" si="13"/>
        <v>0</v>
      </c>
      <c r="Z43" s="10">
        <f t="shared" si="13"/>
        <v>0</v>
      </c>
      <c r="AA43" s="10">
        <f t="shared" si="13"/>
        <v>0</v>
      </c>
      <c r="AB43" s="10">
        <f t="shared" si="13"/>
        <v>0</v>
      </c>
      <c r="AD43" s="6">
        <f>IF((D40&lt;&gt;"")*(D44=""),IF((D40&lt;=$B$443)*((D41&gt;=$C$443)+(D41&lt;2/24)),1,0),0)</f>
        <v>0</v>
      </c>
      <c r="AE43" s="6">
        <f>IF((E40&lt;&gt;"")*(E44=""),IF((E40&lt;=$B$443)*((E41&gt;=$C$443)+(E41&lt;2/24)),1,0),0)</f>
        <v>0</v>
      </c>
      <c r="AF43" s="6">
        <f>IF((F40&lt;&gt;"")*(F44=""),IF((F40&lt;=$B$443)*((F41&gt;=$C$443)+(F41&lt;2/24)),1,0),0)</f>
        <v>0</v>
      </c>
      <c r="AG43" s="6">
        <f>IF((G40&lt;&gt;"")*(G44=""),IF((G40&lt;=$B$443)*((G41&gt;=$C$443)+(G41&lt;2/24)),1,0),0)</f>
        <v>0</v>
      </c>
      <c r="AH43" s="6">
        <f>IF((H40&lt;&gt;"")*(H44=""),IF((H40&lt;=$B$443)*((H41&gt;=$C$443)+(H41&lt;2/24)),1,0),0)</f>
        <v>0</v>
      </c>
      <c r="AI43" s="6">
        <f>IF((I40&lt;&gt;"")*(I44=""),IF((I40&lt;=$B$443)*((I41&gt;=$C$443)+(I41&lt;2/24)),1,0),0)</f>
        <v>0</v>
      </c>
      <c r="AJ43" s="6">
        <f>IF((J40&lt;&gt;"")*(J44=""),IF((J40&lt;=$B$443)*((J41&gt;=$C$443)+(J41&lt;2/24)),1,0),0)</f>
        <v>0</v>
      </c>
    </row>
    <row r="44" spans="1:36" ht="13.5" hidden="1" thickBot="1" x14ac:dyDescent="0.25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  <c r="N44" s="6"/>
      <c r="O44" s="6"/>
      <c r="P44" s="6"/>
      <c r="Q44" s="6"/>
      <c r="R44" s="6"/>
      <c r="S44" s="6"/>
      <c r="T44" s="6"/>
      <c r="U44" s="6"/>
      <c r="V44" s="20"/>
      <c r="W44" s="20"/>
      <c r="X44" s="20"/>
      <c r="Y44" s="20"/>
      <c r="Z44" s="20"/>
      <c r="AA44" s="20"/>
      <c r="AB44" s="20"/>
      <c r="AD44" s="6">
        <f>IF((D40&lt;&gt;"")*(D44=""),IF((D40&lt;=$B$444)*((D41&gt;=$C$444)+(D41&lt;2/24)),1,0),0)</f>
        <v>0</v>
      </c>
      <c r="AE44" s="6">
        <f>IF((E40&lt;&gt;"")*(E44=""),IF((E40&lt;=$B$444)*((E41&gt;=$C$444)+(E41&lt;2/24)),1,0),0)</f>
        <v>0</v>
      </c>
      <c r="AF44" s="6">
        <f>IF((F40&lt;&gt;"")*(F44=""),IF((F40&lt;=$B$444)*((F41&gt;=$C$444)+(F41&lt;2/24)),1,0),0)</f>
        <v>0</v>
      </c>
      <c r="AG44" s="6">
        <f>IF((G40&lt;&gt;"")*(G44=""),IF((G40&lt;=$B$444)*((G41&gt;=$C$444)+(G41&lt;2/24)),1,0),0)</f>
        <v>0</v>
      </c>
      <c r="AH44" s="6">
        <f>IF((H40&lt;&gt;"")*(H44=""),IF((H40&lt;=$B$444)*((H41&gt;=$C$444)+(H41&lt;2/24)),1,0),0)</f>
        <v>0</v>
      </c>
      <c r="AI44" s="6">
        <f>IF((I40&lt;&gt;"")*(I44=""),IF((I40&lt;=$B$444)*((I41&gt;=$C$444)+(I41&lt;2/24)),1,0),0)</f>
        <v>0</v>
      </c>
      <c r="AJ44" s="6">
        <f>IF((J40&lt;&gt;"")*(J44=""),IF((J40&lt;=$B$444)*((J41&gt;=$C$444)+(J41&lt;2/24)),1,0),0)</f>
        <v>0</v>
      </c>
    </row>
    <row r="45" spans="1:36" ht="13.5" hidden="1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  <c r="N45" s="6"/>
      <c r="O45" s="6"/>
      <c r="P45" s="6"/>
      <c r="Q45" s="6"/>
      <c r="R45" s="6"/>
      <c r="S45" s="6"/>
      <c r="T45" s="6"/>
      <c r="U45" s="6"/>
      <c r="V45" s="20"/>
      <c r="W45" s="20"/>
      <c r="X45" s="20"/>
      <c r="Y45" s="20"/>
      <c r="Z45" s="20"/>
      <c r="AA45" s="20"/>
      <c r="AB45" s="20"/>
      <c r="AD45" s="6"/>
      <c r="AE45" s="6"/>
      <c r="AF45" s="6"/>
      <c r="AG45" s="6"/>
      <c r="AH45" s="6"/>
      <c r="AI45" s="6"/>
      <c r="AJ45" s="6"/>
    </row>
    <row r="46" spans="1:36" ht="13.5" hidden="1" thickBot="1" x14ac:dyDescent="0.25">
      <c r="A46" s="37" t="s">
        <v>29</v>
      </c>
      <c r="B46" s="38" t="s">
        <v>30</v>
      </c>
      <c r="C46" s="14" t="s">
        <v>0</v>
      </c>
      <c r="D46" s="26"/>
      <c r="E46" s="26"/>
      <c r="F46" s="26"/>
      <c r="G46" s="26"/>
      <c r="H46" s="26"/>
      <c r="I46" s="26"/>
      <c r="J46" s="26"/>
      <c r="K46" s="16"/>
      <c r="L46" s="6"/>
      <c r="M46" s="21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D46" s="6">
        <f>IF((D46&lt;&gt;"")*(D50=""),IF((D46&lt;=$B$440)*((D47&gt;=$C$440)+(D47&lt;2/24)),1,0),0)</f>
        <v>0</v>
      </c>
      <c r="AE46" s="6">
        <f>IF((E46&lt;&gt;"")*(E50=""),IF((E46&lt;=$B$440)*((E47&gt;=$C$440)+(E47&lt;2/24)),1,0),0)</f>
        <v>0</v>
      </c>
      <c r="AF46" s="6">
        <f>IF((F46&lt;&gt;"")*(F50=""),IF((F46&lt;=$B$440)*((F47&gt;=$C$440)+(F47&lt;2/24)),1,0),0)</f>
        <v>0</v>
      </c>
      <c r="AG46" s="6">
        <f>IF((G46&lt;&gt;"")*(G50=""),IF((G46&lt;=$B$440)*((G47&gt;=$C$440)+(G47&lt;2/24)),1,0),0)</f>
        <v>0</v>
      </c>
      <c r="AH46" s="6">
        <f>IF((H46&lt;&gt;"")*(H50=""),IF((H46&lt;=$B$440)*((H47&gt;=$C$440)+(H47&lt;2/24)),1,0),0)</f>
        <v>0</v>
      </c>
      <c r="AI46" s="6">
        <f>IF((I46&lt;&gt;"")*(I50=""),IF((I46&lt;=$B$440)*((I47&gt;=$C$440)+(I47&lt;2/24)),1,0),0)</f>
        <v>0</v>
      </c>
      <c r="AJ46" s="6">
        <f>IF((J46&lt;&gt;"")*(J50=""),IF((J46&lt;=$B$440)*((J47&gt;=$C$440)+(J47&lt;2/24)),1,0),0)</f>
        <v>0</v>
      </c>
    </row>
    <row r="47" spans="1:36" ht="13.5" hidden="1" thickBot="1" x14ac:dyDescent="0.25">
      <c r="A47" s="39"/>
      <c r="B47" s="40"/>
      <c r="C47" s="15" t="s">
        <v>1</v>
      </c>
      <c r="D47" s="27"/>
      <c r="E47" s="27"/>
      <c r="F47" s="27"/>
      <c r="G47" s="27"/>
      <c r="H47" s="27"/>
      <c r="I47" s="27"/>
      <c r="J47" s="27"/>
      <c r="K47" s="17"/>
      <c r="L47" s="6"/>
      <c r="M47" s="21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D47" s="6">
        <f>IF((D46&lt;&gt;"")*(D50=""),IF((D46&lt;=$B$441)*((D47&gt;=$C$441)+(D47&lt;2/24)),1,0),0)</f>
        <v>0</v>
      </c>
      <c r="AE47" s="6">
        <f>IF((E46&lt;&gt;"")*(E50=""),IF((E46&lt;=$B$441)*((E47&gt;=$C$441)+(E47&lt;2/24)),1,0),0)</f>
        <v>0</v>
      </c>
      <c r="AF47" s="6">
        <f>IF((F46&lt;&gt;"")*(F50=""),IF((F46&lt;=$B$441)*((F47&gt;=$C$441)+(F47&lt;2/24)),1,0),0)</f>
        <v>0</v>
      </c>
      <c r="AG47" s="6">
        <f>IF((G46&lt;&gt;"")*(G50=""),IF((G46&lt;=$B$441)*((G47&gt;=$C$441)+(G47&lt;2/24)),1,0),0)</f>
        <v>0</v>
      </c>
      <c r="AH47" s="6">
        <f>IF((H46&lt;&gt;"")*(H50=""),IF((H46&lt;=$B$441)*((H47&gt;=$C$441)+(H47&lt;2/24)),1,0),0)</f>
        <v>0</v>
      </c>
      <c r="AI47" s="6">
        <f>IF((I46&lt;&gt;"")*(I50=""),IF((I46&lt;=$B$441)*((I47&gt;=$C$441)+(I47&lt;2/24)),1,0),0)</f>
        <v>0</v>
      </c>
      <c r="AJ47" s="6">
        <f>IF((J46&lt;&gt;"")*(J50=""),IF((J46&lt;=$B$441)*((J47&gt;=$C$441)+(J47&lt;2/24)),1,0),0)</f>
        <v>0</v>
      </c>
    </row>
    <row r="48" spans="1:36" ht="13.5" hidden="1" thickBot="1" x14ac:dyDescent="0.25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  <c r="L48" s="6"/>
      <c r="M48" s="21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D48" s="6">
        <f>IF((D46&lt;&gt;"")*(D50=""),IF((D46&lt;=$B$442)*((D47&gt;=$C$442)+(D47&lt;2/24)),1,0),0)</f>
        <v>0</v>
      </c>
      <c r="AE48" s="6">
        <f>IF((E46&lt;&gt;"")*(E50=""),IF((E46&lt;=$B$442)*((E47&gt;=$C$442)+(E47&lt;2/24)),1,0),0)</f>
        <v>0</v>
      </c>
      <c r="AF48" s="6">
        <f>IF((F46&lt;&gt;"")*(F50=""),IF((F46&lt;=$B$442)*((F47&gt;=$C$442)+(F47&lt;2/24)),1,0),0)</f>
        <v>0</v>
      </c>
      <c r="AG48" s="6">
        <f>IF((G46&lt;&gt;"")*(G50=""),IF((G46&lt;=$B$442)*((G47&gt;=$C$442)+(G47&lt;2/24)),1,0),0)</f>
        <v>0</v>
      </c>
      <c r="AH48" s="6">
        <f>IF((H46&lt;&gt;"")*(H50=""),IF((H46&lt;=$B$442)*((H47&gt;=$C$442)+(H47&lt;2/24)),1,0),0)</f>
        <v>0</v>
      </c>
      <c r="AI48" s="6">
        <f>IF((I46&lt;&gt;"")*(I50=""),IF((I46&lt;=$B$442)*((I47&gt;=$C$442)+(I47&lt;2/24)),1,0),0)</f>
        <v>0</v>
      </c>
      <c r="AJ48" s="6">
        <f>IF((J46&lt;&gt;"")*(J50=""),IF((J46&lt;=$B$442)*((J47&gt;=$C$442)+(J47&lt;2/24)),1,0),0)</f>
        <v>0</v>
      </c>
    </row>
    <row r="49" spans="1:36" ht="13.5" hidden="1" thickBot="1" x14ac:dyDescent="0.25">
      <c r="A49" s="39"/>
      <c r="B49" s="40"/>
      <c r="C49" s="15" t="s">
        <v>3</v>
      </c>
      <c r="D49" s="43"/>
      <c r="E49" s="43"/>
      <c r="F49" s="43"/>
      <c r="G49" s="43"/>
      <c r="H49" s="43"/>
      <c r="I49" s="43"/>
      <c r="J49" s="44"/>
      <c r="K49" s="18">
        <f>SUMIF(D50:J50,"",D49:J49)</f>
        <v>0</v>
      </c>
      <c r="L49" s="12">
        <f>SUM(D49:J49)</f>
        <v>0</v>
      </c>
      <c r="M49" s="24"/>
      <c r="N49" s="10">
        <f>IF(D50="",D49,0)</f>
        <v>0</v>
      </c>
      <c r="O49" s="10">
        <f>IF(E50="",E49,0)</f>
        <v>0</v>
      </c>
      <c r="P49" s="10">
        <f t="shared" ref="P49:T49" si="14">IF(F50="",F49,0)</f>
        <v>0</v>
      </c>
      <c r="Q49" s="10">
        <f t="shared" si="14"/>
        <v>0</v>
      </c>
      <c r="R49" s="10">
        <f t="shared" si="14"/>
        <v>0</v>
      </c>
      <c r="S49" s="10">
        <f t="shared" si="14"/>
        <v>0</v>
      </c>
      <c r="T49" s="10">
        <f t="shared" si="14"/>
        <v>0</v>
      </c>
      <c r="U49" s="10"/>
      <c r="V49" s="10">
        <f>D49</f>
        <v>0</v>
      </c>
      <c r="W49" s="10">
        <f>E49</f>
        <v>0</v>
      </c>
      <c r="X49" s="10">
        <f t="shared" ref="X49:AB49" si="15">F49</f>
        <v>0</v>
      </c>
      <c r="Y49" s="10">
        <f t="shared" si="15"/>
        <v>0</v>
      </c>
      <c r="Z49" s="10">
        <f t="shared" si="15"/>
        <v>0</v>
      </c>
      <c r="AA49" s="10">
        <f t="shared" si="15"/>
        <v>0</v>
      </c>
      <c r="AB49" s="10">
        <f t="shared" si="15"/>
        <v>0</v>
      </c>
      <c r="AD49" s="6">
        <f>IF((D46&lt;&gt;"")*(D50=""),IF((D46&lt;=$B$443)*((D47&gt;=$C$443)+(D47&lt;2/24)),1,0),0)</f>
        <v>0</v>
      </c>
      <c r="AE49" s="6">
        <f>IF((E46&lt;&gt;"")*(E50=""),IF((E46&lt;=$B$443)*((E47&gt;=$C$443)+(E47&lt;2/24)),1,0),0)</f>
        <v>0</v>
      </c>
      <c r="AF49" s="6">
        <f>IF((F46&lt;&gt;"")*(F50=""),IF((F46&lt;=$B$443)*((F47&gt;=$C$443)+(F47&lt;2/24)),1,0),0)</f>
        <v>0</v>
      </c>
      <c r="AG49" s="6">
        <f>IF((G46&lt;&gt;"")*(G50=""),IF((G46&lt;=$B$443)*((G47&gt;=$C$443)+(G47&lt;2/24)),1,0),0)</f>
        <v>0</v>
      </c>
      <c r="AH49" s="6">
        <f>IF((H46&lt;&gt;"")*(H50=""),IF((H46&lt;=$B$443)*((H47&gt;=$C$443)+(H47&lt;2/24)),1,0),0)</f>
        <v>0</v>
      </c>
      <c r="AI49" s="6">
        <f>IF((I46&lt;&gt;"")*(I50=""),IF((I46&lt;=$B$443)*((I47&gt;=$C$443)+(I47&lt;2/24)),1,0),0)</f>
        <v>0</v>
      </c>
      <c r="AJ49" s="6">
        <f>IF((J46&lt;&gt;"")*(J50=""),IF((J46&lt;=$B$443)*((J47&gt;=$C$443)+(J47&lt;2/24)),1,0),0)</f>
        <v>0</v>
      </c>
    </row>
    <row r="50" spans="1:36" ht="13.5" hidden="1" thickBot="1" x14ac:dyDescent="0.25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  <c r="N50" s="6"/>
      <c r="O50" s="6"/>
      <c r="P50" s="6"/>
      <c r="Q50" s="6"/>
      <c r="R50" s="6"/>
      <c r="S50" s="6"/>
      <c r="T50" s="6"/>
      <c r="U50" s="6"/>
      <c r="V50" s="20"/>
      <c r="W50" s="20"/>
      <c r="X50" s="20"/>
      <c r="Y50" s="20"/>
      <c r="Z50" s="20"/>
      <c r="AA50" s="20"/>
      <c r="AB50" s="20"/>
      <c r="AD50" s="6">
        <f>IF((D46&lt;&gt;"")*(D50=""),IF((D46&lt;=$B$444)*((D47&gt;=$C$444)+(D47&lt;2/24)),1,0),0)</f>
        <v>0</v>
      </c>
      <c r="AE50" s="6">
        <f>IF((E46&lt;&gt;"")*(E50=""),IF((E46&lt;=$B$444)*((E47&gt;=$C$444)+(E47&lt;2/24)),1,0),0)</f>
        <v>0</v>
      </c>
      <c r="AF50" s="6">
        <f>IF((F46&lt;&gt;"")*(F50=""),IF((F46&lt;=$B$444)*((F47&gt;=$C$444)+(F47&lt;2/24)),1,0),0)</f>
        <v>0</v>
      </c>
      <c r="AG50" s="6">
        <f>IF((G46&lt;&gt;"")*(G50=""),IF((G46&lt;=$B$444)*((G47&gt;=$C$444)+(G47&lt;2/24)),1,0),0)</f>
        <v>0</v>
      </c>
      <c r="AH50" s="6">
        <f>IF((H46&lt;&gt;"")*(H50=""),IF((H46&lt;=$B$444)*((H47&gt;=$C$444)+(H47&lt;2/24)),1,0),0)</f>
        <v>0</v>
      </c>
      <c r="AI50" s="6">
        <f>IF((I46&lt;&gt;"")*(I50=""),IF((I46&lt;=$B$444)*((I47&gt;=$C$444)+(I47&lt;2/24)),1,0),0)</f>
        <v>0</v>
      </c>
      <c r="AJ50" s="6">
        <f>IF((J46&lt;&gt;"")*(J50=""),IF((J46&lt;=$B$444)*((J47&gt;=$C$444)+(J47&lt;2/24)),1,0),0)</f>
        <v>0</v>
      </c>
    </row>
    <row r="51" spans="1:36" ht="13.5" hidden="1" thickBot="1" x14ac:dyDescent="0.25">
      <c r="A51" s="41"/>
      <c r="B51" s="42"/>
      <c r="C51" s="35" t="s">
        <v>28</v>
      </c>
      <c r="D51" s="36"/>
      <c r="E51" s="36"/>
      <c r="F51" s="36"/>
      <c r="G51" s="36"/>
      <c r="H51" s="36"/>
      <c r="I51" s="36"/>
      <c r="J51" s="36"/>
      <c r="K51" s="34"/>
      <c r="L51" s="6"/>
      <c r="M51" s="25"/>
      <c r="N51" s="6"/>
      <c r="O51" s="6"/>
      <c r="P51" s="6"/>
      <c r="Q51" s="6"/>
      <c r="R51" s="6"/>
      <c r="S51" s="6"/>
      <c r="T51" s="6"/>
      <c r="U51" s="6"/>
      <c r="V51" s="20"/>
      <c r="W51" s="20"/>
      <c r="X51" s="20"/>
      <c r="Y51" s="20"/>
      <c r="Z51" s="20"/>
      <c r="AA51" s="20"/>
      <c r="AB51" s="20"/>
      <c r="AD51" s="6"/>
      <c r="AE51" s="6"/>
      <c r="AF51" s="6"/>
      <c r="AG51" s="6"/>
      <c r="AH51" s="6"/>
      <c r="AI51" s="6"/>
      <c r="AJ51" s="6"/>
    </row>
    <row r="52" spans="1:36" ht="13.5" hidden="1" thickBot="1" x14ac:dyDescent="0.25">
      <c r="A52" s="37" t="s">
        <v>29</v>
      </c>
      <c r="B52" s="38" t="s">
        <v>30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D52" s="6">
        <f>IF((D52&lt;&gt;"")*(D56=""),IF((D52&lt;=$B$440)*((D53&gt;=$C$440)+(D53&lt;2/24)),1,0),0)</f>
        <v>0</v>
      </c>
      <c r="AE52" s="6">
        <f>IF((E52&lt;&gt;"")*(E56=""),IF((E52&lt;=$B$440)*((E53&gt;=$C$440)+(E53&lt;2/24)),1,0),0)</f>
        <v>0</v>
      </c>
      <c r="AF52" s="6">
        <f>IF((F52&lt;&gt;"")*(F56=""),IF((F52&lt;=$B$440)*((F53&gt;=$C$440)+(F53&lt;2/24)),1,0),0)</f>
        <v>0</v>
      </c>
      <c r="AG52" s="6">
        <f>IF((G52&lt;&gt;"")*(G56=""),IF((G52&lt;=$B$440)*((G53&gt;=$C$440)+(G53&lt;2/24)),1,0),0)</f>
        <v>0</v>
      </c>
      <c r="AH52" s="6">
        <f>IF((H52&lt;&gt;"")*(H56=""),IF((H52&lt;=$B$440)*((H53&gt;=$C$440)+(H53&lt;2/24)),1,0),0)</f>
        <v>0</v>
      </c>
      <c r="AI52" s="6">
        <f>IF((I52&lt;&gt;"")*(I56=""),IF((I52&lt;=$B$440)*((I53&gt;=$C$440)+(I53&lt;2/24)),1,0),0)</f>
        <v>0</v>
      </c>
      <c r="AJ52" s="6">
        <f>IF((J52&lt;&gt;"")*(J56=""),IF((J52&lt;=$B$440)*((J53&gt;=$C$440)+(J53&lt;2/24)),1,0),0)</f>
        <v>0</v>
      </c>
    </row>
    <row r="53" spans="1:36" ht="13.5" hidden="1" thickBot="1" x14ac:dyDescent="0.25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D53" s="6">
        <f>IF((D52&lt;&gt;"")*(D56=""),IF((D52&lt;=$B$441)*((D53&gt;=$C$441)+(D53&lt;2/24)),1,0),0)</f>
        <v>0</v>
      </c>
      <c r="AE53" s="6">
        <f>IF((E52&lt;&gt;"")*(E56=""),IF((E52&lt;=$B$441)*((E53&gt;=$C$441)+(E53&lt;2/24)),1,0),0)</f>
        <v>0</v>
      </c>
      <c r="AF53" s="6">
        <f>IF((F52&lt;&gt;"")*(F56=""),IF((F52&lt;=$B$441)*((F53&gt;=$C$441)+(F53&lt;2/24)),1,0),0)</f>
        <v>0</v>
      </c>
      <c r="AG53" s="6">
        <f>IF((G52&lt;&gt;"")*(G56=""),IF((G52&lt;=$B$441)*((G53&gt;=$C$441)+(G53&lt;2/24)),1,0),0)</f>
        <v>0</v>
      </c>
      <c r="AH53" s="6">
        <f>IF((H52&lt;&gt;"")*(H56=""),IF((H52&lt;=$B$441)*((H53&gt;=$C$441)+(H53&lt;2/24)),1,0),0)</f>
        <v>0</v>
      </c>
      <c r="AI53" s="6">
        <f>IF((I52&lt;&gt;"")*(I56=""),IF((I52&lt;=$B$441)*((I53&gt;=$C$441)+(I53&lt;2/24)),1,0),0)</f>
        <v>0</v>
      </c>
      <c r="AJ53" s="6">
        <f>IF((J52&lt;&gt;"")*(J56=""),IF((J52&lt;=$B$441)*((J53&gt;=$C$441)+(J53&lt;2/24)),1,0),0)</f>
        <v>0</v>
      </c>
    </row>
    <row r="54" spans="1:36" ht="13.5" hidden="1" thickBot="1" x14ac:dyDescent="0.25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  <c r="L54" s="6"/>
      <c r="M54" s="21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D54" s="6">
        <f>IF((D52&lt;&gt;"")*(D56=""),IF((D52&lt;=$B$442)*((D53&gt;=$C$442)+(D53&lt;2/24)),1,0),0)</f>
        <v>0</v>
      </c>
      <c r="AE54" s="6">
        <f>IF((E52&lt;&gt;"")*(E56=""),IF((E52&lt;=$B$442)*((E53&gt;=$C$442)+(E53&lt;2/24)),1,0),0)</f>
        <v>0</v>
      </c>
      <c r="AF54" s="6">
        <f>IF((F52&lt;&gt;"")*(F56=""),IF((F52&lt;=$B$442)*((F53&gt;=$C$442)+(F53&lt;2/24)),1,0),0)</f>
        <v>0</v>
      </c>
      <c r="AG54" s="6">
        <f>IF((G52&lt;&gt;"")*(G56=""),IF((G52&lt;=$B$442)*((G53&gt;=$C$442)+(G53&lt;2/24)),1,0),0)</f>
        <v>0</v>
      </c>
      <c r="AH54" s="6">
        <f>IF((H52&lt;&gt;"")*(H56=""),IF((H52&lt;=$B$442)*((H53&gt;=$C$442)+(H53&lt;2/24)),1,0),0)</f>
        <v>0</v>
      </c>
      <c r="AI54" s="6">
        <f>IF((I52&lt;&gt;"")*(I56=""),IF((I52&lt;=$B$442)*((I53&gt;=$C$442)+(I53&lt;2/24)),1,0),0)</f>
        <v>0</v>
      </c>
      <c r="AJ54" s="6">
        <f>IF((J52&lt;&gt;"")*(J56=""),IF((J52&lt;=$B$442)*((J53&gt;=$C$442)+(J53&lt;2/24)),1,0),0)</f>
        <v>0</v>
      </c>
    </row>
    <row r="55" spans="1:36" ht="13.5" hidden="1" thickBot="1" x14ac:dyDescent="0.25">
      <c r="A55" s="39"/>
      <c r="B55" s="40"/>
      <c r="C55" s="15" t="s">
        <v>3</v>
      </c>
      <c r="D55" s="43"/>
      <c r="E55" s="43"/>
      <c r="F55" s="43"/>
      <c r="G55" s="43"/>
      <c r="H55" s="43"/>
      <c r="I55" s="43"/>
      <c r="J55" s="44"/>
      <c r="K55" s="18">
        <f>SUMIF(D56:J56,"",D55:J55)</f>
        <v>0</v>
      </c>
      <c r="L55" s="12">
        <f>SUM(D55:J55)</f>
        <v>0</v>
      </c>
      <c r="M55" s="24"/>
      <c r="N55" s="10">
        <f>IF(D56="",D55,0)</f>
        <v>0</v>
      </c>
      <c r="O55" s="10">
        <f>IF(E56="",E55,0)</f>
        <v>0</v>
      </c>
      <c r="P55" s="10">
        <f t="shared" ref="P55:T55" si="16">IF(F56="",F55,0)</f>
        <v>0</v>
      </c>
      <c r="Q55" s="10">
        <f t="shared" si="16"/>
        <v>0</v>
      </c>
      <c r="R55" s="10">
        <f t="shared" si="16"/>
        <v>0</v>
      </c>
      <c r="S55" s="10">
        <f t="shared" si="16"/>
        <v>0</v>
      </c>
      <c r="T55" s="10">
        <f t="shared" si="16"/>
        <v>0</v>
      </c>
      <c r="U55" s="10"/>
      <c r="V55" s="10">
        <f>D55</f>
        <v>0</v>
      </c>
      <c r="W55" s="10">
        <f>E55</f>
        <v>0</v>
      </c>
      <c r="X55" s="10">
        <f t="shared" ref="X55:AB55" si="17">F55</f>
        <v>0</v>
      </c>
      <c r="Y55" s="10">
        <f t="shared" si="17"/>
        <v>0</v>
      </c>
      <c r="Z55" s="10">
        <f t="shared" si="17"/>
        <v>0</v>
      </c>
      <c r="AA55" s="10">
        <f t="shared" si="17"/>
        <v>0</v>
      </c>
      <c r="AB55" s="10">
        <f t="shared" si="17"/>
        <v>0</v>
      </c>
      <c r="AD55" s="6">
        <f>IF((D52&lt;&gt;"")*(D56=""),IF((D52&lt;=$B$443)*((D53&gt;=$C$443)+(D53&lt;2/24)),1,0),0)</f>
        <v>0</v>
      </c>
      <c r="AE55" s="6">
        <f>IF((E52&lt;&gt;"")*(E56=""),IF((E52&lt;=$B$443)*((E53&gt;=$C$443)+(E53&lt;2/24)),1,0),0)</f>
        <v>0</v>
      </c>
      <c r="AF55" s="6">
        <f>IF((F52&lt;&gt;"")*(F56=""),IF((F52&lt;=$B$443)*((F53&gt;=$C$443)+(F53&lt;2/24)),1,0),0)</f>
        <v>0</v>
      </c>
      <c r="AG55" s="6">
        <f>IF((G52&lt;&gt;"")*(G56=""),IF((G52&lt;=$B$443)*((G53&gt;=$C$443)+(G53&lt;2/24)),1,0),0)</f>
        <v>0</v>
      </c>
      <c r="AH55" s="6">
        <f>IF((H52&lt;&gt;"")*(H56=""),IF((H52&lt;=$B$443)*((H53&gt;=$C$443)+(H53&lt;2/24)),1,0),0)</f>
        <v>0</v>
      </c>
      <c r="AI55" s="6">
        <f>IF((I52&lt;&gt;"")*(I56=""),IF((I52&lt;=$B$443)*((I53&gt;=$C$443)+(I53&lt;2/24)),1,0),0)</f>
        <v>0</v>
      </c>
      <c r="AJ55" s="6">
        <f>IF((J52&lt;&gt;"")*(J56=""),IF((J52&lt;=$B$443)*((J53&gt;=$C$443)+(J53&lt;2/24)),1,0),0)</f>
        <v>0</v>
      </c>
    </row>
    <row r="56" spans="1:36" ht="13.5" hidden="1" thickBot="1" x14ac:dyDescent="0.25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  <c r="N56" s="6"/>
      <c r="O56" s="6"/>
      <c r="P56" s="6"/>
      <c r="Q56" s="6"/>
      <c r="R56" s="6"/>
      <c r="S56" s="6"/>
      <c r="T56" s="6"/>
      <c r="U56" s="6"/>
      <c r="V56" s="20"/>
      <c r="W56" s="20"/>
      <c r="X56" s="20"/>
      <c r="Y56" s="20"/>
      <c r="Z56" s="20"/>
      <c r="AA56" s="20"/>
      <c r="AB56" s="20"/>
      <c r="AD56" s="6">
        <f>IF((D52&lt;&gt;"")*(D56=""),IF((D52&lt;=$B$444)*((D53&gt;=$C$444)+(D53&lt;2/24)),1,0),0)</f>
        <v>0</v>
      </c>
      <c r="AE56" s="6">
        <f>IF((E52&lt;&gt;"")*(E56=""),IF((E52&lt;=$B$444)*((E53&gt;=$C$444)+(E53&lt;2/24)),1,0),0)</f>
        <v>0</v>
      </c>
      <c r="AF56" s="6">
        <f>IF((F52&lt;&gt;"")*(F56=""),IF((F52&lt;=$B$444)*((F53&gt;=$C$444)+(F53&lt;2/24)),1,0),0)</f>
        <v>0</v>
      </c>
      <c r="AG56" s="6">
        <f>IF((G52&lt;&gt;"")*(G56=""),IF((G52&lt;=$B$444)*((G53&gt;=$C$444)+(G53&lt;2/24)),1,0),0)</f>
        <v>0</v>
      </c>
      <c r="AH56" s="6">
        <f>IF((H52&lt;&gt;"")*(H56=""),IF((H52&lt;=$B$444)*((H53&gt;=$C$444)+(H53&lt;2/24)),1,0),0)</f>
        <v>0</v>
      </c>
      <c r="AI56" s="6">
        <f>IF((I52&lt;&gt;"")*(I56=""),IF((I52&lt;=$B$444)*((I53&gt;=$C$444)+(I53&lt;2/24)),1,0),0)</f>
        <v>0</v>
      </c>
      <c r="AJ56" s="6">
        <f>IF((J52&lt;&gt;"")*(J56=""),IF((J52&lt;=$B$444)*((J53&gt;=$C$444)+(J53&lt;2/24)),1,0),0)</f>
        <v>0</v>
      </c>
    </row>
    <row r="57" spans="1:36" ht="13.5" hidden="1" thickBot="1" x14ac:dyDescent="0.25">
      <c r="A57" s="41"/>
      <c r="B57" s="42"/>
      <c r="C57" s="35" t="s">
        <v>28</v>
      </c>
      <c r="D57" s="36"/>
      <c r="E57" s="36"/>
      <c r="F57" s="36"/>
      <c r="G57" s="36"/>
      <c r="H57" s="36"/>
      <c r="I57" s="36"/>
      <c r="J57" s="36"/>
      <c r="K57" s="34"/>
      <c r="L57" s="6"/>
      <c r="M57" s="25"/>
      <c r="N57" s="6"/>
      <c r="O57" s="6"/>
      <c r="P57" s="6"/>
      <c r="Q57" s="6"/>
      <c r="R57" s="6"/>
      <c r="S57" s="6"/>
      <c r="T57" s="6"/>
      <c r="U57" s="6"/>
      <c r="V57" s="20"/>
      <c r="W57" s="20"/>
      <c r="X57" s="20"/>
      <c r="Y57" s="20"/>
      <c r="Z57" s="20"/>
      <c r="AA57" s="20"/>
      <c r="AB57" s="20"/>
      <c r="AD57" s="6"/>
      <c r="AE57" s="6"/>
      <c r="AF57" s="6"/>
      <c r="AG57" s="6"/>
      <c r="AH57" s="6"/>
      <c r="AI57" s="6"/>
      <c r="AJ57" s="6"/>
    </row>
    <row r="58" spans="1:36" ht="13.5" hidden="1" thickBot="1" x14ac:dyDescent="0.25">
      <c r="A58" s="37" t="s">
        <v>29</v>
      </c>
      <c r="B58" s="38" t="s">
        <v>30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  <c r="L58" s="6"/>
      <c r="M58" s="21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D58" s="6">
        <f>IF((D58&lt;&gt;"")*(D62=""),IF((D58&lt;=$B$440)*((D59&gt;=$C$440)+(D59&lt;2/24)),1,0),0)</f>
        <v>0</v>
      </c>
      <c r="AE58" s="6">
        <f>IF((E58&lt;&gt;"")*(E62=""),IF((E58&lt;=$B$440)*((E59&gt;=$C$440)+(E59&lt;2/24)),1,0),0)</f>
        <v>0</v>
      </c>
      <c r="AF58" s="6">
        <f>IF((F58&lt;&gt;"")*(F62=""),IF((F58&lt;=$B$440)*((F59&gt;=$C$440)+(F59&lt;2/24)),1,0),0)</f>
        <v>0</v>
      </c>
      <c r="AG58" s="6">
        <f>IF((G58&lt;&gt;"")*(G62=""),IF((G58&lt;=$B$440)*((G59&gt;=$C$440)+(G59&lt;2/24)),1,0),0)</f>
        <v>0</v>
      </c>
      <c r="AH58" s="6">
        <f>IF((H58&lt;&gt;"")*(H62=""),IF((H58&lt;=$B$440)*((H59&gt;=$C$440)+(H59&lt;2/24)),1,0),0)</f>
        <v>0</v>
      </c>
      <c r="AI58" s="6">
        <f>IF((I58&lt;&gt;"")*(I62=""),IF((I58&lt;=$B$440)*((I59&gt;=$C$440)+(I59&lt;2/24)),1,0),0)</f>
        <v>0</v>
      </c>
      <c r="AJ58" s="6">
        <f>IF((J58&lt;&gt;"")*(J62=""),IF((J58&lt;=$B$440)*((J59&gt;=$C$440)+(J59&lt;2/24)),1,0),0)</f>
        <v>0</v>
      </c>
    </row>
    <row r="59" spans="1:36" ht="13.5" hidden="1" thickBot="1" x14ac:dyDescent="0.25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  <c r="L59" s="6"/>
      <c r="M59" s="21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D59" s="6">
        <f>IF((D58&lt;&gt;"")*(D62=""),IF((D58&lt;=$B$441)*((D59&gt;=$C$441)+(D59&lt;2/24)),1,0),0)</f>
        <v>0</v>
      </c>
      <c r="AE59" s="6">
        <f>IF((E58&lt;&gt;"")*(E62=""),IF((E58&lt;=$B$441)*((E59&gt;=$C$441)+(E59&lt;2/24)),1,0),0)</f>
        <v>0</v>
      </c>
      <c r="AF59" s="6">
        <f>IF((F58&lt;&gt;"")*(F62=""),IF((F58&lt;=$B$441)*((F59&gt;=$C$441)+(F59&lt;2/24)),1,0),0)</f>
        <v>0</v>
      </c>
      <c r="AG59" s="6">
        <f>IF((G58&lt;&gt;"")*(G62=""),IF((G58&lt;=$B$441)*((G59&gt;=$C$441)+(G59&lt;2/24)),1,0),0)</f>
        <v>0</v>
      </c>
      <c r="AH59" s="6">
        <f>IF((H58&lt;&gt;"")*(H62=""),IF((H58&lt;=$B$441)*((H59&gt;=$C$441)+(H59&lt;2/24)),1,0),0)</f>
        <v>0</v>
      </c>
      <c r="AI59" s="6">
        <f>IF((I58&lt;&gt;"")*(I62=""),IF((I58&lt;=$B$441)*((I59&gt;=$C$441)+(I59&lt;2/24)),1,0),0)</f>
        <v>0</v>
      </c>
      <c r="AJ59" s="6">
        <f>IF((J58&lt;&gt;"")*(J62=""),IF((J58&lt;=$B$441)*((J59&gt;=$C$441)+(J59&lt;2/24)),1,0),0)</f>
        <v>0</v>
      </c>
    </row>
    <row r="60" spans="1:36" ht="13.5" hidden="1" thickBot="1" x14ac:dyDescent="0.25">
      <c r="A60" s="39"/>
      <c r="B60" s="40"/>
      <c r="C60" s="15" t="s">
        <v>2</v>
      </c>
      <c r="D60" s="4"/>
      <c r="E60" s="4"/>
      <c r="F60" s="4"/>
      <c r="G60" s="4"/>
      <c r="H60" s="4"/>
      <c r="I60" s="4"/>
      <c r="J60" s="4"/>
      <c r="K60" s="17"/>
      <c r="L60" s="6"/>
      <c r="M60" s="21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D60" s="6">
        <f>IF((D58&lt;&gt;"")*(D62=""),IF((D58&lt;=$B$442)*((D59&gt;=$C$442)+(D59&lt;2/24)),1,0),0)</f>
        <v>0</v>
      </c>
      <c r="AE60" s="6">
        <f>IF((E58&lt;&gt;"")*(E62=""),IF((E58&lt;=$B$442)*((E59&gt;=$C$442)+(E59&lt;2/24)),1,0),0)</f>
        <v>0</v>
      </c>
      <c r="AF60" s="6">
        <f>IF((F58&lt;&gt;"")*(F62=""),IF((F58&lt;=$B$442)*((F59&gt;=$C$442)+(F59&lt;2/24)),1,0),0)</f>
        <v>0</v>
      </c>
      <c r="AG60" s="6">
        <f>IF((G58&lt;&gt;"")*(G62=""),IF((G58&lt;=$B$442)*((G59&gt;=$C$442)+(G59&lt;2/24)),1,0),0)</f>
        <v>0</v>
      </c>
      <c r="AH60" s="6">
        <f>IF((H58&lt;&gt;"")*(H62=""),IF((H58&lt;=$B$442)*((H59&gt;=$C$442)+(H59&lt;2/24)),1,0),0)</f>
        <v>0</v>
      </c>
      <c r="AI60" s="6">
        <f>IF((I58&lt;&gt;"")*(I62=""),IF((I58&lt;=$B$442)*((I59&gt;=$C$442)+(I59&lt;2/24)),1,0),0)</f>
        <v>0</v>
      </c>
      <c r="AJ60" s="6">
        <f>IF((J58&lt;&gt;"")*(J62=""),IF((J58&lt;=$B$442)*((J59&gt;=$C$442)+(J59&lt;2/24)),1,0),0)</f>
        <v>0</v>
      </c>
    </row>
    <row r="61" spans="1:36" ht="13.5" hidden="1" thickBot="1" x14ac:dyDescent="0.25">
      <c r="A61" s="39"/>
      <c r="B61" s="40"/>
      <c r="C61" s="15" t="s">
        <v>3</v>
      </c>
      <c r="D61" s="43"/>
      <c r="E61" s="43"/>
      <c r="F61" s="43"/>
      <c r="G61" s="43"/>
      <c r="H61" s="43"/>
      <c r="I61" s="43"/>
      <c r="J61" s="44"/>
      <c r="K61" s="18">
        <f>SUMIF(D62:J62,"",D61:J61)</f>
        <v>0</v>
      </c>
      <c r="L61" s="12">
        <f>SUM(D61:J61)</f>
        <v>0</v>
      </c>
      <c r="M61" s="24"/>
      <c r="N61" s="10">
        <f>IF(D62="",D61,0)</f>
        <v>0</v>
      </c>
      <c r="O61" s="10">
        <f>IF(E62="",E61,0)</f>
        <v>0</v>
      </c>
      <c r="P61" s="10">
        <f t="shared" ref="P61:T61" si="18">IF(F62="",F61,0)</f>
        <v>0</v>
      </c>
      <c r="Q61" s="10">
        <f t="shared" si="18"/>
        <v>0</v>
      </c>
      <c r="R61" s="10">
        <f t="shared" si="18"/>
        <v>0</v>
      </c>
      <c r="S61" s="10">
        <f t="shared" si="18"/>
        <v>0</v>
      </c>
      <c r="T61" s="10">
        <f t="shared" si="18"/>
        <v>0</v>
      </c>
      <c r="U61" s="10"/>
      <c r="V61" s="10">
        <f>D61</f>
        <v>0</v>
      </c>
      <c r="W61" s="10">
        <f>E61</f>
        <v>0</v>
      </c>
      <c r="X61" s="10">
        <f t="shared" ref="X61:AB61" si="19">F61</f>
        <v>0</v>
      </c>
      <c r="Y61" s="10">
        <f t="shared" si="19"/>
        <v>0</v>
      </c>
      <c r="Z61" s="10">
        <f t="shared" si="19"/>
        <v>0</v>
      </c>
      <c r="AA61" s="10">
        <f t="shared" si="19"/>
        <v>0</v>
      </c>
      <c r="AB61" s="10">
        <f t="shared" si="19"/>
        <v>0</v>
      </c>
      <c r="AD61" s="6">
        <f>IF((D58&lt;&gt;"")*(D62=""),IF((D58&lt;=$B$443)*((D59&gt;=$C$443)+(D59&lt;2/24)),1,0),0)</f>
        <v>0</v>
      </c>
      <c r="AE61" s="6">
        <f>IF((E58&lt;&gt;"")*(E62=""),IF((E58&lt;=$B$443)*((E59&gt;=$C$443)+(E59&lt;2/24)),1,0),0)</f>
        <v>0</v>
      </c>
      <c r="AF61" s="6">
        <f>IF((F58&lt;&gt;"")*(F62=""),IF((F58&lt;=$B$443)*((F59&gt;=$C$443)+(F59&lt;2/24)),1,0),0)</f>
        <v>0</v>
      </c>
      <c r="AG61" s="6">
        <f>IF((G58&lt;&gt;"")*(G62=""),IF((G58&lt;=$B$443)*((G59&gt;=$C$443)+(G59&lt;2/24)),1,0),0)</f>
        <v>0</v>
      </c>
      <c r="AH61" s="6">
        <f>IF((H58&lt;&gt;"")*(H62=""),IF((H58&lt;=$B$443)*((H59&gt;=$C$443)+(H59&lt;2/24)),1,0),0)</f>
        <v>0</v>
      </c>
      <c r="AI61" s="6">
        <f>IF((I58&lt;&gt;"")*(I62=""),IF((I58&lt;=$B$443)*((I59&gt;=$C$443)+(I59&lt;2/24)),1,0),0)</f>
        <v>0</v>
      </c>
      <c r="AJ61" s="6">
        <f>IF((J58&lt;&gt;"")*(J62=""),IF((J58&lt;=$B$443)*((J59&gt;=$C$443)+(J59&lt;2/24)),1,0),0)</f>
        <v>0</v>
      </c>
    </row>
    <row r="62" spans="1:36" ht="13.5" hidden="1" thickBot="1" x14ac:dyDescent="0.25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  <c r="N62" s="6"/>
      <c r="O62" s="6"/>
      <c r="P62" s="6"/>
      <c r="Q62" s="6"/>
      <c r="R62" s="6"/>
      <c r="S62" s="6"/>
      <c r="T62" s="6"/>
      <c r="U62" s="6"/>
      <c r="V62" s="20"/>
      <c r="W62" s="20"/>
      <c r="X62" s="20"/>
      <c r="Y62" s="20"/>
      <c r="Z62" s="20"/>
      <c r="AA62" s="20"/>
      <c r="AB62" s="20"/>
      <c r="AD62" s="6">
        <f>IF((D58&lt;&gt;"")*(D62=""),IF((D58&lt;=$B$444)*((D59&gt;=$C$444)+(D59&lt;2/24)),1,0),0)</f>
        <v>0</v>
      </c>
      <c r="AE62" s="6">
        <f>IF((E58&lt;&gt;"")*(E62=""),IF((E58&lt;=$B$444)*((E59&gt;=$C$444)+(E59&lt;2/24)),1,0),0)</f>
        <v>0</v>
      </c>
      <c r="AF62" s="6">
        <f>IF((F58&lt;&gt;"")*(F62=""),IF((F58&lt;=$B$444)*((F59&gt;=$C$444)+(F59&lt;2/24)),1,0),0)</f>
        <v>0</v>
      </c>
      <c r="AG62" s="6">
        <f>IF((G58&lt;&gt;"")*(G62=""),IF((G58&lt;=$B$444)*((G59&gt;=$C$444)+(G59&lt;2/24)),1,0),0)</f>
        <v>0</v>
      </c>
      <c r="AH62" s="6">
        <f>IF((H58&lt;&gt;"")*(H62=""),IF((H58&lt;=$B$444)*((H59&gt;=$C$444)+(H59&lt;2/24)),1,0),0)</f>
        <v>0</v>
      </c>
      <c r="AI62" s="6">
        <f>IF((I58&lt;&gt;"")*(I62=""),IF((I58&lt;=$B$444)*((I59&gt;=$C$444)+(I59&lt;2/24)),1,0),0)</f>
        <v>0</v>
      </c>
      <c r="AJ62" s="6">
        <f>IF((J58&lt;&gt;"")*(J62=""),IF((J58&lt;=$B$444)*((J59&gt;=$C$444)+(J59&lt;2/24)),1,0),0)</f>
        <v>0</v>
      </c>
    </row>
    <row r="63" spans="1:36" ht="13.5" hidden="1" thickBot="1" x14ac:dyDescent="0.25">
      <c r="A63" s="41"/>
      <c r="B63" s="42"/>
      <c r="C63" s="35" t="s">
        <v>28</v>
      </c>
      <c r="D63" s="36"/>
      <c r="E63" s="36"/>
      <c r="F63" s="36"/>
      <c r="G63" s="36"/>
      <c r="H63" s="36"/>
      <c r="I63" s="36"/>
      <c r="J63" s="36"/>
      <c r="K63" s="34"/>
      <c r="L63" s="6"/>
      <c r="M63" s="25"/>
      <c r="N63" s="6"/>
      <c r="O63" s="6"/>
      <c r="P63" s="6"/>
      <c r="Q63" s="6"/>
      <c r="R63" s="6"/>
      <c r="S63" s="6"/>
      <c r="T63" s="6"/>
      <c r="U63" s="6"/>
      <c r="V63" s="20"/>
      <c r="W63" s="20"/>
      <c r="X63" s="20"/>
      <c r="Y63" s="20"/>
      <c r="Z63" s="20"/>
      <c r="AA63" s="20"/>
      <c r="AB63" s="20"/>
      <c r="AD63" s="6"/>
      <c r="AE63" s="6"/>
      <c r="AF63" s="6"/>
      <c r="AG63" s="6"/>
      <c r="AH63" s="6"/>
      <c r="AI63" s="6"/>
      <c r="AJ63" s="6"/>
    </row>
    <row r="64" spans="1:36" ht="13.5" hidden="1" thickBot="1" x14ac:dyDescent="0.25">
      <c r="A64" s="37" t="s">
        <v>29</v>
      </c>
      <c r="B64" s="38" t="s">
        <v>30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  <c r="L64" s="6"/>
      <c r="M64" s="21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D64" s="6">
        <f>IF((D64&lt;&gt;"")*(D68=""),IF((D64&lt;=$B$440)*((D65&gt;=$C$440)+(D65&lt;2/24)),1,0),0)</f>
        <v>0</v>
      </c>
      <c r="AE64" s="6">
        <f>IF((E64&lt;&gt;"")*(E68=""),IF((E64&lt;=$B$440)*((E65&gt;=$C$440)+(E65&lt;2/24)),1,0),0)</f>
        <v>0</v>
      </c>
      <c r="AF64" s="6">
        <f>IF((F64&lt;&gt;"")*(F68=""),IF((F64&lt;=$B$440)*((F65&gt;=$C$440)+(F65&lt;2/24)),1,0),0)</f>
        <v>0</v>
      </c>
      <c r="AG64" s="6">
        <f>IF((G64&lt;&gt;"")*(G68=""),IF((G64&lt;=$B$440)*((G65&gt;=$C$440)+(G65&lt;2/24)),1,0),0)</f>
        <v>0</v>
      </c>
      <c r="AH64" s="6">
        <f>IF((H64&lt;&gt;"")*(H68=""),IF((H64&lt;=$B$440)*((H65&gt;=$C$440)+(H65&lt;2/24)),1,0),0)</f>
        <v>0</v>
      </c>
      <c r="AI64" s="6">
        <f>IF((I64&lt;&gt;"")*(I68=""),IF((I64&lt;=$B$440)*((I65&gt;=$C$440)+(I65&lt;2/24)),1,0),0)</f>
        <v>0</v>
      </c>
      <c r="AJ64" s="6">
        <f>IF((J64&lt;&gt;"")*(J68=""),IF((J64&lt;=$B$440)*((J65&gt;=$C$440)+(J65&lt;2/24)),1,0),0)</f>
        <v>0</v>
      </c>
    </row>
    <row r="65" spans="1:36" ht="13.5" hidden="1" thickBot="1" x14ac:dyDescent="0.25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1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D65" s="6">
        <f>IF((D64&lt;&gt;"")*(D68=""),IF((D64&lt;=$B$441)*((D65&gt;=$C$441)+(D65&lt;2/24)),1,0),0)</f>
        <v>0</v>
      </c>
      <c r="AE65" s="6">
        <f>IF((E64&lt;&gt;"")*(E68=""),IF((E64&lt;=$B$441)*((E65&gt;=$C$441)+(E65&lt;2/24)),1,0),0)</f>
        <v>0</v>
      </c>
      <c r="AF65" s="6">
        <f>IF((F64&lt;&gt;"")*(F68=""),IF((F64&lt;=$B$441)*((F65&gt;=$C$441)+(F65&lt;2/24)),1,0),0)</f>
        <v>0</v>
      </c>
      <c r="AG65" s="6">
        <f>IF((G64&lt;&gt;"")*(G68=""),IF((G64&lt;=$B$441)*((G65&gt;=$C$441)+(G65&lt;2/24)),1,0),0)</f>
        <v>0</v>
      </c>
      <c r="AH65" s="6">
        <f>IF((H64&lt;&gt;"")*(H68=""),IF((H64&lt;=$B$441)*((H65&gt;=$C$441)+(H65&lt;2/24)),1,0),0)</f>
        <v>0</v>
      </c>
      <c r="AI65" s="6">
        <f>IF((I64&lt;&gt;"")*(I68=""),IF((I64&lt;=$B$441)*((I65&gt;=$C$441)+(I65&lt;2/24)),1,0),0)</f>
        <v>0</v>
      </c>
      <c r="AJ65" s="6">
        <f>IF((J64&lt;&gt;"")*(J68=""),IF((J64&lt;=$B$441)*((J65&gt;=$C$441)+(J65&lt;2/24)),1,0),0)</f>
        <v>0</v>
      </c>
    </row>
    <row r="66" spans="1:36" ht="13.5" hidden="1" thickBot="1" x14ac:dyDescent="0.25">
      <c r="A66" s="39"/>
      <c r="B66" s="40"/>
      <c r="C66" s="15" t="s">
        <v>2</v>
      </c>
      <c r="D66" s="4"/>
      <c r="E66" s="4"/>
      <c r="F66" s="4"/>
      <c r="G66" s="4"/>
      <c r="H66" s="4"/>
      <c r="I66" s="4"/>
      <c r="J66" s="4"/>
      <c r="K66" s="17"/>
      <c r="L66" s="6"/>
      <c r="M66" s="21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D66" s="6">
        <f>IF((D64&lt;&gt;"")*(D68=""),IF((D64&lt;=$B$442)*((D65&gt;=$C$442)+(D65&lt;2/24)),1,0),0)</f>
        <v>0</v>
      </c>
      <c r="AE66" s="6">
        <f>IF((E64&lt;&gt;"")*(E68=""),IF((E64&lt;=$B$442)*((E65&gt;=$C$442)+(E65&lt;2/24)),1,0),0)</f>
        <v>0</v>
      </c>
      <c r="AF66" s="6">
        <f>IF((F64&lt;&gt;"")*(F68=""),IF((F64&lt;=$B$442)*((F65&gt;=$C$442)+(F65&lt;2/24)),1,0),0)</f>
        <v>0</v>
      </c>
      <c r="AG66" s="6">
        <f>IF((G64&lt;&gt;"")*(G68=""),IF((G64&lt;=$B$442)*((G65&gt;=$C$442)+(G65&lt;2/24)),1,0),0)</f>
        <v>0</v>
      </c>
      <c r="AH66" s="6">
        <f>IF((H64&lt;&gt;"")*(H68=""),IF((H64&lt;=$B$442)*((H65&gt;=$C$442)+(H65&lt;2/24)),1,0),0)</f>
        <v>0</v>
      </c>
      <c r="AI66" s="6">
        <f>IF((I64&lt;&gt;"")*(I68=""),IF((I64&lt;=$B$442)*((I65&gt;=$C$442)+(I65&lt;2/24)),1,0),0)</f>
        <v>0</v>
      </c>
      <c r="AJ66" s="6">
        <f>IF((J64&lt;&gt;"")*(J68=""),IF((J64&lt;=$B$442)*((J65&gt;=$C$442)+(J65&lt;2/24)),1,0),0)</f>
        <v>0</v>
      </c>
    </row>
    <row r="67" spans="1:36" ht="13.5" hidden="1" thickBot="1" x14ac:dyDescent="0.25">
      <c r="A67" s="39"/>
      <c r="B67" s="40"/>
      <c r="C67" s="15" t="s">
        <v>3</v>
      </c>
      <c r="D67" s="43"/>
      <c r="E67" s="43"/>
      <c r="F67" s="43"/>
      <c r="G67" s="43"/>
      <c r="H67" s="43"/>
      <c r="I67" s="43"/>
      <c r="J67" s="44"/>
      <c r="K67" s="18">
        <f>SUMIF(D68:J68,"",D67:J67)</f>
        <v>0</v>
      </c>
      <c r="L67" s="12">
        <f>SUM(D67:J67)</f>
        <v>0</v>
      </c>
      <c r="M67" s="24"/>
      <c r="N67" s="10">
        <f>IF(D68="",D67,0)</f>
        <v>0</v>
      </c>
      <c r="O67" s="10">
        <f>IF(E68="",E67,0)</f>
        <v>0</v>
      </c>
      <c r="P67" s="10">
        <f t="shared" ref="P67:T67" si="20">IF(F68="",F67,0)</f>
        <v>0</v>
      </c>
      <c r="Q67" s="10">
        <f t="shared" si="20"/>
        <v>0</v>
      </c>
      <c r="R67" s="10">
        <f t="shared" si="20"/>
        <v>0</v>
      </c>
      <c r="S67" s="10">
        <f t="shared" si="20"/>
        <v>0</v>
      </c>
      <c r="T67" s="10">
        <f t="shared" si="20"/>
        <v>0</v>
      </c>
      <c r="U67" s="10"/>
      <c r="V67" s="10">
        <f>D67</f>
        <v>0</v>
      </c>
      <c r="W67" s="10">
        <f>E67</f>
        <v>0</v>
      </c>
      <c r="X67" s="10">
        <f t="shared" ref="X67:AB67" si="21">F67</f>
        <v>0</v>
      </c>
      <c r="Y67" s="10">
        <f t="shared" si="21"/>
        <v>0</v>
      </c>
      <c r="Z67" s="10">
        <f t="shared" si="21"/>
        <v>0</v>
      </c>
      <c r="AA67" s="10">
        <f t="shared" si="21"/>
        <v>0</v>
      </c>
      <c r="AB67" s="10">
        <f t="shared" si="21"/>
        <v>0</v>
      </c>
      <c r="AD67" s="6">
        <f>IF((D64&lt;&gt;"")*(D68=""),IF((D64&lt;=$B$443)*((D65&gt;=$C$443)+(D65&lt;2/24)),1,0),0)</f>
        <v>0</v>
      </c>
      <c r="AE67" s="6">
        <f>IF((E64&lt;&gt;"")*(E68=""),IF((E64&lt;=$B$443)*((E65&gt;=$C$443)+(E65&lt;2/24)),1,0),0)</f>
        <v>0</v>
      </c>
      <c r="AF67" s="6">
        <f>IF((F64&lt;&gt;"")*(F68=""),IF((F64&lt;=$B$443)*((F65&gt;=$C$443)+(F65&lt;2/24)),1,0),0)</f>
        <v>0</v>
      </c>
      <c r="AG67" s="6">
        <f>IF((G64&lt;&gt;"")*(G68=""),IF((G64&lt;=$B$443)*((G65&gt;=$C$443)+(G65&lt;2/24)),1,0),0)</f>
        <v>0</v>
      </c>
      <c r="AH67" s="6">
        <f>IF((H64&lt;&gt;"")*(H68=""),IF((H64&lt;=$B$443)*((H65&gt;=$C$443)+(H65&lt;2/24)),1,0),0)</f>
        <v>0</v>
      </c>
      <c r="AI67" s="6">
        <f>IF((I64&lt;&gt;"")*(I68=""),IF((I64&lt;=$B$443)*((I65&gt;=$C$443)+(I65&lt;2/24)),1,0),0)</f>
        <v>0</v>
      </c>
      <c r="AJ67" s="6">
        <f>IF((J64&lt;&gt;"")*(J68=""),IF((J64&lt;=$B$443)*((J65&gt;=$C$443)+(J65&lt;2/24)),1,0),0)</f>
        <v>0</v>
      </c>
    </row>
    <row r="68" spans="1:36" ht="13.5" hidden="1" thickBot="1" x14ac:dyDescent="0.25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  <c r="N68" s="6"/>
      <c r="O68" s="6"/>
      <c r="P68" s="6"/>
      <c r="Q68" s="6"/>
      <c r="R68" s="6"/>
      <c r="S68" s="6"/>
      <c r="T68" s="6"/>
      <c r="U68" s="6"/>
      <c r="V68" s="20"/>
      <c r="W68" s="20"/>
      <c r="X68" s="20"/>
      <c r="Y68" s="20"/>
      <c r="Z68" s="20"/>
      <c r="AA68" s="20"/>
      <c r="AB68" s="20"/>
      <c r="AD68" s="6">
        <f>IF((D64&lt;&gt;"")*(D68=""),IF((D64&lt;=$B$444)*((D65&gt;=$C$444)+(D65&lt;2/24)),1,0),0)</f>
        <v>0</v>
      </c>
      <c r="AE68" s="6">
        <f>IF((E64&lt;&gt;"")*(E68=""),IF((E64&lt;=$B$444)*((E65&gt;=$C$444)+(E65&lt;2/24)),1,0),0)</f>
        <v>0</v>
      </c>
      <c r="AF68" s="6">
        <f>IF((F64&lt;&gt;"")*(F68=""),IF((F64&lt;=$B$444)*((F65&gt;=$C$444)+(F65&lt;2/24)),1,0),0)</f>
        <v>0</v>
      </c>
      <c r="AG68" s="6">
        <f>IF((G64&lt;&gt;"")*(G68=""),IF((G64&lt;=$B$444)*((G65&gt;=$C$444)+(G65&lt;2/24)),1,0),0)</f>
        <v>0</v>
      </c>
      <c r="AH68" s="6">
        <f>IF((H64&lt;&gt;"")*(H68=""),IF((H64&lt;=$B$444)*((H65&gt;=$C$444)+(H65&lt;2/24)),1,0),0)</f>
        <v>0</v>
      </c>
      <c r="AI68" s="6">
        <f>IF((I64&lt;&gt;"")*(I68=""),IF((I64&lt;=$B$444)*((I65&gt;=$C$444)+(I65&lt;2/24)),1,0),0)</f>
        <v>0</v>
      </c>
      <c r="AJ68" s="6">
        <f>IF((J64&lt;&gt;"")*(J68=""),IF((J64&lt;=$B$444)*((J65&gt;=$C$444)+(J65&lt;2/24)),1,0),0)</f>
        <v>0</v>
      </c>
    </row>
    <row r="69" spans="1:36" ht="13.5" hidden="1" thickBot="1" x14ac:dyDescent="0.25">
      <c r="A69" s="41"/>
      <c r="B69" s="42"/>
      <c r="C69" s="35" t="s">
        <v>28</v>
      </c>
      <c r="D69" s="36"/>
      <c r="E69" s="36"/>
      <c r="F69" s="36"/>
      <c r="G69" s="36"/>
      <c r="H69" s="36"/>
      <c r="I69" s="36"/>
      <c r="J69" s="36"/>
      <c r="K69" s="34"/>
      <c r="L69" s="6"/>
      <c r="M69" s="25"/>
      <c r="N69" s="6"/>
      <c r="O69" s="6"/>
      <c r="P69" s="6"/>
      <c r="Q69" s="6"/>
      <c r="R69" s="6"/>
      <c r="S69" s="6"/>
      <c r="T69" s="6"/>
      <c r="U69" s="6"/>
      <c r="V69" s="20"/>
      <c r="W69" s="20"/>
      <c r="X69" s="20"/>
      <c r="Y69" s="20"/>
      <c r="Z69" s="20"/>
      <c r="AA69" s="20"/>
      <c r="AB69" s="20"/>
      <c r="AD69" s="6"/>
      <c r="AE69" s="6"/>
      <c r="AF69" s="6"/>
      <c r="AG69" s="6"/>
      <c r="AH69" s="6"/>
      <c r="AI69" s="6"/>
      <c r="AJ69" s="6"/>
    </row>
    <row r="70" spans="1:36" ht="13.5" hidden="1" thickBot="1" x14ac:dyDescent="0.25">
      <c r="A70" s="37" t="s">
        <v>29</v>
      </c>
      <c r="B70" s="38" t="s">
        <v>30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  <c r="L70" s="6"/>
      <c r="M70" s="21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D70" s="6">
        <f>IF((D70&lt;&gt;"")*(D74=""),IF((D70&lt;=$B$440)*((D71&gt;=$C$440)+(D71&lt;2/24)),1,0),0)</f>
        <v>0</v>
      </c>
      <c r="AE70" s="6">
        <f>IF((E70&lt;&gt;"")*(E74=""),IF((E70&lt;=$B$440)*((E71&gt;=$C$440)+(E71&lt;2/24)),1,0),0)</f>
        <v>0</v>
      </c>
      <c r="AF70" s="6">
        <f>IF((F70&lt;&gt;"")*(F74=""),IF((F70&lt;=$B$440)*((F71&gt;=$C$440)+(F71&lt;2/24)),1,0),0)</f>
        <v>0</v>
      </c>
      <c r="AG70" s="6">
        <f>IF((G70&lt;&gt;"")*(G74=""),IF((G70&lt;=$B$440)*((G71&gt;=$C$440)+(G71&lt;2/24)),1,0),0)</f>
        <v>0</v>
      </c>
      <c r="AH70" s="6">
        <f>IF((H70&lt;&gt;"")*(H74=""),IF((H70&lt;=$B$440)*((H71&gt;=$C$440)+(H71&lt;2/24)),1,0),0)</f>
        <v>0</v>
      </c>
      <c r="AI70" s="6">
        <f>IF((I70&lt;&gt;"")*(I74=""),IF((I70&lt;=$B$440)*((I71&gt;=$C$440)+(I71&lt;2/24)),1,0),0)</f>
        <v>0</v>
      </c>
      <c r="AJ70" s="6">
        <f>IF((J70&lt;&gt;"")*(J74=""),IF((J70&lt;=$B$440)*((J71&gt;=$C$440)+(J71&lt;2/24)),1,0),0)</f>
        <v>0</v>
      </c>
    </row>
    <row r="71" spans="1:36" ht="13.5" hidden="1" thickBot="1" x14ac:dyDescent="0.25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  <c r="L71" s="6"/>
      <c r="M71" s="21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D71" s="6">
        <f>IF((D70&lt;&gt;"")*(D74=""),IF((D70&lt;=$B$441)*((D71&gt;=$C$441)+(D71&lt;2/24)),1,0),0)</f>
        <v>0</v>
      </c>
      <c r="AE71" s="6">
        <f>IF((E70&lt;&gt;"")*(E74=""),IF((E70&lt;=$B$441)*((E71&gt;=$C$441)+(E71&lt;2/24)),1,0),0)</f>
        <v>0</v>
      </c>
      <c r="AF71" s="6">
        <f>IF((F70&lt;&gt;"")*(F74=""),IF((F70&lt;=$B$441)*((F71&gt;=$C$441)+(F71&lt;2/24)),1,0),0)</f>
        <v>0</v>
      </c>
      <c r="AG71" s="6">
        <f>IF((G70&lt;&gt;"")*(G74=""),IF((G70&lt;=$B$441)*((G71&gt;=$C$441)+(G71&lt;2/24)),1,0),0)</f>
        <v>0</v>
      </c>
      <c r="AH71" s="6">
        <f>IF((H70&lt;&gt;"")*(H74=""),IF((H70&lt;=$B$441)*((H71&gt;=$C$441)+(H71&lt;2/24)),1,0),0)</f>
        <v>0</v>
      </c>
      <c r="AI71" s="6">
        <f>IF((I70&lt;&gt;"")*(I74=""),IF((I70&lt;=$B$441)*((I71&gt;=$C$441)+(I71&lt;2/24)),1,0),0)</f>
        <v>0</v>
      </c>
      <c r="AJ71" s="6">
        <f>IF((J70&lt;&gt;"")*(J74=""),IF((J70&lt;=$B$441)*((J71&gt;=$C$441)+(J71&lt;2/24)),1,0),0)</f>
        <v>0</v>
      </c>
    </row>
    <row r="72" spans="1:36" ht="13.5" hidden="1" thickBot="1" x14ac:dyDescent="0.25">
      <c r="A72" s="39"/>
      <c r="B72" s="40"/>
      <c r="C72" s="15" t="s">
        <v>2</v>
      </c>
      <c r="D72" s="4"/>
      <c r="E72" s="4"/>
      <c r="F72" s="4"/>
      <c r="G72" s="4"/>
      <c r="H72" s="4"/>
      <c r="I72" s="4"/>
      <c r="J72" s="4"/>
      <c r="K72" s="17"/>
      <c r="L72" s="6"/>
      <c r="M72" s="21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D72" s="6">
        <f>IF((D70&lt;&gt;"")*(D74=""),IF((D70&lt;=$B$442)*((D71&gt;=$C$442)+(D71&lt;2/24)),1,0),0)</f>
        <v>0</v>
      </c>
      <c r="AE72" s="6">
        <f>IF((E70&lt;&gt;"")*(E74=""),IF((E70&lt;=$B$442)*((E71&gt;=$C$442)+(E71&lt;2/24)),1,0),0)</f>
        <v>0</v>
      </c>
      <c r="AF72" s="6">
        <f>IF((F70&lt;&gt;"")*(F74=""),IF((F70&lt;=$B$442)*((F71&gt;=$C$442)+(F71&lt;2/24)),1,0),0)</f>
        <v>0</v>
      </c>
      <c r="AG72" s="6">
        <f>IF((G70&lt;&gt;"")*(G74=""),IF((G70&lt;=$B$442)*((G71&gt;=$C$442)+(G71&lt;2/24)),1,0),0)</f>
        <v>0</v>
      </c>
      <c r="AH72" s="6">
        <f>IF((H70&lt;&gt;"")*(H74=""),IF((H70&lt;=$B$442)*((H71&gt;=$C$442)+(H71&lt;2/24)),1,0),0)</f>
        <v>0</v>
      </c>
      <c r="AI72" s="6">
        <f>IF((I70&lt;&gt;"")*(I74=""),IF((I70&lt;=$B$442)*((I71&gt;=$C$442)+(I71&lt;2/24)),1,0),0)</f>
        <v>0</v>
      </c>
      <c r="AJ72" s="6">
        <f>IF((J70&lt;&gt;"")*(J74=""),IF((J70&lt;=$B$442)*((J71&gt;=$C$442)+(J71&lt;2/24)),1,0),0)</f>
        <v>0</v>
      </c>
    </row>
    <row r="73" spans="1:36" ht="13.5" hidden="1" thickBot="1" x14ac:dyDescent="0.25">
      <c r="A73" s="39"/>
      <c r="B73" s="40"/>
      <c r="C73" s="15" t="s">
        <v>3</v>
      </c>
      <c r="D73" s="43"/>
      <c r="E73" s="43"/>
      <c r="F73" s="43"/>
      <c r="G73" s="43"/>
      <c r="H73" s="43"/>
      <c r="I73" s="43"/>
      <c r="J73" s="44"/>
      <c r="K73" s="18">
        <f>SUMIF(D74:J74,"",D73:J73)</f>
        <v>0</v>
      </c>
      <c r="L73" s="12">
        <f>SUM(D73:J73)</f>
        <v>0</v>
      </c>
      <c r="M73" s="24"/>
      <c r="N73" s="10">
        <f>IF(D74="",D73,0)</f>
        <v>0</v>
      </c>
      <c r="O73" s="10">
        <f>IF(E74="",E73,0)</f>
        <v>0</v>
      </c>
      <c r="P73" s="10">
        <f t="shared" ref="P73:T73" si="22">IF(F74="",F73,0)</f>
        <v>0</v>
      </c>
      <c r="Q73" s="10">
        <f t="shared" si="22"/>
        <v>0</v>
      </c>
      <c r="R73" s="10">
        <f t="shared" si="22"/>
        <v>0</v>
      </c>
      <c r="S73" s="10">
        <f t="shared" si="22"/>
        <v>0</v>
      </c>
      <c r="T73" s="10">
        <f t="shared" si="22"/>
        <v>0</v>
      </c>
      <c r="U73" s="10"/>
      <c r="V73" s="10">
        <f>D73</f>
        <v>0</v>
      </c>
      <c r="W73" s="10">
        <f>E73</f>
        <v>0</v>
      </c>
      <c r="X73" s="10">
        <f t="shared" ref="X73:AB73" si="23">F73</f>
        <v>0</v>
      </c>
      <c r="Y73" s="10">
        <f t="shared" si="23"/>
        <v>0</v>
      </c>
      <c r="Z73" s="10">
        <f t="shared" si="23"/>
        <v>0</v>
      </c>
      <c r="AA73" s="10">
        <f t="shared" si="23"/>
        <v>0</v>
      </c>
      <c r="AB73" s="10">
        <f t="shared" si="23"/>
        <v>0</v>
      </c>
      <c r="AD73" s="6">
        <f>IF((D70&lt;&gt;"")*(D74=""),IF((D70&lt;=$B$443)*((D71&gt;=$C$443)+(D71&lt;2/24)),1,0),0)</f>
        <v>0</v>
      </c>
      <c r="AE73" s="6">
        <f>IF((E70&lt;&gt;"")*(E74=""),IF((E70&lt;=$B$443)*((E71&gt;=$C$443)+(E71&lt;2/24)),1,0),0)</f>
        <v>0</v>
      </c>
      <c r="AF73" s="6">
        <f>IF((F70&lt;&gt;"")*(F74=""),IF((F70&lt;=$B$443)*((F71&gt;=$C$443)+(F71&lt;2/24)),1,0),0)</f>
        <v>0</v>
      </c>
      <c r="AG73" s="6">
        <f>IF((G70&lt;&gt;"")*(G74=""),IF((G70&lt;=$B$443)*((G71&gt;=$C$443)+(G71&lt;2/24)),1,0),0)</f>
        <v>0</v>
      </c>
      <c r="AH73" s="6">
        <f>IF((H70&lt;&gt;"")*(H74=""),IF((H70&lt;=$B$443)*((H71&gt;=$C$443)+(H71&lt;2/24)),1,0),0)</f>
        <v>0</v>
      </c>
      <c r="AI73" s="6">
        <f>IF((I70&lt;&gt;"")*(I74=""),IF((I70&lt;=$B$443)*((I71&gt;=$C$443)+(I71&lt;2/24)),1,0),0)</f>
        <v>0</v>
      </c>
      <c r="AJ73" s="6">
        <f>IF((J70&lt;&gt;"")*(J74=""),IF((J70&lt;=$B$443)*((J71&gt;=$C$443)+(J71&lt;2/24)),1,0),0)</f>
        <v>0</v>
      </c>
    </row>
    <row r="74" spans="1:36" ht="13.5" hidden="1" thickBot="1" x14ac:dyDescent="0.25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  <c r="N74" s="6"/>
      <c r="O74" s="6"/>
      <c r="P74" s="6"/>
      <c r="Q74" s="6"/>
      <c r="R74" s="6"/>
      <c r="S74" s="6"/>
      <c r="T74" s="6"/>
      <c r="U74" s="6"/>
      <c r="V74" s="20"/>
      <c r="W74" s="20"/>
      <c r="X74" s="20"/>
      <c r="Y74" s="20"/>
      <c r="Z74" s="20"/>
      <c r="AA74" s="20"/>
      <c r="AB74" s="20"/>
      <c r="AD74" s="6">
        <f>IF((D70&lt;&gt;"")*(D74=""),IF((D70&lt;=$B$444)*((D71&gt;=$C$444)+(D71&lt;2/24)),1,0),0)</f>
        <v>0</v>
      </c>
      <c r="AE74" s="6">
        <f>IF((E70&lt;&gt;"")*(E74=""),IF((E70&lt;=$B$444)*((E71&gt;=$C$444)+(E71&lt;2/24)),1,0),0)</f>
        <v>0</v>
      </c>
      <c r="AF74" s="6">
        <f>IF((F70&lt;&gt;"")*(F74=""),IF((F70&lt;=$B$444)*((F71&gt;=$C$444)+(F71&lt;2/24)),1,0),0)</f>
        <v>0</v>
      </c>
      <c r="AG74" s="6">
        <f>IF((G70&lt;&gt;"")*(G74=""),IF((G70&lt;=$B$444)*((G71&gt;=$C$444)+(G71&lt;2/24)),1,0),0)</f>
        <v>0</v>
      </c>
      <c r="AH74" s="6">
        <f>IF((H70&lt;&gt;"")*(H74=""),IF((H70&lt;=$B$444)*((H71&gt;=$C$444)+(H71&lt;2/24)),1,0),0)</f>
        <v>0</v>
      </c>
      <c r="AI74" s="6">
        <f>IF((I70&lt;&gt;"")*(I74=""),IF((I70&lt;=$B$444)*((I71&gt;=$C$444)+(I71&lt;2/24)),1,0),0)</f>
        <v>0</v>
      </c>
      <c r="AJ74" s="6">
        <f>IF((J70&lt;&gt;"")*(J74=""),IF((J70&lt;=$B$444)*((J71&gt;=$C$444)+(J71&lt;2/24)),1,0),0)</f>
        <v>0</v>
      </c>
    </row>
    <row r="75" spans="1:36" ht="13.5" hidden="1" thickBot="1" x14ac:dyDescent="0.25">
      <c r="A75" s="41"/>
      <c r="B75" s="42"/>
      <c r="C75" s="35" t="s">
        <v>28</v>
      </c>
      <c r="D75" s="36"/>
      <c r="E75" s="36"/>
      <c r="F75" s="36"/>
      <c r="G75" s="36"/>
      <c r="H75" s="36"/>
      <c r="I75" s="36"/>
      <c r="J75" s="36"/>
      <c r="K75" s="34"/>
      <c r="L75" s="6"/>
      <c r="M75" s="25"/>
      <c r="N75" s="6"/>
      <c r="O75" s="6"/>
      <c r="P75" s="6"/>
      <c r="Q75" s="6"/>
      <c r="R75" s="6"/>
      <c r="S75" s="6"/>
      <c r="T75" s="6"/>
      <c r="U75" s="6"/>
      <c r="V75" s="20"/>
      <c r="W75" s="20"/>
      <c r="X75" s="20"/>
      <c r="Y75" s="20"/>
      <c r="Z75" s="20"/>
      <c r="AA75" s="20"/>
      <c r="AB75" s="20"/>
      <c r="AD75" s="6"/>
      <c r="AE75" s="6"/>
      <c r="AF75" s="6"/>
      <c r="AG75" s="6"/>
      <c r="AH75" s="6"/>
      <c r="AI75" s="6"/>
      <c r="AJ75" s="6"/>
    </row>
    <row r="76" spans="1:36" ht="13.5" hidden="1" thickBot="1" x14ac:dyDescent="0.25">
      <c r="A76" s="37" t="s">
        <v>29</v>
      </c>
      <c r="B76" s="38" t="s">
        <v>30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  <c r="L76" s="6"/>
      <c r="M76" s="21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D76" s="6">
        <f>IF((D76&lt;&gt;"")*(D80=""),IF((D76&lt;=$B$440)*((D77&gt;=$C$440)+(D77&lt;2/24)),1,0),0)</f>
        <v>0</v>
      </c>
      <c r="AE76" s="6">
        <f>IF((E76&lt;&gt;"")*(E80=""),IF((E76&lt;=$B$440)*((E77&gt;=$C$440)+(E77&lt;2/24)),1,0),0)</f>
        <v>0</v>
      </c>
      <c r="AF76" s="6">
        <f>IF((F76&lt;&gt;"")*(F80=""),IF((F76&lt;=$B$440)*((F77&gt;=$C$440)+(F77&lt;2/24)),1,0),0)</f>
        <v>0</v>
      </c>
      <c r="AG76" s="6">
        <f>IF((G76&lt;&gt;"")*(G80=""),IF((G76&lt;=$B$440)*((G77&gt;=$C$440)+(G77&lt;2/24)),1,0),0)</f>
        <v>0</v>
      </c>
      <c r="AH76" s="6">
        <f>IF((H76&lt;&gt;"")*(H80=""),IF((H76&lt;=$B$440)*((H77&gt;=$C$440)+(H77&lt;2/24)),1,0),0)</f>
        <v>0</v>
      </c>
      <c r="AI76" s="6">
        <f>IF((I76&lt;&gt;"")*(I80=""),IF((I76&lt;=$B$440)*((I77&gt;=$C$440)+(I77&lt;2/24)),1,0),0)</f>
        <v>0</v>
      </c>
      <c r="AJ76" s="6">
        <f>IF((J76&lt;&gt;"")*(J80=""),IF((J76&lt;=$B$440)*((J77&gt;=$C$440)+(J77&lt;2/24)),1,0),0)</f>
        <v>0</v>
      </c>
    </row>
    <row r="77" spans="1:36" ht="13.5" hidden="1" thickBot="1" x14ac:dyDescent="0.25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  <c r="L77" s="6"/>
      <c r="M77" s="21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D77" s="6">
        <f>IF((D76&lt;&gt;"")*(D80=""),IF((D76&lt;=$B$441)*((D77&gt;=$C$441)+(D77&lt;2/24)),1,0),0)</f>
        <v>0</v>
      </c>
      <c r="AE77" s="6">
        <f>IF((E76&lt;&gt;"")*(E80=""),IF((E76&lt;=$B$441)*((E77&gt;=$C$441)+(E77&lt;2/24)),1,0),0)</f>
        <v>0</v>
      </c>
      <c r="AF77" s="6">
        <f>IF((F76&lt;&gt;"")*(F80=""),IF((F76&lt;=$B$441)*((F77&gt;=$C$441)+(F77&lt;2/24)),1,0),0)</f>
        <v>0</v>
      </c>
      <c r="AG77" s="6">
        <f>IF((G76&lt;&gt;"")*(G80=""),IF((G76&lt;=$B$441)*((G77&gt;=$C$441)+(G77&lt;2/24)),1,0),0)</f>
        <v>0</v>
      </c>
      <c r="AH77" s="6">
        <f>IF((H76&lt;&gt;"")*(H80=""),IF((H76&lt;=$B$441)*((H77&gt;=$C$441)+(H77&lt;2/24)),1,0),0)</f>
        <v>0</v>
      </c>
      <c r="AI77" s="6">
        <f>IF((I76&lt;&gt;"")*(I80=""),IF((I76&lt;=$B$441)*((I77&gt;=$C$441)+(I77&lt;2/24)),1,0),0)</f>
        <v>0</v>
      </c>
      <c r="AJ77" s="6">
        <f>IF((J76&lt;&gt;"")*(J80=""),IF((J76&lt;=$B$441)*((J77&gt;=$C$441)+(J77&lt;2/24)),1,0),0)</f>
        <v>0</v>
      </c>
    </row>
    <row r="78" spans="1:36" ht="13.5" hidden="1" thickBot="1" x14ac:dyDescent="0.25">
      <c r="A78" s="39"/>
      <c r="B78" s="40"/>
      <c r="C78" s="15" t="s">
        <v>2</v>
      </c>
      <c r="D78" s="4"/>
      <c r="E78" s="4"/>
      <c r="F78" s="4"/>
      <c r="G78" s="4"/>
      <c r="H78" s="4"/>
      <c r="I78" s="4"/>
      <c r="J78" s="4"/>
      <c r="K78" s="17"/>
      <c r="L78" s="6"/>
      <c r="M78" s="21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D78" s="6">
        <f>IF((D76&lt;&gt;"")*(D80=""),IF((D76&lt;=$B$442)*((D77&gt;=$C$442)+(D77&lt;2/24)),1,0),0)</f>
        <v>0</v>
      </c>
      <c r="AE78" s="6">
        <f>IF((E76&lt;&gt;"")*(E80=""),IF((E76&lt;=$B$442)*((E77&gt;=$C$442)+(E77&lt;2/24)),1,0),0)</f>
        <v>0</v>
      </c>
      <c r="AF78" s="6">
        <f>IF((F76&lt;&gt;"")*(F80=""),IF((F76&lt;=$B$442)*((F77&gt;=$C$442)+(F77&lt;2/24)),1,0),0)</f>
        <v>0</v>
      </c>
      <c r="AG78" s="6">
        <f>IF((G76&lt;&gt;"")*(G80=""),IF((G76&lt;=$B$442)*((G77&gt;=$C$442)+(G77&lt;2/24)),1,0),0)</f>
        <v>0</v>
      </c>
      <c r="AH78" s="6">
        <f>IF((H76&lt;&gt;"")*(H80=""),IF((H76&lt;=$B$442)*((H77&gt;=$C$442)+(H77&lt;2/24)),1,0),0)</f>
        <v>0</v>
      </c>
      <c r="AI78" s="6">
        <f>IF((I76&lt;&gt;"")*(I80=""),IF((I76&lt;=$B$442)*((I77&gt;=$C$442)+(I77&lt;2/24)),1,0),0)</f>
        <v>0</v>
      </c>
      <c r="AJ78" s="6">
        <f>IF((J76&lt;&gt;"")*(J80=""),IF((J76&lt;=$B$442)*((J77&gt;=$C$442)+(J77&lt;2/24)),1,0),0)</f>
        <v>0</v>
      </c>
    </row>
    <row r="79" spans="1:36" ht="13.5" hidden="1" thickBot="1" x14ac:dyDescent="0.25">
      <c r="A79" s="39"/>
      <c r="B79" s="40"/>
      <c r="C79" s="15" t="s">
        <v>3</v>
      </c>
      <c r="D79" s="43"/>
      <c r="E79" s="43"/>
      <c r="F79" s="43"/>
      <c r="G79" s="43"/>
      <c r="H79" s="43"/>
      <c r="I79" s="43"/>
      <c r="J79" s="44"/>
      <c r="K79" s="18">
        <f>SUMIF(D80:J80,"",D79:J79)</f>
        <v>0</v>
      </c>
      <c r="L79" s="12">
        <f>SUM(D79:J79)</f>
        <v>0</v>
      </c>
      <c r="M79" s="24"/>
      <c r="N79" s="10">
        <f>IF(D80="",D79,0)</f>
        <v>0</v>
      </c>
      <c r="O79" s="10">
        <f>IF(E80="",E79,0)</f>
        <v>0</v>
      </c>
      <c r="P79" s="10">
        <f t="shared" ref="P79:T79" si="24">IF(F80="",F79,0)</f>
        <v>0</v>
      </c>
      <c r="Q79" s="10">
        <f t="shared" si="24"/>
        <v>0</v>
      </c>
      <c r="R79" s="10">
        <f t="shared" si="24"/>
        <v>0</v>
      </c>
      <c r="S79" s="10">
        <f t="shared" si="24"/>
        <v>0</v>
      </c>
      <c r="T79" s="10">
        <f t="shared" si="24"/>
        <v>0</v>
      </c>
      <c r="U79" s="10"/>
      <c r="V79" s="10">
        <f>D79</f>
        <v>0</v>
      </c>
      <c r="W79" s="10">
        <f>E79</f>
        <v>0</v>
      </c>
      <c r="X79" s="10">
        <f t="shared" ref="X79:AB79" si="25">F79</f>
        <v>0</v>
      </c>
      <c r="Y79" s="10">
        <f t="shared" si="25"/>
        <v>0</v>
      </c>
      <c r="Z79" s="10">
        <f t="shared" si="25"/>
        <v>0</v>
      </c>
      <c r="AA79" s="10">
        <f t="shared" si="25"/>
        <v>0</v>
      </c>
      <c r="AB79" s="10">
        <f t="shared" si="25"/>
        <v>0</v>
      </c>
      <c r="AD79" s="6">
        <f>IF((D76&lt;&gt;"")*(D80=""),IF((D76&lt;=$B$443)*((D77&gt;=$C$443)+(D77&lt;2/24)),1,0),0)</f>
        <v>0</v>
      </c>
      <c r="AE79" s="6">
        <f>IF((E76&lt;&gt;"")*(E80=""),IF((E76&lt;=$B$443)*((E77&gt;=$C$443)+(E77&lt;2/24)),1,0),0)</f>
        <v>0</v>
      </c>
      <c r="AF79" s="6">
        <f>IF((F76&lt;&gt;"")*(F80=""),IF((F76&lt;=$B$443)*((F77&gt;=$C$443)+(F77&lt;2/24)),1,0),0)</f>
        <v>0</v>
      </c>
      <c r="AG79" s="6">
        <f>IF((G76&lt;&gt;"")*(G80=""),IF((G76&lt;=$B$443)*((G77&gt;=$C$443)+(G77&lt;2/24)),1,0),0)</f>
        <v>0</v>
      </c>
      <c r="AH79" s="6">
        <f>IF((H76&lt;&gt;"")*(H80=""),IF((H76&lt;=$B$443)*((H77&gt;=$C$443)+(H77&lt;2/24)),1,0),0)</f>
        <v>0</v>
      </c>
      <c r="AI79" s="6">
        <f>IF((I76&lt;&gt;"")*(I80=""),IF((I76&lt;=$B$443)*((I77&gt;=$C$443)+(I77&lt;2/24)),1,0),0)</f>
        <v>0</v>
      </c>
      <c r="AJ79" s="6">
        <f>IF((J76&lt;&gt;"")*(J80=""),IF((J76&lt;=$B$443)*((J77&gt;=$C$443)+(J77&lt;2/24)),1,0),0)</f>
        <v>0</v>
      </c>
    </row>
    <row r="80" spans="1:36" ht="13.5" hidden="1" thickBot="1" x14ac:dyDescent="0.25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  <c r="N80" s="6"/>
      <c r="O80" s="6"/>
      <c r="P80" s="6"/>
      <c r="Q80" s="6"/>
      <c r="R80" s="6"/>
      <c r="S80" s="6"/>
      <c r="T80" s="6"/>
      <c r="U80" s="6"/>
      <c r="V80" s="20"/>
      <c r="W80" s="20"/>
      <c r="X80" s="20"/>
      <c r="Y80" s="20"/>
      <c r="Z80" s="20"/>
      <c r="AA80" s="20"/>
      <c r="AB80" s="20"/>
      <c r="AD80" s="6">
        <f>IF((D76&lt;&gt;"")*(D80=""),IF((D76&lt;=$B$444)*((D77&gt;=$C$444)+(D77&lt;2/24)),1,0),0)</f>
        <v>0</v>
      </c>
      <c r="AE80" s="6">
        <f>IF((E76&lt;&gt;"")*(E80=""),IF((E76&lt;=$B$444)*((E77&gt;=$C$444)+(E77&lt;2/24)),1,0),0)</f>
        <v>0</v>
      </c>
      <c r="AF80" s="6">
        <f>IF((F76&lt;&gt;"")*(F80=""),IF((F76&lt;=$B$444)*((F77&gt;=$C$444)+(F77&lt;2/24)),1,0),0)</f>
        <v>0</v>
      </c>
      <c r="AG80" s="6">
        <f>IF((G76&lt;&gt;"")*(G80=""),IF((G76&lt;=$B$444)*((G77&gt;=$C$444)+(G77&lt;2/24)),1,0),0)</f>
        <v>0</v>
      </c>
      <c r="AH80" s="6">
        <f>IF((H76&lt;&gt;"")*(H80=""),IF((H76&lt;=$B$444)*((H77&gt;=$C$444)+(H77&lt;2/24)),1,0),0)</f>
        <v>0</v>
      </c>
      <c r="AI80" s="6">
        <f>IF((I76&lt;&gt;"")*(I80=""),IF((I76&lt;=$B$444)*((I77&gt;=$C$444)+(I77&lt;2/24)),1,0),0)</f>
        <v>0</v>
      </c>
      <c r="AJ80" s="6">
        <f>IF((J76&lt;&gt;"")*(J80=""),IF((J76&lt;=$B$444)*((J77&gt;=$C$444)+(J77&lt;2/24)),1,0),0)</f>
        <v>0</v>
      </c>
    </row>
    <row r="81" spans="1:36" ht="13.5" hidden="1" thickBot="1" x14ac:dyDescent="0.25">
      <c r="A81" s="41"/>
      <c r="B81" s="42"/>
      <c r="C81" s="35" t="s">
        <v>28</v>
      </c>
      <c r="D81" s="36"/>
      <c r="E81" s="36"/>
      <c r="F81" s="36"/>
      <c r="G81" s="36"/>
      <c r="H81" s="36"/>
      <c r="I81" s="36"/>
      <c r="J81" s="36"/>
      <c r="K81" s="34"/>
      <c r="L81" s="6"/>
      <c r="M81" s="25"/>
      <c r="N81" s="6"/>
      <c r="O81" s="6"/>
      <c r="P81" s="6"/>
      <c r="Q81" s="6"/>
      <c r="R81" s="6"/>
      <c r="S81" s="6"/>
      <c r="T81" s="6"/>
      <c r="U81" s="6"/>
      <c r="V81" s="20"/>
      <c r="W81" s="20"/>
      <c r="X81" s="20"/>
      <c r="Y81" s="20"/>
      <c r="Z81" s="20"/>
      <c r="AA81" s="20"/>
      <c r="AB81" s="20"/>
      <c r="AD81" s="6"/>
      <c r="AE81" s="6"/>
      <c r="AF81" s="6"/>
      <c r="AG81" s="6"/>
      <c r="AH81" s="6"/>
      <c r="AI81" s="6"/>
      <c r="AJ81" s="6"/>
    </row>
    <row r="82" spans="1:36" ht="13.5" hidden="1" thickBot="1" x14ac:dyDescent="0.25">
      <c r="A82" s="37" t="s">
        <v>29</v>
      </c>
      <c r="B82" s="38" t="s">
        <v>30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  <c r="L82" s="6"/>
      <c r="M82" s="21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D82" s="6">
        <f>IF((D82&lt;&gt;"")*(D86=""),IF((D82&lt;=$B$440)*((D83&gt;=$C$440)+(D83&lt;2/24)),1,0),0)</f>
        <v>0</v>
      </c>
      <c r="AE82" s="6">
        <f>IF((E82&lt;&gt;"")*(E86=""),IF((E82&lt;=$B$440)*((E83&gt;=$C$440)+(E83&lt;2/24)),1,0),0)</f>
        <v>0</v>
      </c>
      <c r="AF82" s="6">
        <f>IF((F82&lt;&gt;"")*(F86=""),IF((F82&lt;=$B$440)*((F83&gt;=$C$440)+(F83&lt;2/24)),1,0),0)</f>
        <v>0</v>
      </c>
      <c r="AG82" s="6">
        <f>IF((G82&lt;&gt;"")*(G86=""),IF((G82&lt;=$B$440)*((G83&gt;=$C$440)+(G83&lt;2/24)),1,0),0)</f>
        <v>0</v>
      </c>
      <c r="AH82" s="6">
        <f>IF((H82&lt;&gt;"")*(H86=""),IF((H82&lt;=$B$440)*((H83&gt;=$C$440)+(H83&lt;2/24)),1,0),0)</f>
        <v>0</v>
      </c>
      <c r="AI82" s="6">
        <f>IF((I82&lt;&gt;"")*(I86=""),IF((I82&lt;=$B$440)*((I83&gt;=$C$440)+(I83&lt;2/24)),1,0),0)</f>
        <v>0</v>
      </c>
      <c r="AJ82" s="6">
        <f>IF((J82&lt;&gt;"")*(J86=""),IF((J82&lt;=$B$440)*((J83&gt;=$C$440)+(J83&lt;2/24)),1,0),0)</f>
        <v>0</v>
      </c>
    </row>
    <row r="83" spans="1:36" ht="13.5" hidden="1" thickBot="1" x14ac:dyDescent="0.25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  <c r="L83" s="6"/>
      <c r="M83" s="21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D83" s="6">
        <f>IF((D82&lt;&gt;"")*(D86=""),IF((D82&lt;=$B$441)*((D83&gt;=$C$441)+(D83&lt;2/24)),1,0),0)</f>
        <v>0</v>
      </c>
      <c r="AE83" s="6">
        <f>IF((E82&lt;&gt;"")*(E86=""),IF((E82&lt;=$B$441)*((E83&gt;=$C$441)+(E83&lt;2/24)),1,0),0)</f>
        <v>0</v>
      </c>
      <c r="AF83" s="6">
        <f>IF((F82&lt;&gt;"")*(F86=""),IF((F82&lt;=$B$441)*((F83&gt;=$C$441)+(F83&lt;2/24)),1,0),0)</f>
        <v>0</v>
      </c>
      <c r="AG83" s="6">
        <f>IF((G82&lt;&gt;"")*(G86=""),IF((G82&lt;=$B$441)*((G83&gt;=$C$441)+(G83&lt;2/24)),1,0),0)</f>
        <v>0</v>
      </c>
      <c r="AH83" s="6">
        <f>IF((H82&lt;&gt;"")*(H86=""),IF((H82&lt;=$B$441)*((H83&gt;=$C$441)+(H83&lt;2/24)),1,0),0)</f>
        <v>0</v>
      </c>
      <c r="AI83" s="6">
        <f>IF((I82&lt;&gt;"")*(I86=""),IF((I82&lt;=$B$441)*((I83&gt;=$C$441)+(I83&lt;2/24)),1,0),0)</f>
        <v>0</v>
      </c>
      <c r="AJ83" s="6">
        <f>IF((J82&lt;&gt;"")*(J86=""),IF((J82&lt;=$B$441)*((J83&gt;=$C$441)+(J83&lt;2/24)),1,0),0)</f>
        <v>0</v>
      </c>
    </row>
    <row r="84" spans="1:36" ht="13.5" hidden="1" thickBot="1" x14ac:dyDescent="0.25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  <c r="L84" s="6"/>
      <c r="M84" s="21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D84" s="6">
        <f>IF((D82&lt;&gt;"")*(D86=""),IF((D82&lt;=$B$442)*((D83&gt;=$C$442)+(D83&lt;2/24)),1,0),0)</f>
        <v>0</v>
      </c>
      <c r="AE84" s="6">
        <f>IF((E82&lt;&gt;"")*(E86=""),IF((E82&lt;=$B$442)*((E83&gt;=$C$442)+(E83&lt;2/24)),1,0),0)</f>
        <v>0</v>
      </c>
      <c r="AF84" s="6">
        <f>IF((F82&lt;&gt;"")*(F86=""),IF((F82&lt;=$B$442)*((F83&gt;=$C$442)+(F83&lt;2/24)),1,0),0)</f>
        <v>0</v>
      </c>
      <c r="AG84" s="6">
        <f>IF((G82&lt;&gt;"")*(G86=""),IF((G82&lt;=$B$442)*((G83&gt;=$C$442)+(G83&lt;2/24)),1,0),0)</f>
        <v>0</v>
      </c>
      <c r="AH84" s="6">
        <f>IF((H82&lt;&gt;"")*(H86=""),IF((H82&lt;=$B$442)*((H83&gt;=$C$442)+(H83&lt;2/24)),1,0),0)</f>
        <v>0</v>
      </c>
      <c r="AI84" s="6">
        <f>IF((I82&lt;&gt;"")*(I86=""),IF((I82&lt;=$B$442)*((I83&gt;=$C$442)+(I83&lt;2/24)),1,0),0)</f>
        <v>0</v>
      </c>
      <c r="AJ84" s="6">
        <f>IF((J82&lt;&gt;"")*(J86=""),IF((J82&lt;=$B$442)*((J83&gt;=$C$442)+(J83&lt;2/24)),1,0),0)</f>
        <v>0</v>
      </c>
    </row>
    <row r="85" spans="1:36" ht="13.5" hidden="1" thickBot="1" x14ac:dyDescent="0.25">
      <c r="A85" s="39"/>
      <c r="B85" s="40"/>
      <c r="C85" s="15" t="s">
        <v>3</v>
      </c>
      <c r="D85" s="43"/>
      <c r="E85" s="43"/>
      <c r="F85" s="43"/>
      <c r="G85" s="43"/>
      <c r="H85" s="43"/>
      <c r="I85" s="43"/>
      <c r="J85" s="44"/>
      <c r="K85" s="18">
        <f>SUMIF(D86:J86,"",D85:J85)</f>
        <v>0</v>
      </c>
      <c r="L85" s="12">
        <f>SUM(D85:J85)</f>
        <v>0</v>
      </c>
      <c r="M85" s="24"/>
      <c r="N85" s="10">
        <f>IF(D86="",D85,0)</f>
        <v>0</v>
      </c>
      <c r="O85" s="10">
        <f>IF(E86="",E85,0)</f>
        <v>0</v>
      </c>
      <c r="P85" s="10">
        <f t="shared" ref="P85:T85" si="26">IF(F86="",F85,0)</f>
        <v>0</v>
      </c>
      <c r="Q85" s="10">
        <f t="shared" si="26"/>
        <v>0</v>
      </c>
      <c r="R85" s="10">
        <f t="shared" si="26"/>
        <v>0</v>
      </c>
      <c r="S85" s="10">
        <f t="shared" si="26"/>
        <v>0</v>
      </c>
      <c r="T85" s="10">
        <f t="shared" si="26"/>
        <v>0</v>
      </c>
      <c r="U85" s="10"/>
      <c r="V85" s="10">
        <f>D85</f>
        <v>0</v>
      </c>
      <c r="W85" s="10">
        <f>E85</f>
        <v>0</v>
      </c>
      <c r="X85" s="10">
        <f t="shared" ref="X85:AB85" si="27">F85</f>
        <v>0</v>
      </c>
      <c r="Y85" s="10">
        <f t="shared" si="27"/>
        <v>0</v>
      </c>
      <c r="Z85" s="10">
        <f t="shared" si="27"/>
        <v>0</v>
      </c>
      <c r="AA85" s="10">
        <f t="shared" si="27"/>
        <v>0</v>
      </c>
      <c r="AB85" s="10">
        <f t="shared" si="27"/>
        <v>0</v>
      </c>
      <c r="AD85" s="6">
        <f>IF((D82&lt;&gt;"")*(D86=""),IF((D82&lt;=$B$443)*((D83&gt;=$C$443)+(D83&lt;2/24)),1,0),0)</f>
        <v>0</v>
      </c>
      <c r="AE85" s="6">
        <f>IF((E82&lt;&gt;"")*(E86=""),IF((E82&lt;=$B$443)*((E83&gt;=$C$443)+(E83&lt;2/24)),1,0),0)</f>
        <v>0</v>
      </c>
      <c r="AF85" s="6">
        <f>IF((F82&lt;&gt;"")*(F86=""),IF((F82&lt;=$B$443)*((F83&gt;=$C$443)+(F83&lt;2/24)),1,0),0)</f>
        <v>0</v>
      </c>
      <c r="AG85" s="6">
        <f>IF((G82&lt;&gt;"")*(G86=""),IF((G82&lt;=$B$443)*((G83&gt;=$C$443)+(G83&lt;2/24)),1,0),0)</f>
        <v>0</v>
      </c>
      <c r="AH85" s="6">
        <f>IF((H82&lt;&gt;"")*(H86=""),IF((H82&lt;=$B$443)*((H83&gt;=$C$443)+(H83&lt;2/24)),1,0),0)</f>
        <v>0</v>
      </c>
      <c r="AI85" s="6">
        <f>IF((I82&lt;&gt;"")*(I86=""),IF((I82&lt;=$B$443)*((I83&gt;=$C$443)+(I83&lt;2/24)),1,0),0)</f>
        <v>0</v>
      </c>
      <c r="AJ85" s="6">
        <f>IF((J82&lt;&gt;"")*(J86=""),IF((J82&lt;=$B$443)*((J83&gt;=$C$443)+(J83&lt;2/24)),1,0),0)</f>
        <v>0</v>
      </c>
    </row>
    <row r="86" spans="1:36" ht="13.5" hidden="1" thickBot="1" x14ac:dyDescent="0.25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  <c r="N86" s="6"/>
      <c r="O86" s="6"/>
      <c r="P86" s="6"/>
      <c r="Q86" s="6"/>
      <c r="R86" s="6"/>
      <c r="S86" s="6"/>
      <c r="T86" s="6"/>
      <c r="U86" s="6"/>
      <c r="V86" s="20"/>
      <c r="W86" s="20"/>
      <c r="X86" s="20"/>
      <c r="Y86" s="20"/>
      <c r="Z86" s="20"/>
      <c r="AA86" s="20"/>
      <c r="AB86" s="20"/>
      <c r="AD86" s="6">
        <f>IF((D82&lt;&gt;"")*(D86=""),IF((D82&lt;=$B$444)*((D83&gt;=$C$444)+(D83&lt;2/24)),1,0),0)</f>
        <v>0</v>
      </c>
      <c r="AE86" s="6">
        <f>IF((E82&lt;&gt;"")*(E86=""),IF((E82&lt;=$B$444)*((E83&gt;=$C$444)+(E83&lt;2/24)),1,0),0)</f>
        <v>0</v>
      </c>
      <c r="AF86" s="6">
        <f>IF((F82&lt;&gt;"")*(F86=""),IF((F82&lt;=$B$444)*((F83&gt;=$C$444)+(F83&lt;2/24)),1,0),0)</f>
        <v>0</v>
      </c>
      <c r="AG86" s="6">
        <f>IF((G82&lt;&gt;"")*(G86=""),IF((G82&lt;=$B$444)*((G83&gt;=$C$444)+(G83&lt;2/24)),1,0),0)</f>
        <v>0</v>
      </c>
      <c r="AH86" s="6">
        <f>IF((H82&lt;&gt;"")*(H86=""),IF((H82&lt;=$B$444)*((H83&gt;=$C$444)+(H83&lt;2/24)),1,0),0)</f>
        <v>0</v>
      </c>
      <c r="AI86" s="6">
        <f>IF((I82&lt;&gt;"")*(I86=""),IF((I82&lt;=$B$444)*((I83&gt;=$C$444)+(I83&lt;2/24)),1,0),0)</f>
        <v>0</v>
      </c>
      <c r="AJ86" s="6">
        <f>IF((J82&lt;&gt;"")*(J86=""),IF((J82&lt;=$B$444)*((J83&gt;=$C$444)+(J83&lt;2/24)),1,0),0)</f>
        <v>0</v>
      </c>
    </row>
    <row r="87" spans="1:36" ht="13.5" hidden="1" thickBot="1" x14ac:dyDescent="0.25">
      <c r="A87" s="41"/>
      <c r="B87" s="42"/>
      <c r="C87" s="35" t="s">
        <v>28</v>
      </c>
      <c r="D87" s="36"/>
      <c r="E87" s="36"/>
      <c r="F87" s="36"/>
      <c r="G87" s="36"/>
      <c r="H87" s="36"/>
      <c r="I87" s="36"/>
      <c r="J87" s="36"/>
      <c r="K87" s="34"/>
      <c r="L87" s="6"/>
      <c r="M87" s="25"/>
      <c r="N87" s="6"/>
      <c r="O87" s="6"/>
      <c r="P87" s="6"/>
      <c r="Q87" s="6"/>
      <c r="R87" s="6"/>
      <c r="S87" s="6"/>
      <c r="T87" s="6"/>
      <c r="U87" s="6"/>
      <c r="V87" s="20"/>
      <c r="W87" s="20"/>
      <c r="X87" s="20"/>
      <c r="Y87" s="20"/>
      <c r="Z87" s="20"/>
      <c r="AA87" s="20"/>
      <c r="AB87" s="20"/>
      <c r="AD87" s="6"/>
      <c r="AE87" s="6"/>
      <c r="AF87" s="6"/>
      <c r="AG87" s="6"/>
      <c r="AH87" s="6"/>
      <c r="AI87" s="6"/>
      <c r="AJ87" s="6"/>
    </row>
    <row r="88" spans="1:36" ht="13.5" hidden="1" thickBot="1" x14ac:dyDescent="0.25">
      <c r="A88" s="37" t="s">
        <v>29</v>
      </c>
      <c r="B88" s="38" t="s">
        <v>30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  <c r="L88" s="6"/>
      <c r="M88" s="21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D88" s="6">
        <f>IF((D88&lt;&gt;"")*(D92=""),IF((D88&lt;=$B$440)*((D89&gt;=$C$440)+(D89&lt;2/24)),1,0),0)</f>
        <v>0</v>
      </c>
      <c r="AE88" s="6">
        <f>IF((E88&lt;&gt;"")*(E92=""),IF((E88&lt;=$B$440)*((E89&gt;=$C$440)+(E89&lt;2/24)),1,0),0)</f>
        <v>0</v>
      </c>
      <c r="AF88" s="6">
        <f>IF((F88&lt;&gt;"")*(F92=""),IF((F88&lt;=$B$440)*((F89&gt;=$C$440)+(F89&lt;2/24)),1,0),0)</f>
        <v>0</v>
      </c>
      <c r="AG88" s="6">
        <f>IF((G88&lt;&gt;"")*(G92=""),IF((G88&lt;=$B$440)*((G89&gt;=$C$440)+(G89&lt;2/24)),1,0),0)</f>
        <v>0</v>
      </c>
      <c r="AH88" s="6">
        <f>IF((H88&lt;&gt;"")*(H92=""),IF((H88&lt;=$B$440)*((H89&gt;=$C$440)+(H89&lt;2/24)),1,0),0)</f>
        <v>0</v>
      </c>
      <c r="AI88" s="6">
        <f>IF((I88&lt;&gt;"")*(I92=""),IF((I88&lt;=$B$440)*((I89&gt;=$C$440)+(I89&lt;2/24)),1,0),0)</f>
        <v>0</v>
      </c>
      <c r="AJ88" s="6">
        <f>IF((J88&lt;&gt;"")*(J92=""),IF((J88&lt;=$B$440)*((J89&gt;=$C$440)+(J89&lt;2/24)),1,0),0)</f>
        <v>0</v>
      </c>
    </row>
    <row r="89" spans="1:36" ht="13.5" hidden="1" thickBot="1" x14ac:dyDescent="0.25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  <c r="L89" s="6"/>
      <c r="M89" s="21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D89" s="6">
        <f>IF((D88&lt;&gt;"")*(D92=""),IF((D88&lt;=$B$441)*((D89&gt;=$C$441)+(D89&lt;2/24)),1,0),0)</f>
        <v>0</v>
      </c>
      <c r="AE89" s="6">
        <f>IF((E88&lt;&gt;"")*(E92=""),IF((E88&lt;=$B$441)*((E89&gt;=$C$441)+(E89&lt;2/24)),1,0),0)</f>
        <v>0</v>
      </c>
      <c r="AF89" s="6">
        <f>IF((F88&lt;&gt;"")*(F92=""),IF((F88&lt;=$B$441)*((F89&gt;=$C$441)+(F89&lt;2/24)),1,0),0)</f>
        <v>0</v>
      </c>
      <c r="AG89" s="6">
        <f>IF((G88&lt;&gt;"")*(G92=""),IF((G88&lt;=$B$441)*((G89&gt;=$C$441)+(G89&lt;2/24)),1,0),0)</f>
        <v>0</v>
      </c>
      <c r="AH89" s="6">
        <f>IF((H88&lt;&gt;"")*(H92=""),IF((H88&lt;=$B$441)*((H89&gt;=$C$441)+(H89&lt;2/24)),1,0),0)</f>
        <v>0</v>
      </c>
      <c r="AI89" s="6">
        <f>IF((I88&lt;&gt;"")*(I92=""),IF((I88&lt;=$B$441)*((I89&gt;=$C$441)+(I89&lt;2/24)),1,0),0)</f>
        <v>0</v>
      </c>
      <c r="AJ89" s="6">
        <f>IF((J88&lt;&gt;"")*(J92=""),IF((J88&lt;=$B$441)*((J89&gt;=$C$441)+(J89&lt;2/24)),1,0),0)</f>
        <v>0</v>
      </c>
    </row>
    <row r="90" spans="1:36" ht="13.5" hidden="1" thickBot="1" x14ac:dyDescent="0.25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  <c r="L90" s="6"/>
      <c r="M90" s="21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D90" s="6">
        <f>IF((D88&lt;&gt;"")*(D92=""),IF((D88&lt;=$B$442)*((D89&gt;=$C$442)+(D89&lt;2/24)),1,0),0)</f>
        <v>0</v>
      </c>
      <c r="AE90" s="6">
        <f>IF((E88&lt;&gt;"")*(E92=""),IF((E88&lt;=$B$442)*((E89&gt;=$C$442)+(E89&lt;2/24)),1,0),0)</f>
        <v>0</v>
      </c>
      <c r="AF90" s="6">
        <f>IF((F88&lt;&gt;"")*(F92=""),IF((F88&lt;=$B$442)*((F89&gt;=$C$442)+(F89&lt;2/24)),1,0),0)</f>
        <v>0</v>
      </c>
      <c r="AG90" s="6">
        <f>IF((G88&lt;&gt;"")*(G92=""),IF((G88&lt;=$B$442)*((G89&gt;=$C$442)+(G89&lt;2/24)),1,0),0)</f>
        <v>0</v>
      </c>
      <c r="AH90" s="6">
        <f>IF((H88&lt;&gt;"")*(H92=""),IF((H88&lt;=$B$442)*((H89&gt;=$C$442)+(H89&lt;2/24)),1,0),0)</f>
        <v>0</v>
      </c>
      <c r="AI90" s="6">
        <f>IF((I88&lt;&gt;"")*(I92=""),IF((I88&lt;=$B$442)*((I89&gt;=$C$442)+(I89&lt;2/24)),1,0),0)</f>
        <v>0</v>
      </c>
      <c r="AJ90" s="6">
        <f>IF((J88&lt;&gt;"")*(J92=""),IF((J88&lt;=$B$442)*((J89&gt;=$C$442)+(J89&lt;2/24)),1,0),0)</f>
        <v>0</v>
      </c>
    </row>
    <row r="91" spans="1:36" ht="13.5" hidden="1" thickBot="1" x14ac:dyDescent="0.25">
      <c r="A91" s="39"/>
      <c r="B91" s="40"/>
      <c r="C91" s="15" t="s">
        <v>3</v>
      </c>
      <c r="D91" s="43"/>
      <c r="E91" s="43"/>
      <c r="F91" s="43"/>
      <c r="G91" s="43"/>
      <c r="H91" s="43"/>
      <c r="I91" s="43"/>
      <c r="J91" s="44"/>
      <c r="K91" s="18">
        <f>SUMIF(D92:J92,"",D91:J91)</f>
        <v>0</v>
      </c>
      <c r="L91" s="12">
        <f>SUM(D91:J91)</f>
        <v>0</v>
      </c>
      <c r="M91" s="24"/>
      <c r="N91" s="10">
        <f>IF(D92="",D91,0)</f>
        <v>0</v>
      </c>
      <c r="O91" s="10">
        <f>IF(E92="",E91,0)</f>
        <v>0</v>
      </c>
      <c r="P91" s="10">
        <f t="shared" ref="P91:T91" si="28">IF(F92="",F91,0)</f>
        <v>0</v>
      </c>
      <c r="Q91" s="10">
        <f t="shared" si="28"/>
        <v>0</v>
      </c>
      <c r="R91" s="10">
        <f t="shared" si="28"/>
        <v>0</v>
      </c>
      <c r="S91" s="10">
        <f t="shared" si="28"/>
        <v>0</v>
      </c>
      <c r="T91" s="10">
        <f t="shared" si="28"/>
        <v>0</v>
      </c>
      <c r="U91" s="10"/>
      <c r="V91" s="10">
        <f>D91</f>
        <v>0</v>
      </c>
      <c r="W91" s="10">
        <f>E91</f>
        <v>0</v>
      </c>
      <c r="X91" s="10">
        <f t="shared" ref="X91:AB91" si="29">F91</f>
        <v>0</v>
      </c>
      <c r="Y91" s="10">
        <f t="shared" si="29"/>
        <v>0</v>
      </c>
      <c r="Z91" s="10">
        <f t="shared" si="29"/>
        <v>0</v>
      </c>
      <c r="AA91" s="10">
        <f t="shared" si="29"/>
        <v>0</v>
      </c>
      <c r="AB91" s="10">
        <f t="shared" si="29"/>
        <v>0</v>
      </c>
      <c r="AD91" s="6">
        <f>IF((D88&lt;&gt;"")*(D92=""),IF((D88&lt;=$B$443)*((D89&gt;=$C$443)+(D89&lt;2/24)),1,0),0)</f>
        <v>0</v>
      </c>
      <c r="AE91" s="6">
        <f>IF((E88&lt;&gt;"")*(E92=""),IF((E88&lt;=$B$443)*((E89&gt;=$C$443)+(E89&lt;2/24)),1,0),0)</f>
        <v>0</v>
      </c>
      <c r="AF91" s="6">
        <f>IF((F88&lt;&gt;"")*(F92=""),IF((F88&lt;=$B$443)*((F89&gt;=$C$443)+(F89&lt;2/24)),1,0),0)</f>
        <v>0</v>
      </c>
      <c r="AG91" s="6">
        <f>IF((G88&lt;&gt;"")*(G92=""),IF((G88&lt;=$B$443)*((G89&gt;=$C$443)+(G89&lt;2/24)),1,0),0)</f>
        <v>0</v>
      </c>
      <c r="AH91" s="6">
        <f>IF((H88&lt;&gt;"")*(H92=""),IF((H88&lt;=$B$443)*((H89&gt;=$C$443)+(H89&lt;2/24)),1,0),0)</f>
        <v>0</v>
      </c>
      <c r="AI91" s="6">
        <f>IF((I88&lt;&gt;"")*(I92=""),IF((I88&lt;=$B$443)*((I89&gt;=$C$443)+(I89&lt;2/24)),1,0),0)</f>
        <v>0</v>
      </c>
      <c r="AJ91" s="6">
        <f>IF((J88&lt;&gt;"")*(J92=""),IF((J88&lt;=$B$443)*((J89&gt;=$C$443)+(J89&lt;2/24)),1,0),0)</f>
        <v>0</v>
      </c>
    </row>
    <row r="92" spans="1:36" ht="13.5" hidden="1" thickBot="1" x14ac:dyDescent="0.25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  <c r="N92" s="6"/>
      <c r="O92" s="6"/>
      <c r="P92" s="6"/>
      <c r="Q92" s="6"/>
      <c r="R92" s="6"/>
      <c r="S92" s="6"/>
      <c r="T92" s="6"/>
      <c r="U92" s="6"/>
      <c r="V92" s="20"/>
      <c r="W92" s="20"/>
      <c r="X92" s="20"/>
      <c r="Y92" s="20"/>
      <c r="Z92" s="20"/>
      <c r="AA92" s="20"/>
      <c r="AB92" s="20"/>
      <c r="AD92" s="6">
        <f>IF((D88&lt;&gt;"")*(D92=""),IF((D88&lt;=$B$444)*((D89&gt;=$C$444)+(D89&lt;2/24)),1,0),0)</f>
        <v>0</v>
      </c>
      <c r="AE92" s="6">
        <f>IF((E88&lt;&gt;"")*(E92=""),IF((E88&lt;=$B$444)*((E89&gt;=$C$444)+(E89&lt;2/24)),1,0),0)</f>
        <v>0</v>
      </c>
      <c r="AF92" s="6">
        <f>IF((F88&lt;&gt;"")*(F92=""),IF((F88&lt;=$B$444)*((F89&gt;=$C$444)+(F89&lt;2/24)),1,0),0)</f>
        <v>0</v>
      </c>
      <c r="AG92" s="6">
        <f>IF((G88&lt;&gt;"")*(G92=""),IF((G88&lt;=$B$444)*((G89&gt;=$C$444)+(G89&lt;2/24)),1,0),0)</f>
        <v>0</v>
      </c>
      <c r="AH92" s="6">
        <f>IF((H88&lt;&gt;"")*(H92=""),IF((H88&lt;=$B$444)*((H89&gt;=$C$444)+(H89&lt;2/24)),1,0),0)</f>
        <v>0</v>
      </c>
      <c r="AI92" s="6">
        <f>IF((I88&lt;&gt;"")*(I92=""),IF((I88&lt;=$B$444)*((I89&gt;=$C$444)+(I89&lt;2/24)),1,0),0)</f>
        <v>0</v>
      </c>
      <c r="AJ92" s="6">
        <f>IF((J88&lt;&gt;"")*(J92=""),IF((J88&lt;=$B$444)*((J89&gt;=$C$444)+(J89&lt;2/24)),1,0),0)</f>
        <v>0</v>
      </c>
    </row>
    <row r="93" spans="1:36" ht="13.5" hidden="1" thickBot="1" x14ac:dyDescent="0.25">
      <c r="A93" s="41"/>
      <c r="B93" s="42"/>
      <c r="C93" s="35" t="s">
        <v>28</v>
      </c>
      <c r="D93" s="36"/>
      <c r="E93" s="36"/>
      <c r="F93" s="36"/>
      <c r="G93" s="36"/>
      <c r="H93" s="36"/>
      <c r="I93" s="36"/>
      <c r="J93" s="36"/>
      <c r="K93" s="34"/>
      <c r="L93" s="6"/>
      <c r="M93" s="25"/>
      <c r="N93" s="6"/>
      <c r="O93" s="6"/>
      <c r="P93" s="6"/>
      <c r="Q93" s="6"/>
      <c r="R93" s="6"/>
      <c r="S93" s="6"/>
      <c r="T93" s="6"/>
      <c r="U93" s="6"/>
      <c r="V93" s="20"/>
      <c r="W93" s="20"/>
      <c r="X93" s="20"/>
      <c r="Y93" s="20"/>
      <c r="Z93" s="20"/>
      <c r="AA93" s="20"/>
      <c r="AB93" s="20"/>
      <c r="AD93" s="6"/>
      <c r="AE93" s="6"/>
      <c r="AF93" s="6"/>
      <c r="AG93" s="6"/>
      <c r="AH93" s="6"/>
      <c r="AI93" s="6"/>
      <c r="AJ93" s="6"/>
    </row>
    <row r="94" spans="1:36" ht="13.5" hidden="1" thickBot="1" x14ac:dyDescent="0.25">
      <c r="A94" s="37" t="s">
        <v>29</v>
      </c>
      <c r="B94" s="38" t="s">
        <v>30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  <c r="L94" s="6"/>
      <c r="M94" s="21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D94" s="6">
        <f>IF((D94&lt;&gt;"")*(D98=""),IF((D94&lt;=$B$440)*((D95&gt;=$C$440)+(D95&lt;2/24)),1,0),0)</f>
        <v>0</v>
      </c>
      <c r="AE94" s="6">
        <f>IF((E94&lt;&gt;"")*(E98=""),IF((E94&lt;=$B$440)*((E95&gt;=$C$440)+(E95&lt;2/24)),1,0),0)</f>
        <v>0</v>
      </c>
      <c r="AF94" s="6">
        <f>IF((F94&lt;&gt;"")*(F98=""),IF((F94&lt;=$B$440)*((F95&gt;=$C$440)+(F95&lt;2/24)),1,0),0)</f>
        <v>0</v>
      </c>
      <c r="AG94" s="6">
        <f>IF((G94&lt;&gt;"")*(G98=""),IF((G94&lt;=$B$440)*((G95&gt;=$C$440)+(G95&lt;2/24)),1,0),0)</f>
        <v>0</v>
      </c>
      <c r="AH94" s="6">
        <f>IF((H94&lt;&gt;"")*(H98=""),IF((H94&lt;=$B$440)*((H95&gt;=$C$440)+(H95&lt;2/24)),1,0),0)</f>
        <v>0</v>
      </c>
      <c r="AI94" s="6">
        <f>IF((I94&lt;&gt;"")*(I98=""),IF((I94&lt;=$B$440)*((I95&gt;=$C$440)+(I95&lt;2/24)),1,0),0)</f>
        <v>0</v>
      </c>
      <c r="AJ94" s="6">
        <f>IF((J94&lt;&gt;"")*(J98=""),IF((J94&lt;=$B$440)*((J95&gt;=$C$440)+(J95&lt;2/24)),1,0),0)</f>
        <v>0</v>
      </c>
    </row>
    <row r="95" spans="1:36" ht="13.5" hidden="1" thickBot="1" x14ac:dyDescent="0.25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  <c r="L95" s="6"/>
      <c r="M95" s="21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D95" s="6">
        <f>IF((D94&lt;&gt;"")*(D98=""),IF((D94&lt;=$B$441)*((D95&gt;=$C$441)+(D95&lt;2/24)),1,0),0)</f>
        <v>0</v>
      </c>
      <c r="AE95" s="6">
        <f>IF((E94&lt;&gt;"")*(E98=""),IF((E94&lt;=$B$441)*((E95&gt;=$C$441)+(E95&lt;2/24)),1,0),0)</f>
        <v>0</v>
      </c>
      <c r="AF95" s="6">
        <f>IF((F94&lt;&gt;"")*(F98=""),IF((F94&lt;=$B$441)*((F95&gt;=$C$441)+(F95&lt;2/24)),1,0),0)</f>
        <v>0</v>
      </c>
      <c r="AG95" s="6">
        <f>IF((G94&lt;&gt;"")*(G98=""),IF((G94&lt;=$B$441)*((G95&gt;=$C$441)+(G95&lt;2/24)),1,0),0)</f>
        <v>0</v>
      </c>
      <c r="AH95" s="6">
        <f>IF((H94&lt;&gt;"")*(H98=""),IF((H94&lt;=$B$441)*((H95&gt;=$C$441)+(H95&lt;2/24)),1,0),0)</f>
        <v>0</v>
      </c>
      <c r="AI95" s="6">
        <f>IF((I94&lt;&gt;"")*(I98=""),IF((I94&lt;=$B$441)*((I95&gt;=$C$441)+(I95&lt;2/24)),1,0),0)</f>
        <v>0</v>
      </c>
      <c r="AJ95" s="6">
        <f>IF((J94&lt;&gt;"")*(J98=""),IF((J94&lt;=$B$441)*((J95&gt;=$C$441)+(J95&lt;2/24)),1,0),0)</f>
        <v>0</v>
      </c>
    </row>
    <row r="96" spans="1:36" ht="13.5" hidden="1" thickBot="1" x14ac:dyDescent="0.25">
      <c r="A96" s="39"/>
      <c r="B96" s="40"/>
      <c r="C96" s="15" t="s">
        <v>2</v>
      </c>
      <c r="D96" s="4"/>
      <c r="E96" s="4"/>
      <c r="F96" s="4"/>
      <c r="G96" s="4"/>
      <c r="H96" s="4"/>
      <c r="I96" s="4"/>
      <c r="J96" s="4"/>
      <c r="K96" s="17"/>
      <c r="L96" s="6"/>
      <c r="M96" s="21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D96" s="6">
        <f>IF((D94&lt;&gt;"")*(D98=""),IF((D94&lt;=$B$442)*((D95&gt;=$C$442)+(D95&lt;2/24)),1,0),0)</f>
        <v>0</v>
      </c>
      <c r="AE96" s="6">
        <f>IF((E94&lt;&gt;"")*(E98=""),IF((E94&lt;=$B$442)*((E95&gt;=$C$442)+(E95&lt;2/24)),1,0),0)</f>
        <v>0</v>
      </c>
      <c r="AF96" s="6">
        <f>IF((F94&lt;&gt;"")*(F98=""),IF((F94&lt;=$B$442)*((F95&gt;=$C$442)+(F95&lt;2/24)),1,0),0)</f>
        <v>0</v>
      </c>
      <c r="AG96" s="6">
        <f>IF((G94&lt;&gt;"")*(G98=""),IF((G94&lt;=$B$442)*((G95&gt;=$C$442)+(G95&lt;2/24)),1,0),0)</f>
        <v>0</v>
      </c>
      <c r="AH96" s="6">
        <f>IF((H94&lt;&gt;"")*(H98=""),IF((H94&lt;=$B$442)*((H95&gt;=$C$442)+(H95&lt;2/24)),1,0),0)</f>
        <v>0</v>
      </c>
      <c r="AI96" s="6">
        <f>IF((I94&lt;&gt;"")*(I98=""),IF((I94&lt;=$B$442)*((I95&gt;=$C$442)+(I95&lt;2/24)),1,0),0)</f>
        <v>0</v>
      </c>
      <c r="AJ96" s="6">
        <f>IF((J94&lt;&gt;"")*(J98=""),IF((J94&lt;=$B$442)*((J95&gt;=$C$442)+(J95&lt;2/24)),1,0),0)</f>
        <v>0</v>
      </c>
    </row>
    <row r="97" spans="1:36" ht="13.5" hidden="1" thickBot="1" x14ac:dyDescent="0.25">
      <c r="A97" s="39"/>
      <c r="B97" s="40"/>
      <c r="C97" s="15" t="s">
        <v>3</v>
      </c>
      <c r="D97" s="43"/>
      <c r="E97" s="43"/>
      <c r="F97" s="43"/>
      <c r="G97" s="43"/>
      <c r="H97" s="43"/>
      <c r="I97" s="43"/>
      <c r="J97" s="44"/>
      <c r="K97" s="18">
        <f>SUMIF(D98:J98,"",D97:J97)</f>
        <v>0</v>
      </c>
      <c r="L97" s="12">
        <f>SUM(D97:J97)</f>
        <v>0</v>
      </c>
      <c r="M97" s="24"/>
      <c r="N97" s="10">
        <f>IF(D98="",D97,0)</f>
        <v>0</v>
      </c>
      <c r="O97" s="10">
        <f>IF(E98="",E97,0)</f>
        <v>0</v>
      </c>
      <c r="P97" s="10">
        <f t="shared" ref="P97:T97" si="30">IF(F98="",F97,0)</f>
        <v>0</v>
      </c>
      <c r="Q97" s="10">
        <f t="shared" si="30"/>
        <v>0</v>
      </c>
      <c r="R97" s="10">
        <f t="shared" si="30"/>
        <v>0</v>
      </c>
      <c r="S97" s="10">
        <f t="shared" si="30"/>
        <v>0</v>
      </c>
      <c r="T97" s="10">
        <f t="shared" si="30"/>
        <v>0</v>
      </c>
      <c r="U97" s="10"/>
      <c r="V97" s="10">
        <f>D97</f>
        <v>0</v>
      </c>
      <c r="W97" s="10">
        <f>E97</f>
        <v>0</v>
      </c>
      <c r="X97" s="10">
        <f t="shared" ref="X97:AB97" si="31">F97</f>
        <v>0</v>
      </c>
      <c r="Y97" s="10">
        <f t="shared" si="31"/>
        <v>0</v>
      </c>
      <c r="Z97" s="10">
        <f t="shared" si="31"/>
        <v>0</v>
      </c>
      <c r="AA97" s="10">
        <f t="shared" si="31"/>
        <v>0</v>
      </c>
      <c r="AB97" s="10">
        <f t="shared" si="31"/>
        <v>0</v>
      </c>
      <c r="AD97" s="6">
        <f>IF((D94&lt;&gt;"")*(D98=""),IF((D94&lt;=$B$443)*((D95&gt;=$C$443)+(D95&lt;2/24)),1,0),0)</f>
        <v>0</v>
      </c>
      <c r="AE97" s="6">
        <f>IF((E94&lt;&gt;"")*(E98=""),IF((E94&lt;=$B$443)*((E95&gt;=$C$443)+(E95&lt;2/24)),1,0),0)</f>
        <v>0</v>
      </c>
      <c r="AF97" s="6">
        <f>IF((F94&lt;&gt;"")*(F98=""),IF((F94&lt;=$B$443)*((F95&gt;=$C$443)+(F95&lt;2/24)),1,0),0)</f>
        <v>0</v>
      </c>
      <c r="AG97" s="6">
        <f>IF((G94&lt;&gt;"")*(G98=""),IF((G94&lt;=$B$443)*((G95&gt;=$C$443)+(G95&lt;2/24)),1,0),0)</f>
        <v>0</v>
      </c>
      <c r="AH97" s="6">
        <f>IF((H94&lt;&gt;"")*(H98=""),IF((H94&lt;=$B$443)*((H95&gt;=$C$443)+(H95&lt;2/24)),1,0),0)</f>
        <v>0</v>
      </c>
      <c r="AI97" s="6">
        <f>IF((I94&lt;&gt;"")*(I98=""),IF((I94&lt;=$B$443)*((I95&gt;=$C$443)+(I95&lt;2/24)),1,0),0)</f>
        <v>0</v>
      </c>
      <c r="AJ97" s="6">
        <f>IF((J94&lt;&gt;"")*(J98=""),IF((J94&lt;=$B$443)*((J95&gt;=$C$443)+(J95&lt;2/24)),1,0),0)</f>
        <v>0</v>
      </c>
    </row>
    <row r="98" spans="1:36" ht="13.5" hidden="1" thickBot="1" x14ac:dyDescent="0.25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  <c r="N98" s="6"/>
      <c r="O98" s="6"/>
      <c r="P98" s="6"/>
      <c r="Q98" s="6"/>
      <c r="R98" s="6"/>
      <c r="S98" s="6"/>
      <c r="T98" s="6"/>
      <c r="U98" s="6"/>
      <c r="V98" s="20"/>
      <c r="W98" s="20"/>
      <c r="X98" s="20"/>
      <c r="Y98" s="20"/>
      <c r="Z98" s="20"/>
      <c r="AA98" s="20"/>
      <c r="AB98" s="20"/>
      <c r="AD98" s="6">
        <f>IF((D94&lt;&gt;"")*(D98=""),IF((D94&lt;=$B$444)*((D95&gt;=$C$444)+(D95&lt;2/24)),1,0),0)</f>
        <v>0</v>
      </c>
      <c r="AE98" s="6">
        <f>IF((E94&lt;&gt;"")*(E98=""),IF((E94&lt;=$B$444)*((E95&gt;=$C$444)+(E95&lt;2/24)),1,0),0)</f>
        <v>0</v>
      </c>
      <c r="AF98" s="6">
        <f>IF((F94&lt;&gt;"")*(F98=""),IF((F94&lt;=$B$444)*((F95&gt;=$C$444)+(F95&lt;2/24)),1,0),0)</f>
        <v>0</v>
      </c>
      <c r="AG98" s="6">
        <f>IF((G94&lt;&gt;"")*(G98=""),IF((G94&lt;=$B$444)*((G95&gt;=$C$444)+(G95&lt;2/24)),1,0),0)</f>
        <v>0</v>
      </c>
      <c r="AH98" s="6">
        <f>IF((H94&lt;&gt;"")*(H98=""),IF((H94&lt;=$B$444)*((H95&gt;=$C$444)+(H95&lt;2/24)),1,0),0)</f>
        <v>0</v>
      </c>
      <c r="AI98" s="6">
        <f>IF((I94&lt;&gt;"")*(I98=""),IF((I94&lt;=$B$444)*((I95&gt;=$C$444)+(I95&lt;2/24)),1,0),0)</f>
        <v>0</v>
      </c>
      <c r="AJ98" s="6">
        <f>IF((J94&lt;&gt;"")*(J98=""),IF((J94&lt;=$B$444)*((J95&gt;=$C$444)+(J95&lt;2/24)),1,0),0)</f>
        <v>0</v>
      </c>
    </row>
    <row r="99" spans="1:36" ht="13.5" hidden="1" thickBot="1" x14ac:dyDescent="0.25">
      <c r="A99" s="41"/>
      <c r="B99" s="42"/>
      <c r="C99" s="35" t="s">
        <v>28</v>
      </c>
      <c r="D99" s="36"/>
      <c r="E99" s="36"/>
      <c r="F99" s="36"/>
      <c r="G99" s="36"/>
      <c r="H99" s="36"/>
      <c r="I99" s="36"/>
      <c r="J99" s="36"/>
      <c r="K99" s="34"/>
      <c r="L99" s="6"/>
      <c r="M99" s="25"/>
      <c r="N99" s="6"/>
      <c r="O99" s="6"/>
      <c r="P99" s="6"/>
      <c r="Q99" s="6"/>
      <c r="R99" s="6"/>
      <c r="S99" s="6"/>
      <c r="T99" s="6"/>
      <c r="U99" s="6"/>
      <c r="V99" s="20"/>
      <c r="W99" s="20"/>
      <c r="X99" s="20"/>
      <c r="Y99" s="20"/>
      <c r="Z99" s="20"/>
      <c r="AA99" s="20"/>
      <c r="AB99" s="20"/>
      <c r="AD99" s="6"/>
      <c r="AE99" s="6"/>
      <c r="AF99" s="6"/>
      <c r="AG99" s="6"/>
      <c r="AH99" s="6"/>
      <c r="AI99" s="6"/>
      <c r="AJ99" s="6"/>
    </row>
    <row r="100" spans="1:36" ht="13.5" hidden="1" thickBot="1" x14ac:dyDescent="0.25">
      <c r="A100" s="37" t="s">
        <v>29</v>
      </c>
      <c r="B100" s="38" t="s">
        <v>30</v>
      </c>
      <c r="C100" s="14" t="s">
        <v>0</v>
      </c>
      <c r="D100" s="26"/>
      <c r="E100" s="26"/>
      <c r="F100" s="26"/>
      <c r="G100" s="26"/>
      <c r="H100" s="26"/>
      <c r="I100" s="26"/>
      <c r="J100" s="26"/>
      <c r="K100" s="16"/>
      <c r="L100" s="6"/>
      <c r="M100" s="21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D100" s="6">
        <f>IF((D100&lt;&gt;"")*(D104=""),IF((D100&lt;=$B$440)*((D101&gt;=$C$440)+(D101&lt;2/24)),1,0),0)</f>
        <v>0</v>
      </c>
      <c r="AE100" s="6">
        <f>IF((E100&lt;&gt;"")*(E104=""),IF((E100&lt;=$B$440)*((E101&gt;=$C$440)+(E101&lt;2/24)),1,0),0)</f>
        <v>0</v>
      </c>
      <c r="AF100" s="6">
        <f>IF((F100&lt;&gt;"")*(F104=""),IF((F100&lt;=$B$440)*((F101&gt;=$C$440)+(F101&lt;2/24)),1,0),0)</f>
        <v>0</v>
      </c>
      <c r="AG100" s="6">
        <f>IF((G100&lt;&gt;"")*(G104=""),IF((G100&lt;=$B$440)*((G101&gt;=$C$440)+(G101&lt;2/24)),1,0),0)</f>
        <v>0</v>
      </c>
      <c r="AH100" s="6">
        <f>IF((H100&lt;&gt;"")*(H104=""),IF((H100&lt;=$B$440)*((H101&gt;=$C$440)+(H101&lt;2/24)),1,0),0)</f>
        <v>0</v>
      </c>
      <c r="AI100" s="6">
        <f>IF((I100&lt;&gt;"")*(I104=""),IF((I100&lt;=$B$440)*((I101&gt;=$C$440)+(I101&lt;2/24)),1,0),0)</f>
        <v>0</v>
      </c>
      <c r="AJ100" s="6">
        <f>IF((J100&lt;&gt;"")*(J104=""),IF((J100&lt;=$B$440)*((J101&gt;=$C$440)+(J101&lt;2/24)),1,0),0)</f>
        <v>0</v>
      </c>
    </row>
    <row r="101" spans="1:36" ht="13.5" hidden="1" thickBot="1" x14ac:dyDescent="0.25">
      <c r="A101" s="39"/>
      <c r="B101" s="40"/>
      <c r="C101" s="15" t="s">
        <v>1</v>
      </c>
      <c r="D101" s="27"/>
      <c r="E101" s="27"/>
      <c r="F101" s="27"/>
      <c r="G101" s="27"/>
      <c r="H101" s="27"/>
      <c r="I101" s="27"/>
      <c r="J101" s="27"/>
      <c r="K101" s="17"/>
      <c r="L101" s="6"/>
      <c r="M101" s="21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D101" s="6">
        <f>IF((D100&lt;&gt;"")*(D104=""),IF((D100&lt;=$B$441)*((D101&gt;=$C$441)+(D101&lt;2/24)),1,0),0)</f>
        <v>0</v>
      </c>
      <c r="AE101" s="6">
        <f>IF((E100&lt;&gt;"")*(E104=""),IF((E100&lt;=$B$441)*((E101&gt;=$C$441)+(E101&lt;2/24)),1,0),0)</f>
        <v>0</v>
      </c>
      <c r="AF101" s="6">
        <f>IF((F100&lt;&gt;"")*(F104=""),IF((F100&lt;=$B$441)*((F101&gt;=$C$441)+(F101&lt;2/24)),1,0),0)</f>
        <v>0</v>
      </c>
      <c r="AG101" s="6">
        <f>IF((G100&lt;&gt;"")*(G104=""),IF((G100&lt;=$B$441)*((G101&gt;=$C$441)+(G101&lt;2/24)),1,0),0)</f>
        <v>0</v>
      </c>
      <c r="AH101" s="6">
        <f>IF((H100&lt;&gt;"")*(H104=""),IF((H100&lt;=$B$441)*((H101&gt;=$C$441)+(H101&lt;2/24)),1,0),0)</f>
        <v>0</v>
      </c>
      <c r="AI101" s="6">
        <f>IF((I100&lt;&gt;"")*(I104=""),IF((I100&lt;=$B$441)*((I101&gt;=$C$441)+(I101&lt;2/24)),1,0),0)</f>
        <v>0</v>
      </c>
      <c r="AJ101" s="6">
        <f>IF((J100&lt;&gt;"")*(J104=""),IF((J100&lt;=$B$441)*((J101&gt;=$C$441)+(J101&lt;2/24)),1,0),0)</f>
        <v>0</v>
      </c>
    </row>
    <row r="102" spans="1:36" ht="13.5" hidden="1" thickBot="1" x14ac:dyDescent="0.25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  <c r="L102" s="6"/>
      <c r="M102" s="21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D102" s="6">
        <f>IF((D100&lt;&gt;"")*(D104=""),IF((D100&lt;=$B$442)*((D101&gt;=$C$442)+(D101&lt;2/24)),1,0),0)</f>
        <v>0</v>
      </c>
      <c r="AE102" s="6">
        <f>IF((E100&lt;&gt;"")*(E104=""),IF((E100&lt;=$B$442)*((E101&gt;=$C$442)+(E101&lt;2/24)),1,0),0)</f>
        <v>0</v>
      </c>
      <c r="AF102" s="6">
        <f>IF((F100&lt;&gt;"")*(F104=""),IF((F100&lt;=$B$442)*((F101&gt;=$C$442)+(F101&lt;2/24)),1,0),0)</f>
        <v>0</v>
      </c>
      <c r="AG102" s="6">
        <f>IF((G100&lt;&gt;"")*(G104=""),IF((G100&lt;=$B$442)*((G101&gt;=$C$442)+(G101&lt;2/24)),1,0),0)</f>
        <v>0</v>
      </c>
      <c r="AH102" s="6">
        <f>IF((H100&lt;&gt;"")*(H104=""),IF((H100&lt;=$B$442)*((H101&gt;=$C$442)+(H101&lt;2/24)),1,0),0)</f>
        <v>0</v>
      </c>
      <c r="AI102" s="6">
        <f>IF((I100&lt;&gt;"")*(I104=""),IF((I100&lt;=$B$442)*((I101&gt;=$C$442)+(I101&lt;2/24)),1,0),0)</f>
        <v>0</v>
      </c>
      <c r="AJ102" s="6">
        <f>IF((J100&lt;&gt;"")*(J104=""),IF((J100&lt;=$B$442)*((J101&gt;=$C$442)+(J101&lt;2/24)),1,0),0)</f>
        <v>0</v>
      </c>
    </row>
    <row r="103" spans="1:36" ht="13.5" hidden="1" thickBot="1" x14ac:dyDescent="0.25">
      <c r="A103" s="39"/>
      <c r="B103" s="40"/>
      <c r="C103" s="15" t="s">
        <v>3</v>
      </c>
      <c r="D103" s="43"/>
      <c r="E103" s="43"/>
      <c r="F103" s="43"/>
      <c r="G103" s="43"/>
      <c r="H103" s="43"/>
      <c r="I103" s="43"/>
      <c r="J103" s="44"/>
      <c r="K103" s="18">
        <f>SUMIF(D104:J104,"",D103:J103)</f>
        <v>0</v>
      </c>
      <c r="L103" s="12">
        <f>SUM(D103:J103)</f>
        <v>0</v>
      </c>
      <c r="M103" s="24"/>
      <c r="N103" s="10">
        <f>IF(D104="",D103,0)</f>
        <v>0</v>
      </c>
      <c r="O103" s="10">
        <f>IF(E104="",E103,0)</f>
        <v>0</v>
      </c>
      <c r="P103" s="10">
        <f t="shared" ref="P103:T103" si="32">IF(F104="",F103,0)</f>
        <v>0</v>
      </c>
      <c r="Q103" s="10">
        <f t="shared" si="32"/>
        <v>0</v>
      </c>
      <c r="R103" s="10">
        <f t="shared" si="32"/>
        <v>0</v>
      </c>
      <c r="S103" s="10">
        <f t="shared" si="32"/>
        <v>0</v>
      </c>
      <c r="T103" s="10">
        <f t="shared" si="32"/>
        <v>0</v>
      </c>
      <c r="U103" s="10"/>
      <c r="V103" s="10">
        <f>D103</f>
        <v>0</v>
      </c>
      <c r="W103" s="10">
        <f>E103</f>
        <v>0</v>
      </c>
      <c r="X103" s="10">
        <f t="shared" ref="X103:AB103" si="33">F103</f>
        <v>0</v>
      </c>
      <c r="Y103" s="10">
        <f t="shared" si="33"/>
        <v>0</v>
      </c>
      <c r="Z103" s="10">
        <f t="shared" si="33"/>
        <v>0</v>
      </c>
      <c r="AA103" s="10">
        <f t="shared" si="33"/>
        <v>0</v>
      </c>
      <c r="AB103" s="10">
        <f t="shared" si="33"/>
        <v>0</v>
      </c>
      <c r="AD103" s="6">
        <f>IF((D100&lt;&gt;"")*(D104=""),IF((D100&lt;=$B$443)*((D101&gt;=$C$443)+(D101&lt;2/24)),1,0),0)</f>
        <v>0</v>
      </c>
      <c r="AE103" s="6">
        <f>IF((E100&lt;&gt;"")*(E104=""),IF((E100&lt;=$B$443)*((E101&gt;=$C$443)+(E101&lt;2/24)),1,0),0)</f>
        <v>0</v>
      </c>
      <c r="AF103" s="6">
        <f>IF((F100&lt;&gt;"")*(F104=""),IF((F100&lt;=$B$443)*((F101&gt;=$C$443)+(F101&lt;2/24)),1,0),0)</f>
        <v>0</v>
      </c>
      <c r="AG103" s="6">
        <f>IF((G100&lt;&gt;"")*(G104=""),IF((G100&lt;=$B$443)*((G101&gt;=$C$443)+(G101&lt;2/24)),1,0),0)</f>
        <v>0</v>
      </c>
      <c r="AH103" s="6">
        <f>IF((H100&lt;&gt;"")*(H104=""),IF((H100&lt;=$B$443)*((H101&gt;=$C$443)+(H101&lt;2/24)),1,0),0)</f>
        <v>0</v>
      </c>
      <c r="AI103" s="6">
        <f>IF((I100&lt;&gt;"")*(I104=""),IF((I100&lt;=$B$443)*((I101&gt;=$C$443)+(I101&lt;2/24)),1,0),0)</f>
        <v>0</v>
      </c>
      <c r="AJ103" s="6">
        <f>IF((J100&lt;&gt;"")*(J104=""),IF((J100&lt;=$B$443)*((J101&gt;=$C$443)+(J101&lt;2/24)),1,0),0)</f>
        <v>0</v>
      </c>
    </row>
    <row r="104" spans="1:36" ht="13.5" hidden="1" thickBot="1" x14ac:dyDescent="0.25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  <c r="N104" s="6"/>
      <c r="O104" s="6"/>
      <c r="P104" s="6"/>
      <c r="Q104" s="6"/>
      <c r="R104" s="6"/>
      <c r="S104" s="6"/>
      <c r="T104" s="6"/>
      <c r="U104" s="6"/>
      <c r="V104" s="20"/>
      <c r="W104" s="20"/>
      <c r="X104" s="20"/>
      <c r="Y104" s="20"/>
      <c r="Z104" s="20"/>
      <c r="AA104" s="20"/>
      <c r="AB104" s="20"/>
      <c r="AD104" s="6">
        <f>IF((D100&lt;&gt;"")*(D104=""),IF((D100&lt;=$B$444)*((D101&gt;=$C$444)+(D101&lt;2/24)),1,0),0)</f>
        <v>0</v>
      </c>
      <c r="AE104" s="6">
        <f>IF((E100&lt;&gt;"")*(E104=""),IF((E100&lt;=$B$444)*((E101&gt;=$C$444)+(E101&lt;2/24)),1,0),0)</f>
        <v>0</v>
      </c>
      <c r="AF104" s="6">
        <f>IF((F100&lt;&gt;"")*(F104=""),IF((F100&lt;=$B$444)*((F101&gt;=$C$444)+(F101&lt;2/24)),1,0),0)</f>
        <v>0</v>
      </c>
      <c r="AG104" s="6">
        <f>IF((G100&lt;&gt;"")*(G104=""),IF((G100&lt;=$B$444)*((G101&gt;=$C$444)+(G101&lt;2/24)),1,0),0)</f>
        <v>0</v>
      </c>
      <c r="AH104" s="6">
        <f>IF((H100&lt;&gt;"")*(H104=""),IF((H100&lt;=$B$444)*((H101&gt;=$C$444)+(H101&lt;2/24)),1,0),0)</f>
        <v>0</v>
      </c>
      <c r="AI104" s="6">
        <f>IF((I100&lt;&gt;"")*(I104=""),IF((I100&lt;=$B$444)*((I101&gt;=$C$444)+(I101&lt;2/24)),1,0),0)</f>
        <v>0</v>
      </c>
      <c r="AJ104" s="6">
        <f>IF((J100&lt;&gt;"")*(J104=""),IF((J100&lt;=$B$444)*((J101&gt;=$C$444)+(J101&lt;2/24)),1,0),0)</f>
        <v>0</v>
      </c>
    </row>
    <row r="105" spans="1:36" ht="13.5" hidden="1" thickBot="1" x14ac:dyDescent="0.25">
      <c r="A105" s="41"/>
      <c r="B105" s="42"/>
      <c r="C105" s="35" t="s">
        <v>28</v>
      </c>
      <c r="D105" s="36"/>
      <c r="E105" s="36"/>
      <c r="F105" s="36"/>
      <c r="G105" s="36"/>
      <c r="H105" s="36"/>
      <c r="I105" s="36"/>
      <c r="J105" s="36"/>
      <c r="K105" s="34"/>
      <c r="L105" s="6"/>
      <c r="M105" s="25"/>
      <c r="N105" s="6"/>
      <c r="O105" s="6"/>
      <c r="P105" s="6"/>
      <c r="Q105" s="6"/>
      <c r="R105" s="6"/>
      <c r="S105" s="6"/>
      <c r="T105" s="6"/>
      <c r="U105" s="6"/>
      <c r="V105" s="20"/>
      <c r="W105" s="20"/>
      <c r="X105" s="20"/>
      <c r="Y105" s="20"/>
      <c r="Z105" s="20"/>
      <c r="AA105" s="20"/>
      <c r="AB105" s="20"/>
      <c r="AD105" s="6"/>
      <c r="AE105" s="6"/>
      <c r="AF105" s="6"/>
      <c r="AG105" s="6"/>
      <c r="AH105" s="6"/>
      <c r="AI105" s="6"/>
      <c r="AJ105" s="6"/>
    </row>
    <row r="106" spans="1:36" ht="13.5" hidden="1" thickBot="1" x14ac:dyDescent="0.25">
      <c r="A106" s="37" t="s">
        <v>29</v>
      </c>
      <c r="B106" s="38" t="s">
        <v>30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  <c r="L106" s="6"/>
      <c r="M106" s="21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D106" s="6">
        <f>IF((D106&lt;&gt;"")*(D110=""),IF((D106&lt;=$B$440)*((D107&gt;=$C$440)+(D107&lt;2/24)),1,0),0)</f>
        <v>0</v>
      </c>
      <c r="AE106" s="6">
        <f>IF((E106&lt;&gt;"")*(E110=""),IF((E106&lt;=$B$440)*((E107&gt;=$C$440)+(E107&lt;2/24)),1,0),0)</f>
        <v>0</v>
      </c>
      <c r="AF106" s="6">
        <f>IF((F106&lt;&gt;"")*(F110=""),IF((F106&lt;=$B$440)*((F107&gt;=$C$440)+(F107&lt;2/24)),1,0),0)</f>
        <v>0</v>
      </c>
      <c r="AG106" s="6">
        <f>IF((G106&lt;&gt;"")*(G110=""),IF((G106&lt;=$B$440)*((G107&gt;=$C$440)+(G107&lt;2/24)),1,0),0)</f>
        <v>0</v>
      </c>
      <c r="AH106" s="6">
        <f>IF((H106&lt;&gt;"")*(H110=""),IF((H106&lt;=$B$440)*((H107&gt;=$C$440)+(H107&lt;2/24)),1,0),0)</f>
        <v>0</v>
      </c>
      <c r="AI106" s="6">
        <f>IF((I106&lt;&gt;"")*(I110=""),IF((I106&lt;=$B$440)*((I107&gt;=$C$440)+(I107&lt;2/24)),1,0),0)</f>
        <v>0</v>
      </c>
      <c r="AJ106" s="6">
        <f>IF((J106&lt;&gt;"")*(J110=""),IF((J106&lt;=$B$440)*((J107&gt;=$C$440)+(J107&lt;2/24)),1,0),0)</f>
        <v>0</v>
      </c>
    </row>
    <row r="107" spans="1:36" ht="13.5" hidden="1" thickBot="1" x14ac:dyDescent="0.25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  <c r="L107" s="6"/>
      <c r="M107" s="21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D107" s="6">
        <f>IF((D106&lt;&gt;"")*(D110=""),IF((D106&lt;=$B$441)*((D107&gt;=$C$441)+(D107&lt;2/24)),1,0),0)</f>
        <v>0</v>
      </c>
      <c r="AE107" s="6">
        <f>IF((E106&lt;&gt;"")*(E110=""),IF((E106&lt;=$B$441)*((E107&gt;=$C$441)+(E107&lt;2/24)),1,0),0)</f>
        <v>0</v>
      </c>
      <c r="AF107" s="6">
        <f>IF((F106&lt;&gt;"")*(F110=""),IF((F106&lt;=$B$441)*((F107&gt;=$C$441)+(F107&lt;2/24)),1,0),0)</f>
        <v>0</v>
      </c>
      <c r="AG107" s="6">
        <f>IF((G106&lt;&gt;"")*(G110=""),IF((G106&lt;=$B$441)*((G107&gt;=$C$441)+(G107&lt;2/24)),1,0),0)</f>
        <v>0</v>
      </c>
      <c r="AH107" s="6">
        <f>IF((H106&lt;&gt;"")*(H110=""),IF((H106&lt;=$B$441)*((H107&gt;=$C$441)+(H107&lt;2/24)),1,0),0)</f>
        <v>0</v>
      </c>
      <c r="AI107" s="6">
        <f>IF((I106&lt;&gt;"")*(I110=""),IF((I106&lt;=$B$441)*((I107&gt;=$C$441)+(I107&lt;2/24)),1,0),0)</f>
        <v>0</v>
      </c>
      <c r="AJ107" s="6">
        <f>IF((J106&lt;&gt;"")*(J110=""),IF((J106&lt;=$B$441)*((J107&gt;=$C$441)+(J107&lt;2/24)),1,0),0)</f>
        <v>0</v>
      </c>
    </row>
    <row r="108" spans="1:36" ht="13.5" hidden="1" thickBot="1" x14ac:dyDescent="0.25">
      <c r="A108" s="39"/>
      <c r="B108" s="40"/>
      <c r="C108" s="15" t="s">
        <v>2</v>
      </c>
      <c r="D108" s="4"/>
      <c r="E108" s="4"/>
      <c r="F108" s="4"/>
      <c r="G108" s="4"/>
      <c r="H108" s="4"/>
      <c r="I108" s="4"/>
      <c r="J108" s="4"/>
      <c r="K108" s="17"/>
      <c r="L108" s="6"/>
      <c r="M108" s="21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D108" s="6">
        <f>IF((D106&lt;&gt;"")*(D110=""),IF((D106&lt;=$B$442)*((D107&gt;=$C$442)+(D107&lt;2/24)),1,0),0)</f>
        <v>0</v>
      </c>
      <c r="AE108" s="6">
        <f>IF((E106&lt;&gt;"")*(E110=""),IF((E106&lt;=$B$442)*((E107&gt;=$C$442)+(E107&lt;2/24)),1,0),0)</f>
        <v>0</v>
      </c>
      <c r="AF108" s="6">
        <f>IF((F106&lt;&gt;"")*(F110=""),IF((F106&lt;=$B$442)*((F107&gt;=$C$442)+(F107&lt;2/24)),1,0),0)</f>
        <v>0</v>
      </c>
      <c r="AG108" s="6">
        <f>IF((G106&lt;&gt;"")*(G110=""),IF((G106&lt;=$B$442)*((G107&gt;=$C$442)+(G107&lt;2/24)),1,0),0)</f>
        <v>0</v>
      </c>
      <c r="AH108" s="6">
        <f>IF((H106&lt;&gt;"")*(H110=""),IF((H106&lt;=$B$442)*((H107&gt;=$C$442)+(H107&lt;2/24)),1,0),0)</f>
        <v>0</v>
      </c>
      <c r="AI108" s="6">
        <f>IF((I106&lt;&gt;"")*(I110=""),IF((I106&lt;=$B$442)*((I107&gt;=$C$442)+(I107&lt;2/24)),1,0),0)</f>
        <v>0</v>
      </c>
      <c r="AJ108" s="6">
        <f>IF((J106&lt;&gt;"")*(J110=""),IF((J106&lt;=$B$442)*((J107&gt;=$C$442)+(J107&lt;2/24)),1,0),0)</f>
        <v>0</v>
      </c>
    </row>
    <row r="109" spans="1:36" ht="13.5" hidden="1" thickBot="1" x14ac:dyDescent="0.25">
      <c r="A109" s="39"/>
      <c r="B109" s="40"/>
      <c r="C109" s="15" t="s">
        <v>3</v>
      </c>
      <c r="D109" s="43"/>
      <c r="E109" s="43"/>
      <c r="F109" s="43"/>
      <c r="G109" s="43"/>
      <c r="H109" s="43"/>
      <c r="I109" s="43"/>
      <c r="J109" s="44"/>
      <c r="K109" s="18">
        <f>SUMIF(D110:J110,"",D109:J109)</f>
        <v>0</v>
      </c>
      <c r="L109" s="12">
        <f>SUM(D109:J109)</f>
        <v>0</v>
      </c>
      <c r="M109" s="24"/>
      <c r="N109" s="10">
        <f>IF(D110="",D109,0)</f>
        <v>0</v>
      </c>
      <c r="O109" s="10">
        <f>IF(E110="",E109,0)</f>
        <v>0</v>
      </c>
      <c r="P109" s="10">
        <f t="shared" ref="P109:T109" si="34">IF(F110="",F109,0)</f>
        <v>0</v>
      </c>
      <c r="Q109" s="10">
        <f t="shared" si="34"/>
        <v>0</v>
      </c>
      <c r="R109" s="10">
        <f t="shared" si="34"/>
        <v>0</v>
      </c>
      <c r="S109" s="10">
        <f t="shared" si="34"/>
        <v>0</v>
      </c>
      <c r="T109" s="10">
        <f t="shared" si="34"/>
        <v>0</v>
      </c>
      <c r="U109" s="10"/>
      <c r="V109" s="10">
        <f>D109</f>
        <v>0</v>
      </c>
      <c r="W109" s="10">
        <f>E109</f>
        <v>0</v>
      </c>
      <c r="X109" s="10">
        <f t="shared" ref="X109:AB109" si="35">F109</f>
        <v>0</v>
      </c>
      <c r="Y109" s="10">
        <f t="shared" si="35"/>
        <v>0</v>
      </c>
      <c r="Z109" s="10">
        <f t="shared" si="35"/>
        <v>0</v>
      </c>
      <c r="AA109" s="10">
        <f t="shared" si="35"/>
        <v>0</v>
      </c>
      <c r="AB109" s="10">
        <f t="shared" si="35"/>
        <v>0</v>
      </c>
      <c r="AD109" s="6">
        <f>IF((D106&lt;&gt;"")*(D110=""),IF((D106&lt;=$B$443)*((D107&gt;=$C$443)+(D107&lt;2/24)),1,0),0)</f>
        <v>0</v>
      </c>
      <c r="AE109" s="6">
        <f>IF((E106&lt;&gt;"")*(E110=""),IF((E106&lt;=$B$443)*((E107&gt;=$C$443)+(E107&lt;2/24)),1,0),0)</f>
        <v>0</v>
      </c>
      <c r="AF109" s="6">
        <f>IF((F106&lt;&gt;"")*(F110=""),IF((F106&lt;=$B$443)*((F107&gt;=$C$443)+(F107&lt;2/24)),1,0),0)</f>
        <v>0</v>
      </c>
      <c r="AG109" s="6">
        <f>IF((G106&lt;&gt;"")*(G110=""),IF((G106&lt;=$B$443)*((G107&gt;=$C$443)+(G107&lt;2/24)),1,0),0)</f>
        <v>0</v>
      </c>
      <c r="AH109" s="6">
        <f>IF((H106&lt;&gt;"")*(H110=""),IF((H106&lt;=$B$443)*((H107&gt;=$C$443)+(H107&lt;2/24)),1,0),0)</f>
        <v>0</v>
      </c>
      <c r="AI109" s="6">
        <f>IF((I106&lt;&gt;"")*(I110=""),IF((I106&lt;=$B$443)*((I107&gt;=$C$443)+(I107&lt;2/24)),1,0),0)</f>
        <v>0</v>
      </c>
      <c r="AJ109" s="6">
        <f>IF((J106&lt;&gt;"")*(J110=""),IF((J106&lt;=$B$443)*((J107&gt;=$C$443)+(J107&lt;2/24)),1,0),0)</f>
        <v>0</v>
      </c>
    </row>
    <row r="110" spans="1:36" ht="13.5" hidden="1" thickBot="1" x14ac:dyDescent="0.25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  <c r="N110" s="6"/>
      <c r="O110" s="6"/>
      <c r="P110" s="6"/>
      <c r="Q110" s="6"/>
      <c r="R110" s="6"/>
      <c r="S110" s="6"/>
      <c r="T110" s="6"/>
      <c r="U110" s="6"/>
      <c r="V110" s="20"/>
      <c r="W110" s="20"/>
      <c r="X110" s="20"/>
      <c r="Y110" s="20"/>
      <c r="Z110" s="20"/>
      <c r="AA110" s="20"/>
      <c r="AB110" s="20"/>
      <c r="AD110" s="6">
        <f>IF((D106&lt;&gt;"")*(D110=""),IF((D106&lt;=$B$444)*((D107&gt;=$C$444)+(D107&lt;2/24)),1,0),0)</f>
        <v>0</v>
      </c>
      <c r="AE110" s="6">
        <f>IF((E106&lt;&gt;"")*(E110=""),IF((E106&lt;=$B$444)*((E107&gt;=$C$444)+(E107&lt;2/24)),1,0),0)</f>
        <v>0</v>
      </c>
      <c r="AF110" s="6">
        <f>IF((F106&lt;&gt;"")*(F110=""),IF((F106&lt;=$B$444)*((F107&gt;=$C$444)+(F107&lt;2/24)),1,0),0)</f>
        <v>0</v>
      </c>
      <c r="AG110" s="6">
        <f>IF((G106&lt;&gt;"")*(G110=""),IF((G106&lt;=$B$444)*((G107&gt;=$C$444)+(G107&lt;2/24)),1,0),0)</f>
        <v>0</v>
      </c>
      <c r="AH110" s="6">
        <f>IF((H106&lt;&gt;"")*(H110=""),IF((H106&lt;=$B$444)*((H107&gt;=$C$444)+(H107&lt;2/24)),1,0),0)</f>
        <v>0</v>
      </c>
      <c r="AI110" s="6">
        <f>IF((I106&lt;&gt;"")*(I110=""),IF((I106&lt;=$B$444)*((I107&gt;=$C$444)+(I107&lt;2/24)),1,0),0)</f>
        <v>0</v>
      </c>
      <c r="AJ110" s="6">
        <f>IF((J106&lt;&gt;"")*(J110=""),IF((J106&lt;=$B$444)*((J107&gt;=$C$444)+(J107&lt;2/24)),1,0),0)</f>
        <v>0</v>
      </c>
    </row>
    <row r="111" spans="1:36" ht="13.5" hidden="1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  <c r="L111" s="6"/>
      <c r="M111" s="25"/>
      <c r="N111" s="6"/>
      <c r="O111" s="6"/>
      <c r="P111" s="6"/>
      <c r="Q111" s="6"/>
      <c r="R111" s="6"/>
      <c r="S111" s="6"/>
      <c r="T111" s="6"/>
      <c r="U111" s="6"/>
      <c r="V111" s="20"/>
      <c r="W111" s="20"/>
      <c r="X111" s="20"/>
      <c r="Y111" s="20"/>
      <c r="Z111" s="20"/>
      <c r="AA111" s="20"/>
      <c r="AB111" s="20"/>
      <c r="AD111" s="6"/>
      <c r="AE111" s="6"/>
      <c r="AF111" s="6"/>
      <c r="AG111" s="6"/>
      <c r="AH111" s="6"/>
      <c r="AI111" s="6"/>
      <c r="AJ111" s="6"/>
    </row>
    <row r="112" spans="1:36" ht="13.5" hidden="1" thickBot="1" x14ac:dyDescent="0.25">
      <c r="A112" s="37" t="s">
        <v>29</v>
      </c>
      <c r="B112" s="38" t="s">
        <v>30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D112" s="6">
        <f>IF((D112&lt;&gt;"")*(D116=""),IF((D112&lt;=$B$440)*((D113&gt;=$C$440)+(D113&lt;2/24)),1,0),0)</f>
        <v>0</v>
      </c>
      <c r="AE112" s="6">
        <f>IF((E112&lt;&gt;"")*(E116=""),IF((E112&lt;=$B$440)*((E113&gt;=$C$440)+(E113&lt;2/24)),1,0),0)</f>
        <v>0</v>
      </c>
      <c r="AF112" s="6">
        <f>IF((F112&lt;&gt;"")*(F116=""),IF((F112&lt;=$B$440)*((F113&gt;=$C$440)+(F113&lt;2/24)),1,0),0)</f>
        <v>0</v>
      </c>
      <c r="AG112" s="6">
        <f>IF((G112&lt;&gt;"")*(G116=""),IF((G112&lt;=$B$440)*((G113&gt;=$C$440)+(G113&lt;2/24)),1,0),0)</f>
        <v>0</v>
      </c>
      <c r="AH112" s="6">
        <f>IF((H112&lt;&gt;"")*(H116=""),IF((H112&lt;=$B$440)*((H113&gt;=$C$440)+(H113&lt;2/24)),1,0),0)</f>
        <v>0</v>
      </c>
      <c r="AI112" s="6">
        <f>IF((I112&lt;&gt;"")*(I116=""),IF((I112&lt;=$B$440)*((I113&gt;=$C$440)+(I113&lt;2/24)),1,0),0)</f>
        <v>0</v>
      </c>
      <c r="AJ112" s="6">
        <f>IF((J112&lt;&gt;"")*(J116=""),IF((J112&lt;=$B$440)*((J113&gt;=$C$440)+(J113&lt;2/24)),1,0),0)</f>
        <v>0</v>
      </c>
    </row>
    <row r="113" spans="1:36" ht="13.5" hidden="1" thickBot="1" x14ac:dyDescent="0.25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D113" s="6">
        <f>IF((D112&lt;&gt;"")*(D116=""),IF((D112&lt;=$B$441)*((D113&gt;=$C$441)+(D113&lt;2/24)),1,0),0)</f>
        <v>0</v>
      </c>
      <c r="AE113" s="6">
        <f>IF((E112&lt;&gt;"")*(E116=""),IF((E112&lt;=$B$441)*((E113&gt;=$C$441)+(E113&lt;2/24)),1,0),0)</f>
        <v>0</v>
      </c>
      <c r="AF113" s="6">
        <f>IF((F112&lt;&gt;"")*(F116=""),IF((F112&lt;=$B$441)*((F113&gt;=$C$441)+(F113&lt;2/24)),1,0),0)</f>
        <v>0</v>
      </c>
      <c r="AG113" s="6">
        <f>IF((G112&lt;&gt;"")*(G116=""),IF((G112&lt;=$B$441)*((G113&gt;=$C$441)+(G113&lt;2/24)),1,0),0)</f>
        <v>0</v>
      </c>
      <c r="AH113" s="6">
        <f>IF((H112&lt;&gt;"")*(H116=""),IF((H112&lt;=$B$441)*((H113&gt;=$C$441)+(H113&lt;2/24)),1,0),0)</f>
        <v>0</v>
      </c>
      <c r="AI113" s="6">
        <f>IF((I112&lt;&gt;"")*(I116=""),IF((I112&lt;=$B$441)*((I113&gt;=$C$441)+(I113&lt;2/24)),1,0),0)</f>
        <v>0</v>
      </c>
      <c r="AJ113" s="6">
        <f>IF((J112&lt;&gt;"")*(J116=""),IF((J112&lt;=$B$441)*((J113&gt;=$C$441)+(J113&lt;2/24)),1,0),0)</f>
        <v>0</v>
      </c>
    </row>
    <row r="114" spans="1:36" ht="13.5" hidden="1" thickBot="1" x14ac:dyDescent="0.25">
      <c r="A114" s="39"/>
      <c r="B114" s="40"/>
      <c r="C114" s="15" t="s">
        <v>2</v>
      </c>
      <c r="D114" s="4"/>
      <c r="E114" s="4"/>
      <c r="F114" s="4"/>
      <c r="G114" s="4"/>
      <c r="H114" s="4"/>
      <c r="I114" s="4"/>
      <c r="J114" s="4"/>
      <c r="K114" s="17"/>
      <c r="L114" s="6"/>
      <c r="M114" s="21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D114" s="6">
        <f>IF((D112&lt;&gt;"")*(D116=""),IF((D112&lt;=$B$442)*((D113&gt;=$C$442)+(D113&lt;2/24)),1,0),0)</f>
        <v>0</v>
      </c>
      <c r="AE114" s="6">
        <f>IF((E112&lt;&gt;"")*(E116=""),IF((E112&lt;=$B$442)*((E113&gt;=$C$442)+(E113&lt;2/24)),1,0),0)</f>
        <v>0</v>
      </c>
      <c r="AF114" s="6">
        <f>IF((F112&lt;&gt;"")*(F116=""),IF((F112&lt;=$B$442)*((F113&gt;=$C$442)+(F113&lt;2/24)),1,0),0)</f>
        <v>0</v>
      </c>
      <c r="AG114" s="6">
        <f>IF((G112&lt;&gt;"")*(G116=""),IF((G112&lt;=$B$442)*((G113&gt;=$C$442)+(G113&lt;2/24)),1,0),0)</f>
        <v>0</v>
      </c>
      <c r="AH114" s="6">
        <f>IF((H112&lt;&gt;"")*(H116=""),IF((H112&lt;=$B$442)*((H113&gt;=$C$442)+(H113&lt;2/24)),1,0),0)</f>
        <v>0</v>
      </c>
      <c r="AI114" s="6">
        <f>IF((I112&lt;&gt;"")*(I116=""),IF((I112&lt;=$B$442)*((I113&gt;=$C$442)+(I113&lt;2/24)),1,0),0)</f>
        <v>0</v>
      </c>
      <c r="AJ114" s="6">
        <f>IF((J112&lt;&gt;"")*(J116=""),IF((J112&lt;=$B$442)*((J113&gt;=$C$442)+(J113&lt;2/24)),1,0),0)</f>
        <v>0</v>
      </c>
    </row>
    <row r="115" spans="1:36" ht="13.5" hidden="1" thickBot="1" x14ac:dyDescent="0.25">
      <c r="A115" s="39"/>
      <c r="B115" s="40"/>
      <c r="C115" s="15" t="s">
        <v>3</v>
      </c>
      <c r="D115" s="43"/>
      <c r="E115" s="43"/>
      <c r="F115" s="43"/>
      <c r="G115" s="43"/>
      <c r="H115" s="43"/>
      <c r="I115" s="43"/>
      <c r="J115" s="44"/>
      <c r="K115" s="18">
        <f>SUMIF(D116:J116,"",D115:J115)</f>
        <v>0</v>
      </c>
      <c r="L115" s="12">
        <f>SUM(D115:J115)</f>
        <v>0</v>
      </c>
      <c r="M115" s="24"/>
      <c r="N115" s="10">
        <f>IF(D116="",D115,0)</f>
        <v>0</v>
      </c>
      <c r="O115" s="10">
        <f>IF(E116="",E115,0)</f>
        <v>0</v>
      </c>
      <c r="P115" s="10">
        <f t="shared" ref="P115:T115" si="36">IF(F116="",F115,0)</f>
        <v>0</v>
      </c>
      <c r="Q115" s="10">
        <f t="shared" si="36"/>
        <v>0</v>
      </c>
      <c r="R115" s="10">
        <f t="shared" si="36"/>
        <v>0</v>
      </c>
      <c r="S115" s="10">
        <f t="shared" si="36"/>
        <v>0</v>
      </c>
      <c r="T115" s="10">
        <f t="shared" si="36"/>
        <v>0</v>
      </c>
      <c r="U115" s="10"/>
      <c r="V115" s="10">
        <f>D115</f>
        <v>0</v>
      </c>
      <c r="W115" s="10">
        <f>E115</f>
        <v>0</v>
      </c>
      <c r="X115" s="10">
        <f t="shared" ref="X115:AB115" si="37">F115</f>
        <v>0</v>
      </c>
      <c r="Y115" s="10">
        <f t="shared" si="37"/>
        <v>0</v>
      </c>
      <c r="Z115" s="10">
        <f t="shared" si="37"/>
        <v>0</v>
      </c>
      <c r="AA115" s="10">
        <f t="shared" si="37"/>
        <v>0</v>
      </c>
      <c r="AB115" s="10">
        <f t="shared" si="37"/>
        <v>0</v>
      </c>
      <c r="AD115" s="6">
        <f>IF((D112&lt;&gt;"")*(D116=""),IF((D112&lt;=$B$443)*((D113&gt;=$C$443)+(D113&lt;2/24)),1,0),0)</f>
        <v>0</v>
      </c>
      <c r="AE115" s="6">
        <f>IF((E112&lt;&gt;"")*(E116=""),IF((E112&lt;=$B$443)*((E113&gt;=$C$443)+(E113&lt;2/24)),1,0),0)</f>
        <v>0</v>
      </c>
      <c r="AF115" s="6">
        <f>IF((F112&lt;&gt;"")*(F116=""),IF((F112&lt;=$B$443)*((F113&gt;=$C$443)+(F113&lt;2/24)),1,0),0)</f>
        <v>0</v>
      </c>
      <c r="AG115" s="6">
        <f>IF((G112&lt;&gt;"")*(G116=""),IF((G112&lt;=$B$443)*((G113&gt;=$C$443)+(G113&lt;2/24)),1,0),0)</f>
        <v>0</v>
      </c>
      <c r="AH115" s="6">
        <f>IF((H112&lt;&gt;"")*(H116=""),IF((H112&lt;=$B$443)*((H113&gt;=$C$443)+(H113&lt;2/24)),1,0),0)</f>
        <v>0</v>
      </c>
      <c r="AI115" s="6">
        <f>IF((I112&lt;&gt;"")*(I116=""),IF((I112&lt;=$B$443)*((I113&gt;=$C$443)+(I113&lt;2/24)),1,0),0)</f>
        <v>0</v>
      </c>
      <c r="AJ115" s="6">
        <f>IF((J112&lt;&gt;"")*(J116=""),IF((J112&lt;=$B$443)*((J113&gt;=$C$443)+(J113&lt;2/24)),1,0),0)</f>
        <v>0</v>
      </c>
    </row>
    <row r="116" spans="1:36" ht="13.5" hidden="1" thickBot="1" x14ac:dyDescent="0.25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  <c r="N116" s="6"/>
      <c r="O116" s="6"/>
      <c r="P116" s="6"/>
      <c r="Q116" s="6"/>
      <c r="R116" s="6"/>
      <c r="S116" s="6"/>
      <c r="T116" s="6"/>
      <c r="U116" s="6"/>
      <c r="V116" s="20"/>
      <c r="W116" s="20"/>
      <c r="X116" s="20"/>
      <c r="Y116" s="20"/>
      <c r="Z116" s="20"/>
      <c r="AA116" s="20"/>
      <c r="AB116" s="20"/>
      <c r="AD116" s="6">
        <f>IF((D112&lt;&gt;"")*(D116=""),IF((D112&lt;=$B$444)*((D113&gt;=$C$444)+(D113&lt;2/24)),1,0),0)</f>
        <v>0</v>
      </c>
      <c r="AE116" s="6">
        <f>IF((E112&lt;&gt;"")*(E116=""),IF((E112&lt;=$B$444)*((E113&gt;=$C$444)+(E113&lt;2/24)),1,0),0)</f>
        <v>0</v>
      </c>
      <c r="AF116" s="6">
        <f>IF((F112&lt;&gt;"")*(F116=""),IF((F112&lt;=$B$444)*((F113&gt;=$C$444)+(F113&lt;2/24)),1,0),0)</f>
        <v>0</v>
      </c>
      <c r="AG116" s="6">
        <f>IF((G112&lt;&gt;"")*(G116=""),IF((G112&lt;=$B$444)*((G113&gt;=$C$444)+(G113&lt;2/24)),1,0),0)</f>
        <v>0</v>
      </c>
      <c r="AH116" s="6">
        <f>IF((H112&lt;&gt;"")*(H116=""),IF((H112&lt;=$B$444)*((H113&gt;=$C$444)+(H113&lt;2/24)),1,0),0)</f>
        <v>0</v>
      </c>
      <c r="AI116" s="6">
        <f>IF((I112&lt;&gt;"")*(I116=""),IF((I112&lt;=$B$444)*((I113&gt;=$C$444)+(I113&lt;2/24)),1,0),0)</f>
        <v>0</v>
      </c>
      <c r="AJ116" s="6">
        <f>IF((J112&lt;&gt;"")*(J116=""),IF((J112&lt;=$B$444)*((J113&gt;=$C$444)+(J113&lt;2/24)),1,0),0)</f>
        <v>0</v>
      </c>
    </row>
    <row r="117" spans="1:36" ht="13.5" hidden="1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  <c r="N117" s="6"/>
      <c r="O117" s="6"/>
      <c r="P117" s="6"/>
      <c r="Q117" s="6"/>
      <c r="R117" s="6"/>
      <c r="S117" s="6"/>
      <c r="T117" s="6"/>
      <c r="U117" s="6"/>
      <c r="V117" s="20"/>
      <c r="W117" s="20"/>
      <c r="X117" s="20"/>
      <c r="Y117" s="20"/>
      <c r="Z117" s="20"/>
      <c r="AA117" s="20"/>
      <c r="AB117" s="20"/>
      <c r="AD117" s="6"/>
      <c r="AE117" s="6"/>
      <c r="AF117" s="6"/>
      <c r="AG117" s="6"/>
      <c r="AH117" s="6"/>
      <c r="AI117" s="6"/>
      <c r="AJ117" s="6"/>
    </row>
    <row r="118" spans="1:36" ht="13.5" hidden="1" thickBot="1" x14ac:dyDescent="0.25">
      <c r="A118" s="37" t="s">
        <v>29</v>
      </c>
      <c r="B118" s="38" t="s">
        <v>30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  <c r="L118" s="6"/>
      <c r="M118" s="21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D118" s="6">
        <f>IF((D118&lt;&gt;"")*(D122=""),IF((D118&lt;=$B$440)*((D119&gt;=$C$440)+(D119&lt;2/24)),1,0),0)</f>
        <v>0</v>
      </c>
      <c r="AE118" s="6">
        <f>IF((E118&lt;&gt;"")*(E122=""),IF((E118&lt;=$B$440)*((E119&gt;=$C$440)+(E119&lt;2/24)),1,0),0)</f>
        <v>0</v>
      </c>
      <c r="AF118" s="6">
        <f>IF((F118&lt;&gt;"")*(F122=""),IF((F118&lt;=$B$440)*((F119&gt;=$C$440)+(F119&lt;2/24)),1,0),0)</f>
        <v>0</v>
      </c>
      <c r="AG118" s="6">
        <f>IF((G118&lt;&gt;"")*(G122=""),IF((G118&lt;=$B$440)*((G119&gt;=$C$440)+(G119&lt;2/24)),1,0),0)</f>
        <v>0</v>
      </c>
      <c r="AH118" s="6">
        <f>IF((H118&lt;&gt;"")*(H122=""),IF((H118&lt;=$B$440)*((H119&gt;=$C$440)+(H119&lt;2/24)),1,0),0)</f>
        <v>0</v>
      </c>
      <c r="AI118" s="6">
        <f>IF((I118&lt;&gt;"")*(I122=""),IF((I118&lt;=$B$440)*((I119&gt;=$C$440)+(I119&lt;2/24)),1,0),0)</f>
        <v>0</v>
      </c>
      <c r="AJ118" s="6">
        <f>IF((J118&lt;&gt;"")*(J122=""),IF((J118&lt;=$B$440)*((J119&gt;=$C$440)+(J119&lt;2/24)),1,0),0)</f>
        <v>0</v>
      </c>
    </row>
    <row r="119" spans="1:36" ht="13.5" hidden="1" thickBot="1" x14ac:dyDescent="0.25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  <c r="L119" s="6"/>
      <c r="M119" s="21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D119" s="6">
        <f>IF((D118&lt;&gt;"")*(D122=""),IF((D118&lt;=$B$441)*((D119&gt;=$C$441)+(D119&lt;2/24)),1,0),0)</f>
        <v>0</v>
      </c>
      <c r="AE119" s="6">
        <f>IF((E118&lt;&gt;"")*(E122=""),IF((E118&lt;=$B$441)*((E119&gt;=$C$441)+(E119&lt;2/24)),1,0),0)</f>
        <v>0</v>
      </c>
      <c r="AF119" s="6">
        <f>IF((F118&lt;&gt;"")*(F122=""),IF((F118&lt;=$B$441)*((F119&gt;=$C$441)+(F119&lt;2/24)),1,0),0)</f>
        <v>0</v>
      </c>
      <c r="AG119" s="6">
        <f>IF((G118&lt;&gt;"")*(G122=""),IF((G118&lt;=$B$441)*((G119&gt;=$C$441)+(G119&lt;2/24)),1,0),0)</f>
        <v>0</v>
      </c>
      <c r="AH119" s="6">
        <f>IF((H118&lt;&gt;"")*(H122=""),IF((H118&lt;=$B$441)*((H119&gt;=$C$441)+(H119&lt;2/24)),1,0),0)</f>
        <v>0</v>
      </c>
      <c r="AI119" s="6">
        <f>IF((I118&lt;&gt;"")*(I122=""),IF((I118&lt;=$B$441)*((I119&gt;=$C$441)+(I119&lt;2/24)),1,0),0)</f>
        <v>0</v>
      </c>
      <c r="AJ119" s="6">
        <f>IF((J118&lt;&gt;"")*(J122=""),IF((J118&lt;=$B$441)*((J119&gt;=$C$441)+(J119&lt;2/24)),1,0),0)</f>
        <v>0</v>
      </c>
    </row>
    <row r="120" spans="1:36" ht="13.5" hidden="1" thickBot="1" x14ac:dyDescent="0.25">
      <c r="A120" s="39"/>
      <c r="B120" s="40"/>
      <c r="C120" s="15" t="s">
        <v>2</v>
      </c>
      <c r="D120" s="4"/>
      <c r="E120" s="4"/>
      <c r="F120" s="4"/>
      <c r="G120" s="4"/>
      <c r="H120" s="4"/>
      <c r="I120" s="4"/>
      <c r="J120" s="4"/>
      <c r="K120" s="17"/>
      <c r="L120" s="6"/>
      <c r="M120" s="21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D120" s="6">
        <f>IF((D118&lt;&gt;"")*(D122=""),IF((D118&lt;=$B$442)*((D119&gt;=$C$442)+(D119&lt;2/24)),1,0),0)</f>
        <v>0</v>
      </c>
      <c r="AE120" s="6">
        <f>IF((E118&lt;&gt;"")*(E122=""),IF((E118&lt;=$B$442)*((E119&gt;=$C$442)+(E119&lt;2/24)),1,0),0)</f>
        <v>0</v>
      </c>
      <c r="AF120" s="6">
        <f>IF((F118&lt;&gt;"")*(F122=""),IF((F118&lt;=$B$442)*((F119&gt;=$C$442)+(F119&lt;2/24)),1,0),0)</f>
        <v>0</v>
      </c>
      <c r="AG120" s="6">
        <f>IF((G118&lt;&gt;"")*(G122=""),IF((G118&lt;=$B$442)*((G119&gt;=$C$442)+(G119&lt;2/24)),1,0),0)</f>
        <v>0</v>
      </c>
      <c r="AH120" s="6">
        <f>IF((H118&lt;&gt;"")*(H122=""),IF((H118&lt;=$B$442)*((H119&gt;=$C$442)+(H119&lt;2/24)),1,0),0)</f>
        <v>0</v>
      </c>
      <c r="AI120" s="6">
        <f>IF((I118&lt;&gt;"")*(I122=""),IF((I118&lt;=$B$442)*((I119&gt;=$C$442)+(I119&lt;2/24)),1,0),0)</f>
        <v>0</v>
      </c>
      <c r="AJ120" s="6">
        <f>IF((J118&lt;&gt;"")*(J122=""),IF((J118&lt;=$B$442)*((J119&gt;=$C$442)+(J119&lt;2/24)),1,0),0)</f>
        <v>0</v>
      </c>
    </row>
    <row r="121" spans="1:36" ht="13.5" hidden="1" thickBot="1" x14ac:dyDescent="0.25">
      <c r="A121" s="39"/>
      <c r="B121" s="40"/>
      <c r="C121" s="15" t="s">
        <v>3</v>
      </c>
      <c r="D121" s="43"/>
      <c r="E121" s="43"/>
      <c r="F121" s="43"/>
      <c r="G121" s="43"/>
      <c r="H121" s="43"/>
      <c r="I121" s="43"/>
      <c r="J121" s="44"/>
      <c r="K121" s="18">
        <f>SUMIF(D122:J122,"",D121:J121)</f>
        <v>0</v>
      </c>
      <c r="L121" s="12">
        <f>SUM(D121:J121)</f>
        <v>0</v>
      </c>
      <c r="M121" s="24"/>
      <c r="N121" s="10">
        <f>IF(D122="",D121,0)</f>
        <v>0</v>
      </c>
      <c r="O121" s="10">
        <f>IF(E122="",E121,0)</f>
        <v>0</v>
      </c>
      <c r="P121" s="10">
        <f t="shared" ref="P121:T121" si="38">IF(F122="",F121,0)</f>
        <v>0</v>
      </c>
      <c r="Q121" s="10">
        <f t="shared" si="38"/>
        <v>0</v>
      </c>
      <c r="R121" s="10">
        <f t="shared" si="38"/>
        <v>0</v>
      </c>
      <c r="S121" s="10">
        <f t="shared" si="38"/>
        <v>0</v>
      </c>
      <c r="T121" s="10">
        <f t="shared" si="38"/>
        <v>0</v>
      </c>
      <c r="U121" s="10"/>
      <c r="V121" s="10">
        <f>D121</f>
        <v>0</v>
      </c>
      <c r="W121" s="10">
        <f>E121</f>
        <v>0</v>
      </c>
      <c r="X121" s="10">
        <f t="shared" ref="X121:AB121" si="39">F121</f>
        <v>0</v>
      </c>
      <c r="Y121" s="10">
        <f t="shared" si="39"/>
        <v>0</v>
      </c>
      <c r="Z121" s="10">
        <f t="shared" si="39"/>
        <v>0</v>
      </c>
      <c r="AA121" s="10">
        <f t="shared" si="39"/>
        <v>0</v>
      </c>
      <c r="AB121" s="10">
        <f t="shared" si="39"/>
        <v>0</v>
      </c>
      <c r="AD121" s="6">
        <f>IF((D118&lt;&gt;"")*(D122=""),IF((D118&lt;=$B$443)*((D119&gt;=$C$443)+(D119&lt;2/24)),1,0),0)</f>
        <v>0</v>
      </c>
      <c r="AE121" s="6">
        <f>IF((E118&lt;&gt;"")*(E122=""),IF((E118&lt;=$B$443)*((E119&gt;=$C$443)+(E119&lt;2/24)),1,0),0)</f>
        <v>0</v>
      </c>
      <c r="AF121" s="6">
        <f>IF((F118&lt;&gt;"")*(F122=""),IF((F118&lt;=$B$443)*((F119&gt;=$C$443)+(F119&lt;2/24)),1,0),0)</f>
        <v>0</v>
      </c>
      <c r="AG121" s="6">
        <f>IF((G118&lt;&gt;"")*(G122=""),IF((G118&lt;=$B$443)*((G119&gt;=$C$443)+(G119&lt;2/24)),1,0),0)</f>
        <v>0</v>
      </c>
      <c r="AH121" s="6">
        <f>IF((H118&lt;&gt;"")*(H122=""),IF((H118&lt;=$B$443)*((H119&gt;=$C$443)+(H119&lt;2/24)),1,0),0)</f>
        <v>0</v>
      </c>
      <c r="AI121" s="6">
        <f>IF((I118&lt;&gt;"")*(I122=""),IF((I118&lt;=$B$443)*((I119&gt;=$C$443)+(I119&lt;2/24)),1,0),0)</f>
        <v>0</v>
      </c>
      <c r="AJ121" s="6">
        <f>IF((J118&lt;&gt;"")*(J122=""),IF((J118&lt;=$B$443)*((J119&gt;=$C$443)+(J119&lt;2/24)),1,0),0)</f>
        <v>0</v>
      </c>
    </row>
    <row r="122" spans="1:36" ht="13.5" hidden="1" thickBot="1" x14ac:dyDescent="0.25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  <c r="N122" s="6"/>
      <c r="O122" s="6"/>
      <c r="P122" s="6"/>
      <c r="Q122" s="6"/>
      <c r="R122" s="6"/>
      <c r="S122" s="6"/>
      <c r="T122" s="6"/>
      <c r="U122" s="6"/>
      <c r="V122" s="20"/>
      <c r="W122" s="20"/>
      <c r="X122" s="20"/>
      <c r="Y122" s="20"/>
      <c r="Z122" s="20"/>
      <c r="AA122" s="20"/>
      <c r="AB122" s="20"/>
      <c r="AD122" s="6">
        <f>IF((D118&lt;&gt;"")*(D122=""),IF((D118&lt;=$B$444)*((D119&gt;=$C$444)+(D119&lt;2/24)),1,0),0)</f>
        <v>0</v>
      </c>
      <c r="AE122" s="6">
        <f>IF((E118&lt;&gt;"")*(E122=""),IF((E118&lt;=$B$444)*((E119&gt;=$C$444)+(E119&lt;2/24)),1,0),0)</f>
        <v>0</v>
      </c>
      <c r="AF122" s="6">
        <f>IF((F118&lt;&gt;"")*(F122=""),IF((F118&lt;=$B$444)*((F119&gt;=$C$444)+(F119&lt;2/24)),1,0),0)</f>
        <v>0</v>
      </c>
      <c r="AG122" s="6">
        <f>IF((G118&lt;&gt;"")*(G122=""),IF((G118&lt;=$B$444)*((G119&gt;=$C$444)+(G119&lt;2/24)),1,0),0)</f>
        <v>0</v>
      </c>
      <c r="AH122" s="6">
        <f>IF((H118&lt;&gt;"")*(H122=""),IF((H118&lt;=$B$444)*((H119&gt;=$C$444)+(H119&lt;2/24)),1,0),0)</f>
        <v>0</v>
      </c>
      <c r="AI122" s="6">
        <f>IF((I118&lt;&gt;"")*(I122=""),IF((I118&lt;=$B$444)*((I119&gt;=$C$444)+(I119&lt;2/24)),1,0),0)</f>
        <v>0</v>
      </c>
      <c r="AJ122" s="6">
        <f>IF((J118&lt;&gt;"")*(J122=""),IF((J118&lt;=$B$444)*((J119&gt;=$C$444)+(J119&lt;2/24)),1,0),0)</f>
        <v>0</v>
      </c>
    </row>
    <row r="123" spans="1:36" ht="13.5" hidden="1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  <c r="L123" s="6"/>
      <c r="M123" s="25"/>
      <c r="N123" s="6"/>
      <c r="O123" s="6"/>
      <c r="P123" s="6"/>
      <c r="Q123" s="6"/>
      <c r="R123" s="6"/>
      <c r="S123" s="6"/>
      <c r="T123" s="6"/>
      <c r="U123" s="6"/>
      <c r="V123" s="20"/>
      <c r="W123" s="20"/>
      <c r="X123" s="20"/>
      <c r="Y123" s="20"/>
      <c r="Z123" s="20"/>
      <c r="AA123" s="20"/>
      <c r="AB123" s="20"/>
      <c r="AD123" s="6"/>
      <c r="AE123" s="6"/>
      <c r="AF123" s="6"/>
      <c r="AG123" s="6"/>
      <c r="AH123" s="6"/>
      <c r="AI123" s="6"/>
      <c r="AJ123" s="6"/>
    </row>
    <row r="124" spans="1:36" ht="13.5" hidden="1" thickBot="1" x14ac:dyDescent="0.25">
      <c r="A124" s="37" t="s">
        <v>29</v>
      </c>
      <c r="B124" s="38" t="s">
        <v>30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  <c r="L124" s="6"/>
      <c r="M124" s="21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D124" s="6">
        <f>IF((D124&lt;&gt;"")*(D128=""),IF((D124&lt;=$B$440)*((D125&gt;=$C$440)+(D125&lt;2/24)),1,0),0)</f>
        <v>0</v>
      </c>
      <c r="AE124" s="6">
        <f>IF((E124&lt;&gt;"")*(E128=""),IF((E124&lt;=$B$440)*((E125&gt;=$C$440)+(E125&lt;2/24)),1,0),0)</f>
        <v>0</v>
      </c>
      <c r="AF124" s="6">
        <f>IF((F124&lt;&gt;"")*(F128=""),IF((F124&lt;=$B$440)*((F125&gt;=$C$440)+(F125&lt;2/24)),1,0),0)</f>
        <v>0</v>
      </c>
      <c r="AG124" s="6">
        <f>IF((G124&lt;&gt;"")*(G128=""),IF((G124&lt;=$B$440)*((G125&gt;=$C$440)+(G125&lt;2/24)),1,0),0)</f>
        <v>0</v>
      </c>
      <c r="AH124" s="6">
        <f>IF((H124&lt;&gt;"")*(H128=""),IF((H124&lt;=$B$440)*((H125&gt;=$C$440)+(H125&lt;2/24)),1,0),0)</f>
        <v>0</v>
      </c>
      <c r="AI124" s="6">
        <f>IF((I124&lt;&gt;"")*(I128=""),IF((I124&lt;=$B$440)*((I125&gt;=$C$440)+(I125&lt;2/24)),1,0),0)</f>
        <v>0</v>
      </c>
      <c r="AJ124" s="6">
        <f>IF((J124&lt;&gt;"")*(J128=""),IF((J124&lt;=$B$440)*((J125&gt;=$C$440)+(J125&lt;2/24)),1,0),0)</f>
        <v>0</v>
      </c>
    </row>
    <row r="125" spans="1:36" ht="13.5" hidden="1" thickBot="1" x14ac:dyDescent="0.25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  <c r="L125" s="6"/>
      <c r="M125" s="21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D125" s="6">
        <f>IF((D124&lt;&gt;"")*(D128=""),IF((D124&lt;=$B$441)*((D125&gt;=$C$441)+(D125&lt;2/24)),1,0),0)</f>
        <v>0</v>
      </c>
      <c r="AE125" s="6">
        <f>IF((E124&lt;&gt;"")*(E128=""),IF((E124&lt;=$B$441)*((E125&gt;=$C$441)+(E125&lt;2/24)),1,0),0)</f>
        <v>0</v>
      </c>
      <c r="AF125" s="6">
        <f>IF((F124&lt;&gt;"")*(F128=""),IF((F124&lt;=$B$441)*((F125&gt;=$C$441)+(F125&lt;2/24)),1,0),0)</f>
        <v>0</v>
      </c>
      <c r="AG125" s="6">
        <f>IF((G124&lt;&gt;"")*(G128=""),IF((G124&lt;=$B$441)*((G125&gt;=$C$441)+(G125&lt;2/24)),1,0),0)</f>
        <v>0</v>
      </c>
      <c r="AH125" s="6">
        <f>IF((H124&lt;&gt;"")*(H128=""),IF((H124&lt;=$B$441)*((H125&gt;=$C$441)+(H125&lt;2/24)),1,0),0)</f>
        <v>0</v>
      </c>
      <c r="AI125" s="6">
        <f>IF((I124&lt;&gt;"")*(I128=""),IF((I124&lt;=$B$441)*((I125&gt;=$C$441)+(I125&lt;2/24)),1,0),0)</f>
        <v>0</v>
      </c>
      <c r="AJ125" s="6">
        <f>IF((J124&lt;&gt;"")*(J128=""),IF((J124&lt;=$B$441)*((J125&gt;=$C$441)+(J125&lt;2/24)),1,0),0)</f>
        <v>0</v>
      </c>
    </row>
    <row r="126" spans="1:36" ht="13.5" hidden="1" thickBot="1" x14ac:dyDescent="0.25">
      <c r="A126" s="39"/>
      <c r="B126" s="40"/>
      <c r="C126" s="15" t="s">
        <v>2</v>
      </c>
      <c r="D126" s="4"/>
      <c r="E126" s="4"/>
      <c r="F126" s="4"/>
      <c r="G126" s="4"/>
      <c r="H126" s="4"/>
      <c r="I126" s="4"/>
      <c r="J126" s="4"/>
      <c r="K126" s="17"/>
      <c r="L126" s="6"/>
      <c r="M126" s="21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D126" s="6">
        <f>IF((D124&lt;&gt;"")*(D128=""),IF((D124&lt;=$B$442)*((D125&gt;=$C$442)+(D125&lt;2/24)),1,0),0)</f>
        <v>0</v>
      </c>
      <c r="AE126" s="6">
        <f>IF((E124&lt;&gt;"")*(E128=""),IF((E124&lt;=$B$442)*((E125&gt;=$C$442)+(E125&lt;2/24)),1,0),0)</f>
        <v>0</v>
      </c>
      <c r="AF126" s="6">
        <f>IF((F124&lt;&gt;"")*(F128=""),IF((F124&lt;=$B$442)*((F125&gt;=$C$442)+(F125&lt;2/24)),1,0),0)</f>
        <v>0</v>
      </c>
      <c r="AG126" s="6">
        <f>IF((G124&lt;&gt;"")*(G128=""),IF((G124&lt;=$B$442)*((G125&gt;=$C$442)+(G125&lt;2/24)),1,0),0)</f>
        <v>0</v>
      </c>
      <c r="AH126" s="6">
        <f>IF((H124&lt;&gt;"")*(H128=""),IF((H124&lt;=$B$442)*((H125&gt;=$C$442)+(H125&lt;2/24)),1,0),0)</f>
        <v>0</v>
      </c>
      <c r="AI126" s="6">
        <f>IF((I124&lt;&gt;"")*(I128=""),IF((I124&lt;=$B$442)*((I125&gt;=$C$442)+(I125&lt;2/24)),1,0),0)</f>
        <v>0</v>
      </c>
      <c r="AJ126" s="6">
        <f>IF((J124&lt;&gt;"")*(J128=""),IF((J124&lt;=$B$442)*((J125&gt;=$C$442)+(J125&lt;2/24)),1,0),0)</f>
        <v>0</v>
      </c>
    </row>
    <row r="127" spans="1:36" ht="13.5" hidden="1" thickBot="1" x14ac:dyDescent="0.25">
      <c r="A127" s="39"/>
      <c r="B127" s="40"/>
      <c r="C127" s="15" t="s">
        <v>3</v>
      </c>
      <c r="D127" s="43"/>
      <c r="E127" s="43"/>
      <c r="F127" s="43"/>
      <c r="G127" s="43"/>
      <c r="H127" s="43"/>
      <c r="I127" s="43"/>
      <c r="J127" s="44"/>
      <c r="K127" s="18">
        <f>SUMIF(D128:J128,"",D127:J127)</f>
        <v>0</v>
      </c>
      <c r="L127" s="12">
        <f>SUM(D127:J127)</f>
        <v>0</v>
      </c>
      <c r="M127" s="24"/>
      <c r="N127" s="10">
        <f>IF(D128="",D127,0)</f>
        <v>0</v>
      </c>
      <c r="O127" s="10">
        <f>IF(E128="",E127,0)</f>
        <v>0</v>
      </c>
      <c r="P127" s="10">
        <f t="shared" ref="P127:T127" si="40">IF(F128="",F127,0)</f>
        <v>0</v>
      </c>
      <c r="Q127" s="10">
        <f t="shared" si="40"/>
        <v>0</v>
      </c>
      <c r="R127" s="10">
        <f t="shared" si="40"/>
        <v>0</v>
      </c>
      <c r="S127" s="10">
        <f t="shared" si="40"/>
        <v>0</v>
      </c>
      <c r="T127" s="10">
        <f t="shared" si="40"/>
        <v>0</v>
      </c>
      <c r="U127" s="10"/>
      <c r="V127" s="10">
        <f>D127</f>
        <v>0</v>
      </c>
      <c r="W127" s="10">
        <f>E127</f>
        <v>0</v>
      </c>
      <c r="X127" s="10">
        <f t="shared" ref="X127:AB127" si="41">F127</f>
        <v>0</v>
      </c>
      <c r="Y127" s="10">
        <f t="shared" si="41"/>
        <v>0</v>
      </c>
      <c r="Z127" s="10">
        <f t="shared" si="41"/>
        <v>0</v>
      </c>
      <c r="AA127" s="10">
        <f t="shared" si="41"/>
        <v>0</v>
      </c>
      <c r="AB127" s="10">
        <f t="shared" si="41"/>
        <v>0</v>
      </c>
      <c r="AD127" s="6">
        <f>IF((D124&lt;&gt;"")*(D128=""),IF((D124&lt;=$B$443)*((D125&gt;=$C$443)+(D125&lt;2/24)),1,0),0)</f>
        <v>0</v>
      </c>
      <c r="AE127" s="6">
        <f>IF((E124&lt;&gt;"")*(E128=""),IF((E124&lt;=$B$443)*((E125&gt;=$C$443)+(E125&lt;2/24)),1,0),0)</f>
        <v>0</v>
      </c>
      <c r="AF127" s="6">
        <f>IF((F124&lt;&gt;"")*(F128=""),IF((F124&lt;=$B$443)*((F125&gt;=$C$443)+(F125&lt;2/24)),1,0),0)</f>
        <v>0</v>
      </c>
      <c r="AG127" s="6">
        <f>IF((G124&lt;&gt;"")*(G128=""),IF((G124&lt;=$B$443)*((G125&gt;=$C$443)+(G125&lt;2/24)),1,0),0)</f>
        <v>0</v>
      </c>
      <c r="AH127" s="6">
        <f>IF((H124&lt;&gt;"")*(H128=""),IF((H124&lt;=$B$443)*((H125&gt;=$C$443)+(H125&lt;2/24)),1,0),0)</f>
        <v>0</v>
      </c>
      <c r="AI127" s="6">
        <f>IF((I124&lt;&gt;"")*(I128=""),IF((I124&lt;=$B$443)*((I125&gt;=$C$443)+(I125&lt;2/24)),1,0),0)</f>
        <v>0</v>
      </c>
      <c r="AJ127" s="6">
        <f>IF((J124&lt;&gt;"")*(J128=""),IF((J124&lt;=$B$443)*((J125&gt;=$C$443)+(J125&lt;2/24)),1,0),0)</f>
        <v>0</v>
      </c>
    </row>
    <row r="128" spans="1:36" ht="13.5" hidden="1" thickBot="1" x14ac:dyDescent="0.25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  <c r="N128" s="6"/>
      <c r="O128" s="6"/>
      <c r="P128" s="6"/>
      <c r="Q128" s="6"/>
      <c r="R128" s="6"/>
      <c r="S128" s="6"/>
      <c r="T128" s="6"/>
      <c r="U128" s="6"/>
      <c r="V128" s="20"/>
      <c r="W128" s="20"/>
      <c r="X128" s="20"/>
      <c r="Y128" s="20"/>
      <c r="Z128" s="20"/>
      <c r="AA128" s="20"/>
      <c r="AB128" s="20"/>
      <c r="AD128" s="6">
        <f>IF((D124&lt;&gt;"")*(D128=""),IF((D124&lt;=$B$444)*((D125&gt;=$C$444)+(D125&lt;2/24)),1,0),0)</f>
        <v>0</v>
      </c>
      <c r="AE128" s="6">
        <f>IF((E124&lt;&gt;"")*(E128=""),IF((E124&lt;=$B$444)*((E125&gt;=$C$444)+(E125&lt;2/24)),1,0),0)</f>
        <v>0</v>
      </c>
      <c r="AF128" s="6">
        <f>IF((F124&lt;&gt;"")*(F128=""),IF((F124&lt;=$B$444)*((F125&gt;=$C$444)+(F125&lt;2/24)),1,0),0)</f>
        <v>0</v>
      </c>
      <c r="AG128" s="6">
        <f>IF((G124&lt;&gt;"")*(G128=""),IF((G124&lt;=$B$444)*((G125&gt;=$C$444)+(G125&lt;2/24)),1,0),0)</f>
        <v>0</v>
      </c>
      <c r="AH128" s="6">
        <f>IF((H124&lt;&gt;"")*(H128=""),IF((H124&lt;=$B$444)*((H125&gt;=$C$444)+(H125&lt;2/24)),1,0),0)</f>
        <v>0</v>
      </c>
      <c r="AI128" s="6">
        <f>IF((I124&lt;&gt;"")*(I128=""),IF((I124&lt;=$B$444)*((I125&gt;=$C$444)+(I125&lt;2/24)),1,0),0)</f>
        <v>0</v>
      </c>
      <c r="AJ128" s="6">
        <f>IF((J124&lt;&gt;"")*(J128=""),IF((J124&lt;=$B$444)*((J125&gt;=$C$444)+(J125&lt;2/24)),1,0),0)</f>
        <v>0</v>
      </c>
    </row>
    <row r="129" spans="1:36" ht="13.5" hidden="1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  <c r="L129" s="6"/>
      <c r="M129" s="25"/>
      <c r="N129" s="6"/>
      <c r="O129" s="6"/>
      <c r="P129" s="6"/>
      <c r="Q129" s="6"/>
      <c r="R129" s="6"/>
      <c r="S129" s="6"/>
      <c r="T129" s="6"/>
      <c r="U129" s="6"/>
      <c r="V129" s="20"/>
      <c r="W129" s="20"/>
      <c r="X129" s="20"/>
      <c r="Y129" s="20"/>
      <c r="Z129" s="20"/>
      <c r="AA129" s="20"/>
      <c r="AB129" s="20"/>
      <c r="AD129" s="6"/>
      <c r="AE129" s="6"/>
      <c r="AF129" s="6"/>
      <c r="AG129" s="6"/>
      <c r="AH129" s="6"/>
      <c r="AI129" s="6"/>
      <c r="AJ129" s="6"/>
    </row>
    <row r="130" spans="1:36" ht="13.5" hidden="1" thickBot="1" x14ac:dyDescent="0.25">
      <c r="A130" s="37" t="s">
        <v>29</v>
      </c>
      <c r="B130" s="38" t="s">
        <v>30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D130" s="6">
        <f>IF((D130&lt;&gt;"")*(D134=""),IF((D130&lt;=$B$440)*((D131&gt;=$C$440)+(D131&lt;2/24)),1,0),0)</f>
        <v>0</v>
      </c>
      <c r="AE130" s="6">
        <f>IF((E130&lt;&gt;"")*(E134=""),IF((E130&lt;=$B$440)*((E131&gt;=$C$440)+(E131&lt;2/24)),1,0),0)</f>
        <v>0</v>
      </c>
      <c r="AF130" s="6">
        <f>IF((F130&lt;&gt;"")*(F134=""),IF((F130&lt;=$B$440)*((F131&gt;=$C$440)+(F131&lt;2/24)),1,0),0)</f>
        <v>0</v>
      </c>
      <c r="AG130" s="6">
        <f>IF((G130&lt;&gt;"")*(G134=""),IF((G130&lt;=$B$440)*((G131&gt;=$C$440)+(G131&lt;2/24)),1,0),0)</f>
        <v>0</v>
      </c>
      <c r="AH130" s="6">
        <f>IF((H130&lt;&gt;"")*(H134=""),IF((H130&lt;=$B$440)*((H131&gt;=$C$440)+(H131&lt;2/24)),1,0),0)</f>
        <v>0</v>
      </c>
      <c r="AI130" s="6">
        <f>IF((I130&lt;&gt;"")*(I134=""),IF((I130&lt;=$B$440)*((I131&gt;=$C$440)+(I131&lt;2/24)),1,0),0)</f>
        <v>0</v>
      </c>
      <c r="AJ130" s="6">
        <f>IF((J130&lt;&gt;"")*(J134=""),IF((J130&lt;=$B$440)*((J131&gt;=$C$440)+(J131&lt;2/24)),1,0),0)</f>
        <v>0</v>
      </c>
    </row>
    <row r="131" spans="1:36" ht="13.5" hidden="1" thickBot="1" x14ac:dyDescent="0.25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D131" s="6">
        <f>IF((D130&lt;&gt;"")*(D134=""),IF((D130&lt;=$B$441)*((D131&gt;=$C$441)+(D131&lt;2/24)),1,0),0)</f>
        <v>0</v>
      </c>
      <c r="AE131" s="6">
        <f>IF((E130&lt;&gt;"")*(E134=""),IF((E130&lt;=$B$441)*((E131&gt;=$C$441)+(E131&lt;2/24)),1,0),0)</f>
        <v>0</v>
      </c>
      <c r="AF131" s="6">
        <f>IF((F130&lt;&gt;"")*(F134=""),IF((F130&lt;=$B$441)*((F131&gt;=$C$441)+(F131&lt;2/24)),1,0),0)</f>
        <v>0</v>
      </c>
      <c r="AG131" s="6">
        <f>IF((G130&lt;&gt;"")*(G134=""),IF((G130&lt;=$B$441)*((G131&gt;=$C$441)+(G131&lt;2/24)),1,0),0)</f>
        <v>0</v>
      </c>
      <c r="AH131" s="6">
        <f>IF((H130&lt;&gt;"")*(H134=""),IF((H130&lt;=$B$441)*((H131&gt;=$C$441)+(H131&lt;2/24)),1,0),0)</f>
        <v>0</v>
      </c>
      <c r="AI131" s="6">
        <f>IF((I130&lt;&gt;"")*(I134=""),IF((I130&lt;=$B$441)*((I131&gt;=$C$441)+(I131&lt;2/24)),1,0),0)</f>
        <v>0</v>
      </c>
      <c r="AJ131" s="6">
        <f>IF((J130&lt;&gt;"")*(J134=""),IF((J130&lt;=$B$441)*((J131&gt;=$C$441)+(J131&lt;2/24)),1,0),0)</f>
        <v>0</v>
      </c>
    </row>
    <row r="132" spans="1:36" ht="13.5" hidden="1" thickBot="1" x14ac:dyDescent="0.25">
      <c r="A132" s="39"/>
      <c r="B132" s="40"/>
      <c r="C132" s="15" t="s">
        <v>2</v>
      </c>
      <c r="D132" s="4"/>
      <c r="E132" s="4"/>
      <c r="F132" s="4"/>
      <c r="G132" s="4"/>
      <c r="H132" s="4"/>
      <c r="I132" s="4"/>
      <c r="J132" s="4"/>
      <c r="K132" s="17"/>
      <c r="L132" s="6"/>
      <c r="M132" s="21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D132" s="6">
        <f>IF((D130&lt;&gt;"")*(D134=""),IF((D130&lt;=$B$442)*((D131&gt;=$C$442)+(D131&lt;2/24)),1,0),0)</f>
        <v>0</v>
      </c>
      <c r="AE132" s="6">
        <f>IF((E130&lt;&gt;"")*(E134=""),IF((E130&lt;=$B$442)*((E131&gt;=$C$442)+(E131&lt;2/24)),1,0),0)</f>
        <v>0</v>
      </c>
      <c r="AF132" s="6">
        <f>IF((F130&lt;&gt;"")*(F134=""),IF((F130&lt;=$B$442)*((F131&gt;=$C$442)+(F131&lt;2/24)),1,0),0)</f>
        <v>0</v>
      </c>
      <c r="AG132" s="6">
        <f>IF((G130&lt;&gt;"")*(G134=""),IF((G130&lt;=$B$442)*((G131&gt;=$C$442)+(G131&lt;2/24)),1,0),0)</f>
        <v>0</v>
      </c>
      <c r="AH132" s="6">
        <f>IF((H130&lt;&gt;"")*(H134=""),IF((H130&lt;=$B$442)*((H131&gt;=$C$442)+(H131&lt;2/24)),1,0),0)</f>
        <v>0</v>
      </c>
      <c r="AI132" s="6">
        <f>IF((I130&lt;&gt;"")*(I134=""),IF((I130&lt;=$B$442)*((I131&gt;=$C$442)+(I131&lt;2/24)),1,0),0)</f>
        <v>0</v>
      </c>
      <c r="AJ132" s="6">
        <f>IF((J130&lt;&gt;"")*(J134=""),IF((J130&lt;=$B$442)*((J131&gt;=$C$442)+(J131&lt;2/24)),1,0),0)</f>
        <v>0</v>
      </c>
    </row>
    <row r="133" spans="1:36" ht="13.5" hidden="1" thickBot="1" x14ac:dyDescent="0.25">
      <c r="A133" s="39"/>
      <c r="B133" s="40"/>
      <c r="C133" s="15" t="s">
        <v>3</v>
      </c>
      <c r="D133" s="43"/>
      <c r="E133" s="43"/>
      <c r="F133" s="43"/>
      <c r="G133" s="43"/>
      <c r="H133" s="43"/>
      <c r="I133" s="43"/>
      <c r="J133" s="44"/>
      <c r="K133" s="18">
        <f>SUMIF(D134:J134,"",D133:J133)</f>
        <v>0</v>
      </c>
      <c r="L133" s="12">
        <f>SUM(D133:J133)</f>
        <v>0</v>
      </c>
      <c r="M133" s="24"/>
      <c r="N133" s="10">
        <f>IF(D134="",D133,0)</f>
        <v>0</v>
      </c>
      <c r="O133" s="10">
        <f>IF(E134="",E133,0)</f>
        <v>0</v>
      </c>
      <c r="P133" s="10">
        <f t="shared" ref="P133:T133" si="42">IF(F134="",F133,0)</f>
        <v>0</v>
      </c>
      <c r="Q133" s="10">
        <f t="shared" si="42"/>
        <v>0</v>
      </c>
      <c r="R133" s="10">
        <f t="shared" si="42"/>
        <v>0</v>
      </c>
      <c r="S133" s="10">
        <f t="shared" si="42"/>
        <v>0</v>
      </c>
      <c r="T133" s="10">
        <f t="shared" si="42"/>
        <v>0</v>
      </c>
      <c r="U133" s="10"/>
      <c r="V133" s="10">
        <f>D133</f>
        <v>0</v>
      </c>
      <c r="W133" s="10">
        <f>E133</f>
        <v>0</v>
      </c>
      <c r="X133" s="10">
        <f t="shared" ref="X133:AB133" si="43">F133</f>
        <v>0</v>
      </c>
      <c r="Y133" s="10">
        <f t="shared" si="43"/>
        <v>0</v>
      </c>
      <c r="Z133" s="10">
        <f t="shared" si="43"/>
        <v>0</v>
      </c>
      <c r="AA133" s="10">
        <f t="shared" si="43"/>
        <v>0</v>
      </c>
      <c r="AB133" s="10">
        <f t="shared" si="43"/>
        <v>0</v>
      </c>
      <c r="AD133" s="6">
        <f>IF((D130&lt;&gt;"")*(D134=""),IF((D130&lt;=$B$443)*((D131&gt;=$C$443)+(D131&lt;2/24)),1,0),0)</f>
        <v>0</v>
      </c>
      <c r="AE133" s="6">
        <f>IF((E130&lt;&gt;"")*(E134=""),IF((E130&lt;=$B$443)*((E131&gt;=$C$443)+(E131&lt;2/24)),1,0),0)</f>
        <v>0</v>
      </c>
      <c r="AF133" s="6">
        <f>IF((F130&lt;&gt;"")*(F134=""),IF((F130&lt;=$B$443)*((F131&gt;=$C$443)+(F131&lt;2/24)),1,0),0)</f>
        <v>0</v>
      </c>
      <c r="AG133" s="6">
        <f>IF((G130&lt;&gt;"")*(G134=""),IF((G130&lt;=$B$443)*((G131&gt;=$C$443)+(G131&lt;2/24)),1,0),0)</f>
        <v>0</v>
      </c>
      <c r="AH133" s="6">
        <f>IF((H130&lt;&gt;"")*(H134=""),IF((H130&lt;=$B$443)*((H131&gt;=$C$443)+(H131&lt;2/24)),1,0),0)</f>
        <v>0</v>
      </c>
      <c r="AI133" s="6">
        <f>IF((I130&lt;&gt;"")*(I134=""),IF((I130&lt;=$B$443)*((I131&gt;=$C$443)+(I131&lt;2/24)),1,0),0)</f>
        <v>0</v>
      </c>
      <c r="AJ133" s="6">
        <f>IF((J130&lt;&gt;"")*(J134=""),IF((J130&lt;=$B$443)*((J131&gt;=$C$443)+(J131&lt;2/24)),1,0),0)</f>
        <v>0</v>
      </c>
    </row>
    <row r="134" spans="1:36" ht="13.5" hidden="1" thickBot="1" x14ac:dyDescent="0.25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  <c r="N134" s="6"/>
      <c r="O134" s="6"/>
      <c r="P134" s="6"/>
      <c r="Q134" s="6"/>
      <c r="R134" s="6"/>
      <c r="S134" s="6"/>
      <c r="T134" s="6"/>
      <c r="U134" s="6"/>
      <c r="V134" s="20"/>
      <c r="W134" s="20"/>
      <c r="X134" s="20"/>
      <c r="Y134" s="20"/>
      <c r="Z134" s="20"/>
      <c r="AA134" s="20"/>
      <c r="AB134" s="20"/>
      <c r="AD134" s="6">
        <f>IF((D130&lt;&gt;"")*(D134=""),IF((D130&lt;=$B$444)*((D131&gt;=$C$444)+(D131&lt;2/24)),1,0),0)</f>
        <v>0</v>
      </c>
      <c r="AE134" s="6">
        <f>IF((E130&lt;&gt;"")*(E134=""),IF((E130&lt;=$B$444)*((E131&gt;=$C$444)+(E131&lt;2/24)),1,0),0)</f>
        <v>0</v>
      </c>
      <c r="AF134" s="6">
        <f>IF((F130&lt;&gt;"")*(F134=""),IF((F130&lt;=$B$444)*((F131&gt;=$C$444)+(F131&lt;2/24)),1,0),0)</f>
        <v>0</v>
      </c>
      <c r="AG134" s="6">
        <f>IF((G130&lt;&gt;"")*(G134=""),IF((G130&lt;=$B$444)*((G131&gt;=$C$444)+(G131&lt;2/24)),1,0),0)</f>
        <v>0</v>
      </c>
      <c r="AH134" s="6">
        <f>IF((H130&lt;&gt;"")*(H134=""),IF((H130&lt;=$B$444)*((H131&gt;=$C$444)+(H131&lt;2/24)),1,0),0)</f>
        <v>0</v>
      </c>
      <c r="AI134" s="6">
        <f>IF((I130&lt;&gt;"")*(I134=""),IF((I130&lt;=$B$444)*((I131&gt;=$C$444)+(I131&lt;2/24)),1,0),0)</f>
        <v>0</v>
      </c>
      <c r="AJ134" s="6">
        <f>IF((J130&lt;&gt;"")*(J134=""),IF((J130&lt;=$B$444)*((J131&gt;=$C$444)+(J131&lt;2/24)),1,0),0)</f>
        <v>0</v>
      </c>
    </row>
    <row r="135" spans="1:36" ht="13.5" hidden="1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  <c r="N135" s="6"/>
      <c r="O135" s="6"/>
      <c r="P135" s="6"/>
      <c r="Q135" s="6"/>
      <c r="R135" s="6"/>
      <c r="S135" s="6"/>
      <c r="T135" s="6"/>
      <c r="U135" s="6"/>
      <c r="V135" s="20"/>
      <c r="W135" s="20"/>
      <c r="X135" s="20"/>
      <c r="Y135" s="20"/>
      <c r="Z135" s="20"/>
      <c r="AA135" s="20"/>
      <c r="AB135" s="20"/>
      <c r="AD135" s="6"/>
      <c r="AE135" s="6"/>
      <c r="AF135" s="6"/>
      <c r="AG135" s="6"/>
      <c r="AH135" s="6"/>
      <c r="AI135" s="6"/>
      <c r="AJ135" s="6"/>
    </row>
    <row r="136" spans="1:36" ht="13.5" hidden="1" thickBot="1" x14ac:dyDescent="0.25">
      <c r="A136" s="37" t="s">
        <v>29</v>
      </c>
      <c r="B136" s="38" t="s">
        <v>30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  <c r="L136" s="6"/>
      <c r="M136" s="21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D136" s="6">
        <f>IF((D136&lt;&gt;"")*(D140=""),IF((D136&lt;=$B$440)*((D137&gt;=$C$440)+(D137&lt;2/24)),1,0),0)</f>
        <v>0</v>
      </c>
      <c r="AE136" s="6">
        <f>IF((E136&lt;&gt;"")*(E140=""),IF((E136&lt;=$B$440)*((E137&gt;=$C$440)+(E137&lt;2/24)),1,0),0)</f>
        <v>0</v>
      </c>
      <c r="AF136" s="6">
        <f>IF((F136&lt;&gt;"")*(F140=""),IF((F136&lt;=$B$440)*((F137&gt;=$C$440)+(F137&lt;2/24)),1,0),0)</f>
        <v>0</v>
      </c>
      <c r="AG136" s="6">
        <f>IF((G136&lt;&gt;"")*(G140=""),IF((G136&lt;=$B$440)*((G137&gt;=$C$440)+(G137&lt;2/24)),1,0),0)</f>
        <v>0</v>
      </c>
      <c r="AH136" s="6">
        <f>IF((H136&lt;&gt;"")*(H140=""),IF((H136&lt;=$B$440)*((H137&gt;=$C$440)+(H137&lt;2/24)),1,0),0)</f>
        <v>0</v>
      </c>
      <c r="AI136" s="6">
        <f>IF((I136&lt;&gt;"")*(I140=""),IF((I136&lt;=$B$440)*((I137&gt;=$C$440)+(I137&lt;2/24)),1,0),0)</f>
        <v>0</v>
      </c>
      <c r="AJ136" s="6">
        <f>IF((J136&lt;&gt;"")*(J140=""),IF((J136&lt;=$B$440)*((J137&gt;=$C$440)+(J137&lt;2/24)),1,0),0)</f>
        <v>0</v>
      </c>
    </row>
    <row r="137" spans="1:36" ht="13.5" hidden="1" thickBot="1" x14ac:dyDescent="0.25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  <c r="L137" s="6"/>
      <c r="M137" s="21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D137" s="6">
        <f>IF((D136&lt;&gt;"")*(D140=""),IF((D136&lt;=$B$441)*((D137&gt;=$C$441)+(D137&lt;2/24)),1,0),0)</f>
        <v>0</v>
      </c>
      <c r="AE137" s="6">
        <f>IF((E136&lt;&gt;"")*(E140=""),IF((E136&lt;=$B$441)*((E137&gt;=$C$441)+(E137&lt;2/24)),1,0),0)</f>
        <v>0</v>
      </c>
      <c r="AF137" s="6">
        <f>IF((F136&lt;&gt;"")*(F140=""),IF((F136&lt;=$B$441)*((F137&gt;=$C$441)+(F137&lt;2/24)),1,0),0)</f>
        <v>0</v>
      </c>
      <c r="AG137" s="6">
        <f>IF((G136&lt;&gt;"")*(G140=""),IF((G136&lt;=$B$441)*((G137&gt;=$C$441)+(G137&lt;2/24)),1,0),0)</f>
        <v>0</v>
      </c>
      <c r="AH137" s="6">
        <f>IF((H136&lt;&gt;"")*(H140=""),IF((H136&lt;=$B$441)*((H137&gt;=$C$441)+(H137&lt;2/24)),1,0),0)</f>
        <v>0</v>
      </c>
      <c r="AI137" s="6">
        <f>IF((I136&lt;&gt;"")*(I140=""),IF((I136&lt;=$B$441)*((I137&gt;=$C$441)+(I137&lt;2/24)),1,0),0)</f>
        <v>0</v>
      </c>
      <c r="AJ137" s="6">
        <f>IF((J136&lt;&gt;"")*(J140=""),IF((J136&lt;=$B$441)*((J137&gt;=$C$441)+(J137&lt;2/24)),1,0),0)</f>
        <v>0</v>
      </c>
    </row>
    <row r="138" spans="1:36" ht="13.5" hidden="1" thickBot="1" x14ac:dyDescent="0.25">
      <c r="A138" s="39"/>
      <c r="B138" s="40"/>
      <c r="C138" s="15" t="s">
        <v>2</v>
      </c>
      <c r="D138" s="4"/>
      <c r="E138" s="4"/>
      <c r="F138" s="4"/>
      <c r="G138" s="4"/>
      <c r="H138" s="4"/>
      <c r="I138" s="4"/>
      <c r="J138" s="4"/>
      <c r="K138" s="17"/>
      <c r="L138" s="6"/>
      <c r="M138" s="21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D138" s="6">
        <f>IF((D136&lt;&gt;"")*(D140=""),IF((D136&lt;=$B$442)*((D137&gt;=$C$442)+(D137&lt;2/24)),1,0),0)</f>
        <v>0</v>
      </c>
      <c r="AE138" s="6">
        <f>IF((E136&lt;&gt;"")*(E140=""),IF((E136&lt;=$B$442)*((E137&gt;=$C$442)+(E137&lt;2/24)),1,0),0)</f>
        <v>0</v>
      </c>
      <c r="AF138" s="6">
        <f>IF((F136&lt;&gt;"")*(F140=""),IF((F136&lt;=$B$442)*((F137&gt;=$C$442)+(F137&lt;2/24)),1,0),0)</f>
        <v>0</v>
      </c>
      <c r="AG138" s="6">
        <f>IF((G136&lt;&gt;"")*(G140=""),IF((G136&lt;=$B$442)*((G137&gt;=$C$442)+(G137&lt;2/24)),1,0),0)</f>
        <v>0</v>
      </c>
      <c r="AH138" s="6">
        <f>IF((H136&lt;&gt;"")*(H140=""),IF((H136&lt;=$B$442)*((H137&gt;=$C$442)+(H137&lt;2/24)),1,0),0)</f>
        <v>0</v>
      </c>
      <c r="AI138" s="6">
        <f>IF((I136&lt;&gt;"")*(I140=""),IF((I136&lt;=$B$442)*((I137&gt;=$C$442)+(I137&lt;2/24)),1,0),0)</f>
        <v>0</v>
      </c>
      <c r="AJ138" s="6">
        <f>IF((J136&lt;&gt;"")*(J140=""),IF((J136&lt;=$B$442)*((J137&gt;=$C$442)+(J137&lt;2/24)),1,0),0)</f>
        <v>0</v>
      </c>
    </row>
    <row r="139" spans="1:36" ht="13.5" hidden="1" thickBot="1" x14ac:dyDescent="0.25">
      <c r="A139" s="39"/>
      <c r="B139" s="40"/>
      <c r="C139" s="15" t="s">
        <v>3</v>
      </c>
      <c r="D139" s="43"/>
      <c r="E139" s="43"/>
      <c r="F139" s="43"/>
      <c r="G139" s="43"/>
      <c r="H139" s="43"/>
      <c r="I139" s="43"/>
      <c r="J139" s="44"/>
      <c r="K139" s="18">
        <f>SUMIF(D140:J140,"",D139:J139)</f>
        <v>0</v>
      </c>
      <c r="L139" s="12">
        <f>SUM(D139:J139)</f>
        <v>0</v>
      </c>
      <c r="M139" s="24"/>
      <c r="N139" s="10">
        <f>IF(D140="",D139,0)</f>
        <v>0</v>
      </c>
      <c r="O139" s="10">
        <f>IF(E140="",E139,0)</f>
        <v>0</v>
      </c>
      <c r="P139" s="10">
        <f t="shared" ref="P139:T139" si="44">IF(F140="",F139,0)</f>
        <v>0</v>
      </c>
      <c r="Q139" s="10">
        <f t="shared" si="44"/>
        <v>0</v>
      </c>
      <c r="R139" s="10">
        <f t="shared" si="44"/>
        <v>0</v>
      </c>
      <c r="S139" s="10">
        <f t="shared" si="44"/>
        <v>0</v>
      </c>
      <c r="T139" s="10">
        <f t="shared" si="44"/>
        <v>0</v>
      </c>
      <c r="U139" s="10"/>
      <c r="V139" s="10">
        <f>D139</f>
        <v>0</v>
      </c>
      <c r="W139" s="10">
        <f>E139</f>
        <v>0</v>
      </c>
      <c r="X139" s="10">
        <f t="shared" ref="X139:AB139" si="45">F139</f>
        <v>0</v>
      </c>
      <c r="Y139" s="10">
        <f t="shared" si="45"/>
        <v>0</v>
      </c>
      <c r="Z139" s="10">
        <f t="shared" si="45"/>
        <v>0</v>
      </c>
      <c r="AA139" s="10">
        <f t="shared" si="45"/>
        <v>0</v>
      </c>
      <c r="AB139" s="10">
        <f t="shared" si="45"/>
        <v>0</v>
      </c>
      <c r="AD139" s="6">
        <f>IF((D136&lt;&gt;"")*(D140=""),IF((D136&lt;=$B$443)*((D137&gt;=$C$443)+(D137&lt;2/24)),1,0),0)</f>
        <v>0</v>
      </c>
      <c r="AE139" s="6">
        <f>IF((E136&lt;&gt;"")*(E140=""),IF((E136&lt;=$B$443)*((E137&gt;=$C$443)+(E137&lt;2/24)),1,0),0)</f>
        <v>0</v>
      </c>
      <c r="AF139" s="6">
        <f>IF((F136&lt;&gt;"")*(F140=""),IF((F136&lt;=$B$443)*((F137&gt;=$C$443)+(F137&lt;2/24)),1,0),0)</f>
        <v>0</v>
      </c>
      <c r="AG139" s="6">
        <f>IF((G136&lt;&gt;"")*(G140=""),IF((G136&lt;=$B$443)*((G137&gt;=$C$443)+(G137&lt;2/24)),1,0),0)</f>
        <v>0</v>
      </c>
      <c r="AH139" s="6">
        <f>IF((H136&lt;&gt;"")*(H140=""),IF((H136&lt;=$B$443)*((H137&gt;=$C$443)+(H137&lt;2/24)),1,0),0)</f>
        <v>0</v>
      </c>
      <c r="AI139" s="6">
        <f>IF((I136&lt;&gt;"")*(I140=""),IF((I136&lt;=$B$443)*((I137&gt;=$C$443)+(I137&lt;2/24)),1,0),0)</f>
        <v>0</v>
      </c>
      <c r="AJ139" s="6">
        <f>IF((J136&lt;&gt;"")*(J140=""),IF((J136&lt;=$B$443)*((J137&gt;=$C$443)+(J137&lt;2/24)),1,0),0)</f>
        <v>0</v>
      </c>
    </row>
    <row r="140" spans="1:36" ht="13.5" hidden="1" thickBot="1" x14ac:dyDescent="0.25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  <c r="N140" s="6"/>
      <c r="O140" s="6"/>
      <c r="P140" s="6"/>
      <c r="Q140" s="6"/>
      <c r="R140" s="6"/>
      <c r="S140" s="6"/>
      <c r="T140" s="6"/>
      <c r="U140" s="6"/>
      <c r="V140" s="20"/>
      <c r="W140" s="20"/>
      <c r="X140" s="20"/>
      <c r="Y140" s="20"/>
      <c r="Z140" s="20"/>
      <c r="AA140" s="20"/>
      <c r="AB140" s="20"/>
      <c r="AD140" s="6">
        <f>IF((D136&lt;&gt;"")*(D140=""),IF((D136&lt;=$B$444)*((D137&gt;=$C$444)+(D137&lt;2/24)),1,0),0)</f>
        <v>0</v>
      </c>
      <c r="AE140" s="6">
        <f>IF((E136&lt;&gt;"")*(E140=""),IF((E136&lt;=$B$444)*((E137&gt;=$C$444)+(E137&lt;2/24)),1,0),0)</f>
        <v>0</v>
      </c>
      <c r="AF140" s="6">
        <f>IF((F136&lt;&gt;"")*(F140=""),IF((F136&lt;=$B$444)*((F137&gt;=$C$444)+(F137&lt;2/24)),1,0),0)</f>
        <v>0</v>
      </c>
      <c r="AG140" s="6">
        <f>IF((G136&lt;&gt;"")*(G140=""),IF((G136&lt;=$B$444)*((G137&gt;=$C$444)+(G137&lt;2/24)),1,0),0)</f>
        <v>0</v>
      </c>
      <c r="AH140" s="6">
        <f>IF((H136&lt;&gt;"")*(H140=""),IF((H136&lt;=$B$444)*((H137&gt;=$C$444)+(H137&lt;2/24)),1,0),0)</f>
        <v>0</v>
      </c>
      <c r="AI140" s="6">
        <f>IF((I136&lt;&gt;"")*(I140=""),IF((I136&lt;=$B$444)*((I137&gt;=$C$444)+(I137&lt;2/24)),1,0),0)</f>
        <v>0</v>
      </c>
      <c r="AJ140" s="6">
        <f>IF((J136&lt;&gt;"")*(J140=""),IF((J136&lt;=$B$444)*((J137&gt;=$C$444)+(J137&lt;2/24)),1,0),0)</f>
        <v>0</v>
      </c>
    </row>
    <row r="141" spans="1:36" ht="13.5" hidden="1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  <c r="N141" s="6"/>
      <c r="O141" s="6"/>
      <c r="P141" s="6"/>
      <c r="Q141" s="6"/>
      <c r="R141" s="6"/>
      <c r="S141" s="6"/>
      <c r="T141" s="6"/>
      <c r="U141" s="6"/>
      <c r="V141" s="20"/>
      <c r="W141" s="20"/>
      <c r="X141" s="20"/>
      <c r="Y141" s="20"/>
      <c r="Z141" s="20"/>
      <c r="AA141" s="20"/>
      <c r="AB141" s="20"/>
      <c r="AD141" s="6"/>
      <c r="AE141" s="6"/>
      <c r="AF141" s="6"/>
      <c r="AG141" s="6"/>
      <c r="AH141" s="6"/>
      <c r="AI141" s="6"/>
      <c r="AJ141" s="6"/>
    </row>
    <row r="142" spans="1:36" ht="13.5" hidden="1" thickBot="1" x14ac:dyDescent="0.25">
      <c r="A142" s="37" t="s">
        <v>29</v>
      </c>
      <c r="B142" s="38" t="s">
        <v>30</v>
      </c>
      <c r="C142" s="14" t="s">
        <v>0</v>
      </c>
      <c r="D142" s="26"/>
      <c r="E142" s="26"/>
      <c r="F142" s="26"/>
      <c r="G142" s="26"/>
      <c r="H142" s="26"/>
      <c r="I142" s="26"/>
      <c r="J142" s="26"/>
      <c r="K142" s="16"/>
      <c r="L142" s="6"/>
      <c r="M142" s="21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D142" s="6">
        <f>IF((D142&lt;&gt;"")*(D146=""),IF((D142&lt;=$B$440)*((D143&gt;=$C$440)+(D143&lt;2/24)),1,0),0)</f>
        <v>0</v>
      </c>
      <c r="AE142" s="6">
        <f>IF((E142&lt;&gt;"")*(E146=""),IF((E142&lt;=$B$440)*((E143&gt;=$C$440)+(E143&lt;2/24)),1,0),0)</f>
        <v>0</v>
      </c>
      <c r="AF142" s="6">
        <f>IF((F142&lt;&gt;"")*(F146=""),IF((F142&lt;=$B$440)*((F143&gt;=$C$440)+(F143&lt;2/24)),1,0),0)</f>
        <v>0</v>
      </c>
      <c r="AG142" s="6">
        <f>IF((G142&lt;&gt;"")*(G146=""),IF((G142&lt;=$B$440)*((G143&gt;=$C$440)+(G143&lt;2/24)),1,0),0)</f>
        <v>0</v>
      </c>
      <c r="AH142" s="6">
        <f>IF((H142&lt;&gt;"")*(H146=""),IF((H142&lt;=$B$440)*((H143&gt;=$C$440)+(H143&lt;2/24)),1,0),0)</f>
        <v>0</v>
      </c>
      <c r="AI142" s="6">
        <f>IF((I142&lt;&gt;"")*(I146=""),IF((I142&lt;=$B$440)*((I143&gt;=$C$440)+(I143&lt;2/24)),1,0),0)</f>
        <v>0</v>
      </c>
      <c r="AJ142" s="6">
        <f>IF((J142&lt;&gt;"")*(J146=""),IF((J142&lt;=$B$440)*((J143&gt;=$C$440)+(J143&lt;2/24)),1,0),0)</f>
        <v>0</v>
      </c>
    </row>
    <row r="143" spans="1:36" ht="13.5" hidden="1" thickBot="1" x14ac:dyDescent="0.25">
      <c r="A143" s="39"/>
      <c r="B143" s="40"/>
      <c r="C143" s="15" t="s">
        <v>1</v>
      </c>
      <c r="D143" s="27"/>
      <c r="E143" s="27"/>
      <c r="F143" s="27"/>
      <c r="G143" s="27"/>
      <c r="H143" s="27"/>
      <c r="I143" s="27"/>
      <c r="J143" s="27"/>
      <c r="K143" s="17"/>
      <c r="L143" s="6"/>
      <c r="M143" s="21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D143" s="6">
        <f>IF((D142&lt;&gt;"")*(D146=""),IF((D142&lt;=$B$441)*((D143&gt;=$C$441)+(D143&lt;2/24)),1,0),0)</f>
        <v>0</v>
      </c>
      <c r="AE143" s="6">
        <f>IF((E142&lt;&gt;"")*(E146=""),IF((E142&lt;=$B$441)*((E143&gt;=$C$441)+(E143&lt;2/24)),1,0),0)</f>
        <v>0</v>
      </c>
      <c r="AF143" s="6">
        <f>IF((F142&lt;&gt;"")*(F146=""),IF((F142&lt;=$B$441)*((F143&gt;=$C$441)+(F143&lt;2/24)),1,0),0)</f>
        <v>0</v>
      </c>
      <c r="AG143" s="6">
        <f>IF((G142&lt;&gt;"")*(G146=""),IF((G142&lt;=$B$441)*((G143&gt;=$C$441)+(G143&lt;2/24)),1,0),0)</f>
        <v>0</v>
      </c>
      <c r="AH143" s="6">
        <f>IF((H142&lt;&gt;"")*(H146=""),IF((H142&lt;=$B$441)*((H143&gt;=$C$441)+(H143&lt;2/24)),1,0),0)</f>
        <v>0</v>
      </c>
      <c r="AI143" s="6">
        <f>IF((I142&lt;&gt;"")*(I146=""),IF((I142&lt;=$B$441)*((I143&gt;=$C$441)+(I143&lt;2/24)),1,0),0)</f>
        <v>0</v>
      </c>
      <c r="AJ143" s="6">
        <f>IF((J142&lt;&gt;"")*(J146=""),IF((J142&lt;=$B$441)*((J143&gt;=$C$441)+(J143&lt;2/24)),1,0),0)</f>
        <v>0</v>
      </c>
    </row>
    <row r="144" spans="1:36" ht="13.5" hidden="1" thickBot="1" x14ac:dyDescent="0.25">
      <c r="A144" s="39"/>
      <c r="B144" s="40"/>
      <c r="C144" s="15" t="s">
        <v>2</v>
      </c>
      <c r="D144" s="4"/>
      <c r="E144" s="4"/>
      <c r="F144" s="4"/>
      <c r="G144" s="4"/>
      <c r="H144" s="4"/>
      <c r="I144" s="4"/>
      <c r="J144" s="4"/>
      <c r="K144" s="17"/>
      <c r="L144" s="6"/>
      <c r="M144" s="21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D144" s="6">
        <f>IF((D142&lt;&gt;"")*(D146=""),IF((D142&lt;=$B$442)*((D143&gt;=$C$442)+(D143&lt;2/24)),1,0),0)</f>
        <v>0</v>
      </c>
      <c r="AE144" s="6">
        <f>IF((E142&lt;&gt;"")*(E146=""),IF((E142&lt;=$B$442)*((E143&gt;=$C$442)+(E143&lt;2/24)),1,0),0)</f>
        <v>0</v>
      </c>
      <c r="AF144" s="6">
        <f>IF((F142&lt;&gt;"")*(F146=""),IF((F142&lt;=$B$442)*((F143&gt;=$C$442)+(F143&lt;2/24)),1,0),0)</f>
        <v>0</v>
      </c>
      <c r="AG144" s="6">
        <f>IF((G142&lt;&gt;"")*(G146=""),IF((G142&lt;=$B$442)*((G143&gt;=$C$442)+(G143&lt;2/24)),1,0),0)</f>
        <v>0</v>
      </c>
      <c r="AH144" s="6">
        <f>IF((H142&lt;&gt;"")*(H146=""),IF((H142&lt;=$B$442)*((H143&gt;=$C$442)+(H143&lt;2/24)),1,0),0)</f>
        <v>0</v>
      </c>
      <c r="AI144" s="6">
        <f>IF((I142&lt;&gt;"")*(I146=""),IF((I142&lt;=$B$442)*((I143&gt;=$C$442)+(I143&lt;2/24)),1,0),0)</f>
        <v>0</v>
      </c>
      <c r="AJ144" s="6">
        <f>IF((J142&lt;&gt;"")*(J146=""),IF((J142&lt;=$B$442)*((J143&gt;=$C$442)+(J143&lt;2/24)),1,0),0)</f>
        <v>0</v>
      </c>
    </row>
    <row r="145" spans="1:36" ht="13.5" hidden="1" thickBot="1" x14ac:dyDescent="0.25">
      <c r="A145" s="39"/>
      <c r="B145" s="40"/>
      <c r="C145" s="15" t="s">
        <v>3</v>
      </c>
      <c r="D145" s="43"/>
      <c r="E145" s="43"/>
      <c r="F145" s="43"/>
      <c r="G145" s="43"/>
      <c r="H145" s="43"/>
      <c r="I145" s="43"/>
      <c r="J145" s="44"/>
      <c r="K145" s="18">
        <f>SUMIF(D146:J146,"",D145:J145)</f>
        <v>0</v>
      </c>
      <c r="L145" s="12">
        <f>SUM(D145:J145)</f>
        <v>0</v>
      </c>
      <c r="M145" s="24"/>
      <c r="N145" s="10">
        <f>IF(D146="",D145,0)</f>
        <v>0</v>
      </c>
      <c r="O145" s="10">
        <f>IF(E146="",E145,0)</f>
        <v>0</v>
      </c>
      <c r="P145" s="10">
        <f t="shared" ref="P145:T145" si="46">IF(F146="",F145,0)</f>
        <v>0</v>
      </c>
      <c r="Q145" s="10">
        <f t="shared" si="46"/>
        <v>0</v>
      </c>
      <c r="R145" s="10">
        <f t="shared" si="46"/>
        <v>0</v>
      </c>
      <c r="S145" s="10">
        <f t="shared" si="46"/>
        <v>0</v>
      </c>
      <c r="T145" s="10">
        <f t="shared" si="46"/>
        <v>0</v>
      </c>
      <c r="U145" s="10"/>
      <c r="V145" s="10">
        <f>D145</f>
        <v>0</v>
      </c>
      <c r="W145" s="10">
        <f>E145</f>
        <v>0</v>
      </c>
      <c r="X145" s="10">
        <f t="shared" ref="X145:AB145" si="47">F145</f>
        <v>0</v>
      </c>
      <c r="Y145" s="10">
        <f t="shared" si="47"/>
        <v>0</v>
      </c>
      <c r="Z145" s="10">
        <f t="shared" si="47"/>
        <v>0</v>
      </c>
      <c r="AA145" s="10">
        <f t="shared" si="47"/>
        <v>0</v>
      </c>
      <c r="AB145" s="10">
        <f t="shared" si="47"/>
        <v>0</v>
      </c>
      <c r="AD145" s="6">
        <f>IF((D142&lt;&gt;"")*(D146=""),IF((D142&lt;=$B$443)*((D143&gt;=$C$443)+(D143&lt;2/24)),1,0),0)</f>
        <v>0</v>
      </c>
      <c r="AE145" s="6">
        <f>IF((E142&lt;&gt;"")*(E146=""),IF((E142&lt;=$B$443)*((E143&gt;=$C$443)+(E143&lt;2/24)),1,0),0)</f>
        <v>0</v>
      </c>
      <c r="AF145" s="6">
        <f>IF((F142&lt;&gt;"")*(F146=""),IF((F142&lt;=$B$443)*((F143&gt;=$C$443)+(F143&lt;2/24)),1,0),0)</f>
        <v>0</v>
      </c>
      <c r="AG145" s="6">
        <f>IF((G142&lt;&gt;"")*(G146=""),IF((G142&lt;=$B$443)*((G143&gt;=$C$443)+(G143&lt;2/24)),1,0),0)</f>
        <v>0</v>
      </c>
      <c r="AH145" s="6">
        <f>IF((H142&lt;&gt;"")*(H146=""),IF((H142&lt;=$B$443)*((H143&gt;=$C$443)+(H143&lt;2/24)),1,0),0)</f>
        <v>0</v>
      </c>
      <c r="AI145" s="6">
        <f>IF((I142&lt;&gt;"")*(I146=""),IF((I142&lt;=$B$443)*((I143&gt;=$C$443)+(I143&lt;2/24)),1,0),0)</f>
        <v>0</v>
      </c>
      <c r="AJ145" s="6">
        <f>IF((J142&lt;&gt;"")*(J146=""),IF((J142&lt;=$B$443)*((J143&gt;=$C$443)+(J143&lt;2/24)),1,0),0)</f>
        <v>0</v>
      </c>
    </row>
    <row r="146" spans="1:36" ht="13.5" hidden="1" thickBot="1" x14ac:dyDescent="0.25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  <c r="N146" s="6"/>
      <c r="O146" s="6"/>
      <c r="P146" s="6"/>
      <c r="Q146" s="6"/>
      <c r="R146" s="6"/>
      <c r="S146" s="6"/>
      <c r="T146" s="6"/>
      <c r="U146" s="6"/>
      <c r="V146" s="20"/>
      <c r="W146" s="20"/>
      <c r="X146" s="20"/>
      <c r="Y146" s="20"/>
      <c r="Z146" s="20"/>
      <c r="AA146" s="20"/>
      <c r="AB146" s="20"/>
      <c r="AD146" s="6">
        <f>IF((D142&lt;&gt;"")*(D146=""),IF((D142&lt;=$B$444)*((D143&gt;=$C$444)+(D143&lt;2/24)),1,0),0)</f>
        <v>0</v>
      </c>
      <c r="AE146" s="6">
        <f>IF((E142&lt;&gt;"")*(E146=""),IF((E142&lt;=$B$444)*((E143&gt;=$C$444)+(E143&lt;2/24)),1,0),0)</f>
        <v>0</v>
      </c>
      <c r="AF146" s="6">
        <f>IF((F142&lt;&gt;"")*(F146=""),IF((F142&lt;=$B$444)*((F143&gt;=$C$444)+(F143&lt;2/24)),1,0),0)</f>
        <v>0</v>
      </c>
      <c r="AG146" s="6">
        <f>IF((G142&lt;&gt;"")*(G146=""),IF((G142&lt;=$B$444)*((G143&gt;=$C$444)+(G143&lt;2/24)),1,0),0)</f>
        <v>0</v>
      </c>
      <c r="AH146" s="6">
        <f>IF((H142&lt;&gt;"")*(H146=""),IF((H142&lt;=$B$444)*((H143&gt;=$C$444)+(H143&lt;2/24)),1,0),0)</f>
        <v>0</v>
      </c>
      <c r="AI146" s="6">
        <f>IF((I142&lt;&gt;"")*(I146=""),IF((I142&lt;=$B$444)*((I143&gt;=$C$444)+(I143&lt;2/24)),1,0),0)</f>
        <v>0</v>
      </c>
      <c r="AJ146" s="6">
        <f>IF((J142&lt;&gt;"")*(J146=""),IF((J142&lt;=$B$444)*((J143&gt;=$C$444)+(J143&lt;2/24)),1,0),0)</f>
        <v>0</v>
      </c>
    </row>
    <row r="147" spans="1:36" ht="13.5" hidden="1" thickBot="1" x14ac:dyDescent="0.25">
      <c r="A147" s="41"/>
      <c r="B147" s="42"/>
      <c r="C147" s="35" t="s">
        <v>28</v>
      </c>
      <c r="D147" s="36"/>
      <c r="E147" s="36"/>
      <c r="F147" s="36"/>
      <c r="G147" s="36"/>
      <c r="H147" s="36"/>
      <c r="I147" s="36"/>
      <c r="J147" s="36"/>
      <c r="K147" s="34"/>
      <c r="L147" s="6"/>
      <c r="M147" s="25"/>
      <c r="N147" s="6"/>
      <c r="O147" s="6"/>
      <c r="P147" s="6"/>
      <c r="Q147" s="6"/>
      <c r="R147" s="6"/>
      <c r="S147" s="6"/>
      <c r="T147" s="6"/>
      <c r="U147" s="6"/>
      <c r="V147" s="20"/>
      <c r="W147" s="20"/>
      <c r="X147" s="20"/>
      <c r="Y147" s="20"/>
      <c r="Z147" s="20"/>
      <c r="AA147" s="20"/>
      <c r="AB147" s="20"/>
      <c r="AD147" s="6"/>
      <c r="AE147" s="6"/>
      <c r="AF147" s="6"/>
      <c r="AG147" s="6"/>
      <c r="AH147" s="6"/>
      <c r="AI147" s="6"/>
      <c r="AJ147" s="6"/>
    </row>
    <row r="148" spans="1:36" ht="13.5" hidden="1" thickBot="1" x14ac:dyDescent="0.25">
      <c r="A148" s="37" t="s">
        <v>29</v>
      </c>
      <c r="B148" s="38" t="s">
        <v>30</v>
      </c>
      <c r="C148" s="14" t="s">
        <v>0</v>
      </c>
      <c r="D148" s="26"/>
      <c r="E148" s="26"/>
      <c r="F148" s="26"/>
      <c r="G148" s="26"/>
      <c r="H148" s="26"/>
      <c r="I148" s="26"/>
      <c r="J148" s="26"/>
      <c r="K148" s="16"/>
      <c r="L148" s="6"/>
      <c r="M148" s="21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D148" s="6">
        <f>IF((D148&lt;&gt;"")*(D152=""),IF((D148&lt;=$B$440)*((D149&gt;=$C$440)+(D149&lt;2/24)),1,0),0)</f>
        <v>0</v>
      </c>
      <c r="AE148" s="6">
        <f>IF((E148&lt;&gt;"")*(E152=""),IF((E148&lt;=$B$440)*((E149&gt;=$C$440)+(E149&lt;2/24)),1,0),0)</f>
        <v>0</v>
      </c>
      <c r="AF148" s="6">
        <f>IF((F148&lt;&gt;"")*(F152=""),IF((F148&lt;=$B$440)*((F149&gt;=$C$440)+(F149&lt;2/24)),1,0),0)</f>
        <v>0</v>
      </c>
      <c r="AG148" s="6">
        <f>IF((G148&lt;&gt;"")*(G152=""),IF((G148&lt;=$B$440)*((G149&gt;=$C$440)+(G149&lt;2/24)),1,0),0)</f>
        <v>0</v>
      </c>
      <c r="AH148" s="6">
        <f>IF((H148&lt;&gt;"")*(H152=""),IF((H148&lt;=$B$440)*((H149&gt;=$C$440)+(H149&lt;2/24)),1,0),0)</f>
        <v>0</v>
      </c>
      <c r="AI148" s="6">
        <f>IF((I148&lt;&gt;"")*(I152=""),IF((I148&lt;=$B$440)*((I149&gt;=$C$440)+(I149&lt;2/24)),1,0),0)</f>
        <v>0</v>
      </c>
      <c r="AJ148" s="6">
        <f>IF((J148&lt;&gt;"")*(J152=""),IF((J148&lt;=$B$440)*((J149&gt;=$C$440)+(J149&lt;2/24)),1,0),0)</f>
        <v>0</v>
      </c>
    </row>
    <row r="149" spans="1:36" ht="13.5" hidden="1" thickBot="1" x14ac:dyDescent="0.25">
      <c r="A149" s="39"/>
      <c r="B149" s="40"/>
      <c r="C149" s="15" t="s">
        <v>1</v>
      </c>
      <c r="D149" s="27"/>
      <c r="E149" s="27"/>
      <c r="F149" s="27"/>
      <c r="G149" s="27"/>
      <c r="H149" s="27"/>
      <c r="I149" s="27"/>
      <c r="J149" s="27"/>
      <c r="K149" s="17"/>
      <c r="L149" s="6"/>
      <c r="M149" s="21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D149" s="6">
        <f>IF((D148&lt;&gt;"")*(D152=""),IF((D148&lt;=$B$441)*((D149&gt;=$C$441)+(D149&lt;2/24)),1,0),0)</f>
        <v>0</v>
      </c>
      <c r="AE149" s="6">
        <f>IF((E148&lt;&gt;"")*(E152=""),IF((E148&lt;=$B$441)*((E149&gt;=$C$441)+(E149&lt;2/24)),1,0),0)</f>
        <v>0</v>
      </c>
      <c r="AF149" s="6">
        <f>IF((F148&lt;&gt;"")*(F152=""),IF((F148&lt;=$B$441)*((F149&gt;=$C$441)+(F149&lt;2/24)),1,0),0)</f>
        <v>0</v>
      </c>
      <c r="AG149" s="6">
        <f>IF((G148&lt;&gt;"")*(G152=""),IF((G148&lt;=$B$441)*((G149&gt;=$C$441)+(G149&lt;2/24)),1,0),0)</f>
        <v>0</v>
      </c>
      <c r="AH149" s="6">
        <f>IF((H148&lt;&gt;"")*(H152=""),IF((H148&lt;=$B$441)*((H149&gt;=$C$441)+(H149&lt;2/24)),1,0),0)</f>
        <v>0</v>
      </c>
      <c r="AI149" s="6">
        <f>IF((I148&lt;&gt;"")*(I152=""),IF((I148&lt;=$B$441)*((I149&gt;=$C$441)+(I149&lt;2/24)),1,0),0)</f>
        <v>0</v>
      </c>
      <c r="AJ149" s="6">
        <f>IF((J148&lt;&gt;"")*(J152=""),IF((J148&lt;=$B$441)*((J149&gt;=$C$441)+(J149&lt;2/24)),1,0),0)</f>
        <v>0</v>
      </c>
    </row>
    <row r="150" spans="1:36" ht="13.5" hidden="1" thickBot="1" x14ac:dyDescent="0.25">
      <c r="A150" s="39"/>
      <c r="B150" s="40"/>
      <c r="C150" s="15" t="s">
        <v>2</v>
      </c>
      <c r="D150" s="4"/>
      <c r="E150" s="4"/>
      <c r="F150" s="4"/>
      <c r="G150" s="4"/>
      <c r="H150" s="4"/>
      <c r="I150" s="4"/>
      <c r="J150" s="4"/>
      <c r="K150" s="17"/>
      <c r="L150" s="6"/>
      <c r="M150" s="21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D150" s="6">
        <f>IF((D148&lt;&gt;"")*(D152=""),IF((D148&lt;=$B$442)*((D149&gt;=$C$442)+(D149&lt;2/24)),1,0),0)</f>
        <v>0</v>
      </c>
      <c r="AE150" s="6">
        <f>IF((E148&lt;&gt;"")*(E152=""),IF((E148&lt;=$B$442)*((E149&gt;=$C$442)+(E149&lt;2/24)),1,0),0)</f>
        <v>0</v>
      </c>
      <c r="AF150" s="6">
        <f>IF((F148&lt;&gt;"")*(F152=""),IF((F148&lt;=$B$442)*((F149&gt;=$C$442)+(F149&lt;2/24)),1,0),0)</f>
        <v>0</v>
      </c>
      <c r="AG150" s="6">
        <f>IF((G148&lt;&gt;"")*(G152=""),IF((G148&lt;=$B$442)*((G149&gt;=$C$442)+(G149&lt;2/24)),1,0),0)</f>
        <v>0</v>
      </c>
      <c r="AH150" s="6">
        <f>IF((H148&lt;&gt;"")*(H152=""),IF((H148&lt;=$B$442)*((H149&gt;=$C$442)+(H149&lt;2/24)),1,0),0)</f>
        <v>0</v>
      </c>
      <c r="AI150" s="6">
        <f>IF((I148&lt;&gt;"")*(I152=""),IF((I148&lt;=$B$442)*((I149&gt;=$C$442)+(I149&lt;2/24)),1,0),0)</f>
        <v>0</v>
      </c>
      <c r="AJ150" s="6">
        <f>IF((J148&lt;&gt;"")*(J152=""),IF((J148&lt;=$B$442)*((J149&gt;=$C$442)+(J149&lt;2/24)),1,0),0)</f>
        <v>0</v>
      </c>
    </row>
    <row r="151" spans="1:36" ht="13.5" hidden="1" thickBot="1" x14ac:dyDescent="0.25">
      <c r="A151" s="39"/>
      <c r="B151" s="40"/>
      <c r="C151" s="15" t="s">
        <v>3</v>
      </c>
      <c r="D151" s="43"/>
      <c r="E151" s="43"/>
      <c r="F151" s="43"/>
      <c r="G151" s="43"/>
      <c r="H151" s="43"/>
      <c r="I151" s="43"/>
      <c r="J151" s="44"/>
      <c r="K151" s="18">
        <f>SUMIF(D152:J152,"",D151:J151)</f>
        <v>0</v>
      </c>
      <c r="L151" s="12">
        <f>SUM(D151:J151)</f>
        <v>0</v>
      </c>
      <c r="M151" s="24"/>
      <c r="N151" s="10">
        <f>IF(D152="",D151,0)</f>
        <v>0</v>
      </c>
      <c r="O151" s="10">
        <f>IF(E152="",E151,0)</f>
        <v>0</v>
      </c>
      <c r="P151" s="10">
        <f t="shared" ref="P151:T151" si="48">IF(F152="",F151,0)</f>
        <v>0</v>
      </c>
      <c r="Q151" s="10">
        <f t="shared" si="48"/>
        <v>0</v>
      </c>
      <c r="R151" s="10">
        <f t="shared" si="48"/>
        <v>0</v>
      </c>
      <c r="S151" s="10">
        <f t="shared" si="48"/>
        <v>0</v>
      </c>
      <c r="T151" s="10">
        <f t="shared" si="48"/>
        <v>0</v>
      </c>
      <c r="U151" s="10"/>
      <c r="V151" s="10">
        <f>D151</f>
        <v>0</v>
      </c>
      <c r="W151" s="10">
        <f>E151</f>
        <v>0</v>
      </c>
      <c r="X151" s="10">
        <f t="shared" ref="X151:AB151" si="49">F151</f>
        <v>0</v>
      </c>
      <c r="Y151" s="10">
        <f t="shared" si="49"/>
        <v>0</v>
      </c>
      <c r="Z151" s="10">
        <f t="shared" si="49"/>
        <v>0</v>
      </c>
      <c r="AA151" s="10">
        <f t="shared" si="49"/>
        <v>0</v>
      </c>
      <c r="AB151" s="10">
        <f t="shared" si="49"/>
        <v>0</v>
      </c>
      <c r="AD151" s="6">
        <f>IF((D148&lt;&gt;"")*(D152=""),IF((D148&lt;=$B$443)*((D149&gt;=$C$443)+(D149&lt;2/24)),1,0),0)</f>
        <v>0</v>
      </c>
      <c r="AE151" s="6">
        <f>IF((E148&lt;&gt;"")*(E152=""),IF((E148&lt;=$B$443)*((E149&gt;=$C$443)+(E149&lt;2/24)),1,0),0)</f>
        <v>0</v>
      </c>
      <c r="AF151" s="6">
        <f>IF((F148&lt;&gt;"")*(F152=""),IF((F148&lt;=$B$443)*((F149&gt;=$C$443)+(F149&lt;2/24)),1,0),0)</f>
        <v>0</v>
      </c>
      <c r="AG151" s="6">
        <f>IF((G148&lt;&gt;"")*(G152=""),IF((G148&lt;=$B$443)*((G149&gt;=$C$443)+(G149&lt;2/24)),1,0),0)</f>
        <v>0</v>
      </c>
      <c r="AH151" s="6">
        <f>IF((H148&lt;&gt;"")*(H152=""),IF((H148&lt;=$B$443)*((H149&gt;=$C$443)+(H149&lt;2/24)),1,0),0)</f>
        <v>0</v>
      </c>
      <c r="AI151" s="6">
        <f>IF((I148&lt;&gt;"")*(I152=""),IF((I148&lt;=$B$443)*((I149&gt;=$C$443)+(I149&lt;2/24)),1,0),0)</f>
        <v>0</v>
      </c>
      <c r="AJ151" s="6">
        <f>IF((J148&lt;&gt;"")*(J152=""),IF((J148&lt;=$B$443)*((J149&gt;=$C$443)+(J149&lt;2/24)),1,0),0)</f>
        <v>0</v>
      </c>
    </row>
    <row r="152" spans="1:36" ht="13.5" hidden="1" thickBot="1" x14ac:dyDescent="0.25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  <c r="N152" s="6"/>
      <c r="O152" s="6"/>
      <c r="P152" s="6"/>
      <c r="Q152" s="6"/>
      <c r="R152" s="6"/>
      <c r="S152" s="6"/>
      <c r="T152" s="6"/>
      <c r="U152" s="6"/>
      <c r="V152" s="20"/>
      <c r="W152" s="20"/>
      <c r="X152" s="20"/>
      <c r="Y152" s="20"/>
      <c r="Z152" s="20"/>
      <c r="AA152" s="20"/>
      <c r="AB152" s="20"/>
      <c r="AD152" s="6">
        <f>IF((D148&lt;&gt;"")*(D152=""),IF((D148&lt;=$B$444)*((D149&gt;=$C$444)+(D149&lt;2/24)),1,0),0)</f>
        <v>0</v>
      </c>
      <c r="AE152" s="6">
        <f>IF((E148&lt;&gt;"")*(E152=""),IF((E148&lt;=$B$444)*((E149&gt;=$C$444)+(E149&lt;2/24)),1,0),0)</f>
        <v>0</v>
      </c>
      <c r="AF152" s="6">
        <f>IF((F148&lt;&gt;"")*(F152=""),IF((F148&lt;=$B$444)*((F149&gt;=$C$444)+(F149&lt;2/24)),1,0),0)</f>
        <v>0</v>
      </c>
      <c r="AG152" s="6">
        <f>IF((G148&lt;&gt;"")*(G152=""),IF((G148&lt;=$B$444)*((G149&gt;=$C$444)+(G149&lt;2/24)),1,0),0)</f>
        <v>0</v>
      </c>
      <c r="AH152" s="6">
        <f>IF((H148&lt;&gt;"")*(H152=""),IF((H148&lt;=$B$444)*((H149&gt;=$C$444)+(H149&lt;2/24)),1,0),0)</f>
        <v>0</v>
      </c>
      <c r="AI152" s="6">
        <f>IF((I148&lt;&gt;"")*(I152=""),IF((I148&lt;=$B$444)*((I149&gt;=$C$444)+(I149&lt;2/24)),1,0),0)</f>
        <v>0</v>
      </c>
      <c r="AJ152" s="6">
        <f>IF((J148&lt;&gt;"")*(J152=""),IF((J148&lt;=$B$444)*((J149&gt;=$C$444)+(J149&lt;2/24)),1,0),0)</f>
        <v>0</v>
      </c>
    </row>
    <row r="153" spans="1:36" ht="13.5" hidden="1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  <c r="N153" s="6"/>
      <c r="O153" s="6"/>
      <c r="P153" s="6"/>
      <c r="Q153" s="6"/>
      <c r="R153" s="6"/>
      <c r="S153" s="6"/>
      <c r="T153" s="6"/>
      <c r="U153" s="6"/>
      <c r="V153" s="20"/>
      <c r="W153" s="20"/>
      <c r="X153" s="20"/>
      <c r="Y153" s="20"/>
      <c r="Z153" s="20"/>
      <c r="AA153" s="20"/>
      <c r="AB153" s="20"/>
      <c r="AD153" s="6"/>
      <c r="AE153" s="6"/>
      <c r="AF153" s="6"/>
      <c r="AG153" s="6"/>
      <c r="AH153" s="6"/>
      <c r="AI153" s="6"/>
      <c r="AJ153" s="6"/>
    </row>
    <row r="154" spans="1:36" ht="13.5" hidden="1" thickBot="1" x14ac:dyDescent="0.25">
      <c r="A154" s="37" t="s">
        <v>29</v>
      </c>
      <c r="B154" s="38" t="s">
        <v>30</v>
      </c>
      <c r="C154" s="14" t="s">
        <v>0</v>
      </c>
      <c r="D154" s="26"/>
      <c r="E154" s="26"/>
      <c r="F154" s="26"/>
      <c r="G154" s="26"/>
      <c r="H154" s="26"/>
      <c r="I154" s="26"/>
      <c r="J154" s="26"/>
      <c r="K154" s="16"/>
      <c r="L154" s="6"/>
      <c r="M154" s="21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D154" s="6">
        <f>IF((D154&lt;&gt;"")*(D158=""),IF((D154&lt;=$B$440)*((D155&gt;=$C$440)+(D155&lt;2/24)),1,0),0)</f>
        <v>0</v>
      </c>
      <c r="AE154" s="6">
        <f>IF((E154&lt;&gt;"")*(E158=""),IF((E154&lt;=$B$440)*((E155&gt;=$C$440)+(E155&lt;2/24)),1,0),0)</f>
        <v>0</v>
      </c>
      <c r="AF154" s="6">
        <f>IF((F154&lt;&gt;"")*(F158=""),IF((F154&lt;=$B$440)*((F155&gt;=$C$440)+(F155&lt;2/24)),1,0),0)</f>
        <v>0</v>
      </c>
      <c r="AG154" s="6">
        <f>IF((G154&lt;&gt;"")*(G158=""),IF((G154&lt;=$B$440)*((G155&gt;=$C$440)+(G155&lt;2/24)),1,0),0)</f>
        <v>0</v>
      </c>
      <c r="AH154" s="6">
        <f>IF((H154&lt;&gt;"")*(H158=""),IF((H154&lt;=$B$440)*((H155&gt;=$C$440)+(H155&lt;2/24)),1,0),0)</f>
        <v>0</v>
      </c>
      <c r="AI154" s="6">
        <f>IF((I154&lt;&gt;"")*(I158=""),IF((I154&lt;=$B$440)*((I155&gt;=$C$440)+(I155&lt;2/24)),1,0),0)</f>
        <v>0</v>
      </c>
      <c r="AJ154" s="6">
        <f>IF((J154&lt;&gt;"")*(J158=""),IF((J154&lt;=$B$440)*((J155&gt;=$C$440)+(J155&lt;2/24)),1,0),0)</f>
        <v>0</v>
      </c>
    </row>
    <row r="155" spans="1:36" ht="13.5" hidden="1" thickBot="1" x14ac:dyDescent="0.25">
      <c r="A155" s="39"/>
      <c r="B155" s="40"/>
      <c r="C155" s="15" t="s">
        <v>1</v>
      </c>
      <c r="D155" s="27"/>
      <c r="E155" s="27"/>
      <c r="F155" s="27"/>
      <c r="G155" s="27"/>
      <c r="H155" s="27"/>
      <c r="I155" s="27"/>
      <c r="J155" s="27"/>
      <c r="K155" s="17"/>
      <c r="L155" s="6"/>
      <c r="M155" s="21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D155" s="6">
        <f>IF((D154&lt;&gt;"")*(D158=""),IF((D154&lt;=$B$441)*((D155&gt;=$C$441)+(D155&lt;2/24)),1,0),0)</f>
        <v>0</v>
      </c>
      <c r="AE155" s="6">
        <f>IF((E154&lt;&gt;"")*(E158=""),IF((E154&lt;=$B$441)*((E155&gt;=$C$441)+(E155&lt;2/24)),1,0),0)</f>
        <v>0</v>
      </c>
      <c r="AF155" s="6">
        <f>IF((F154&lt;&gt;"")*(F158=""),IF((F154&lt;=$B$441)*((F155&gt;=$C$441)+(F155&lt;2/24)),1,0),0)</f>
        <v>0</v>
      </c>
      <c r="AG155" s="6">
        <f>IF((G154&lt;&gt;"")*(G158=""),IF((G154&lt;=$B$441)*((G155&gt;=$C$441)+(G155&lt;2/24)),1,0),0)</f>
        <v>0</v>
      </c>
      <c r="AH155" s="6">
        <f>IF((H154&lt;&gt;"")*(H158=""),IF((H154&lt;=$B$441)*((H155&gt;=$C$441)+(H155&lt;2/24)),1,0),0)</f>
        <v>0</v>
      </c>
      <c r="AI155" s="6">
        <f>IF((I154&lt;&gt;"")*(I158=""),IF((I154&lt;=$B$441)*((I155&gt;=$C$441)+(I155&lt;2/24)),1,0),0)</f>
        <v>0</v>
      </c>
      <c r="AJ155" s="6">
        <f>IF((J154&lt;&gt;"")*(J158=""),IF((J154&lt;=$B$441)*((J155&gt;=$C$441)+(J155&lt;2/24)),1,0),0)</f>
        <v>0</v>
      </c>
    </row>
    <row r="156" spans="1:36" ht="13.5" hidden="1" thickBot="1" x14ac:dyDescent="0.25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  <c r="L156" s="6"/>
      <c r="M156" s="21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D156" s="6">
        <f>IF((D154&lt;&gt;"")*(D158=""),IF((D154&lt;=$B$442)*((D155&gt;=$C$442)+(D155&lt;2/24)),1,0),0)</f>
        <v>0</v>
      </c>
      <c r="AE156" s="6">
        <f>IF((E154&lt;&gt;"")*(E158=""),IF((E154&lt;=$B$442)*((E155&gt;=$C$442)+(E155&lt;2/24)),1,0),0)</f>
        <v>0</v>
      </c>
      <c r="AF156" s="6">
        <f>IF((F154&lt;&gt;"")*(F158=""),IF((F154&lt;=$B$442)*((F155&gt;=$C$442)+(F155&lt;2/24)),1,0),0)</f>
        <v>0</v>
      </c>
      <c r="AG156" s="6">
        <f>IF((G154&lt;&gt;"")*(G158=""),IF((G154&lt;=$B$442)*((G155&gt;=$C$442)+(G155&lt;2/24)),1,0),0)</f>
        <v>0</v>
      </c>
      <c r="AH156" s="6">
        <f>IF((H154&lt;&gt;"")*(H158=""),IF((H154&lt;=$B$442)*((H155&gt;=$C$442)+(H155&lt;2/24)),1,0),0)</f>
        <v>0</v>
      </c>
      <c r="AI156" s="6">
        <f>IF((I154&lt;&gt;"")*(I158=""),IF((I154&lt;=$B$442)*((I155&gt;=$C$442)+(I155&lt;2/24)),1,0),0)</f>
        <v>0</v>
      </c>
      <c r="AJ156" s="6">
        <f>IF((J154&lt;&gt;"")*(J158=""),IF((J154&lt;=$B$442)*((J155&gt;=$C$442)+(J155&lt;2/24)),1,0),0)</f>
        <v>0</v>
      </c>
    </row>
    <row r="157" spans="1:36" ht="13.5" hidden="1" thickBot="1" x14ac:dyDescent="0.25">
      <c r="A157" s="39"/>
      <c r="B157" s="40"/>
      <c r="C157" s="15" t="s">
        <v>3</v>
      </c>
      <c r="D157" s="43"/>
      <c r="E157" s="43"/>
      <c r="F157" s="43"/>
      <c r="G157" s="43"/>
      <c r="H157" s="43"/>
      <c r="I157" s="43"/>
      <c r="J157" s="44"/>
      <c r="K157" s="18">
        <f>SUMIF(D158:J158,"",D157:J157)</f>
        <v>0</v>
      </c>
      <c r="L157" s="12">
        <f>SUM(D157:J157)</f>
        <v>0</v>
      </c>
      <c r="M157" s="24"/>
      <c r="N157" s="10">
        <f>IF(D158="",D157,0)</f>
        <v>0</v>
      </c>
      <c r="O157" s="10">
        <f>IF(E158="",E157,0)</f>
        <v>0</v>
      </c>
      <c r="P157" s="10">
        <f t="shared" ref="P157:T157" si="50">IF(F158="",F157,0)</f>
        <v>0</v>
      </c>
      <c r="Q157" s="10">
        <f t="shared" si="50"/>
        <v>0</v>
      </c>
      <c r="R157" s="10">
        <f t="shared" si="50"/>
        <v>0</v>
      </c>
      <c r="S157" s="10">
        <f t="shared" si="50"/>
        <v>0</v>
      </c>
      <c r="T157" s="10">
        <f t="shared" si="50"/>
        <v>0</v>
      </c>
      <c r="U157" s="10"/>
      <c r="V157" s="10">
        <f>D157</f>
        <v>0</v>
      </c>
      <c r="W157" s="10">
        <f>E157</f>
        <v>0</v>
      </c>
      <c r="X157" s="10">
        <f t="shared" ref="X157:AB157" si="51">F157</f>
        <v>0</v>
      </c>
      <c r="Y157" s="10">
        <f t="shared" si="51"/>
        <v>0</v>
      </c>
      <c r="Z157" s="10">
        <f t="shared" si="51"/>
        <v>0</v>
      </c>
      <c r="AA157" s="10">
        <f t="shared" si="51"/>
        <v>0</v>
      </c>
      <c r="AB157" s="10">
        <f t="shared" si="51"/>
        <v>0</v>
      </c>
      <c r="AD157" s="6">
        <f>IF((D154&lt;&gt;"")*(D158=""),IF((D154&lt;=$B$443)*((D155&gt;=$C$443)+(D155&lt;2/24)),1,0),0)</f>
        <v>0</v>
      </c>
      <c r="AE157" s="6">
        <f>IF((E154&lt;&gt;"")*(E158=""),IF((E154&lt;=$B$443)*((E155&gt;=$C$443)+(E155&lt;2/24)),1,0),0)</f>
        <v>0</v>
      </c>
      <c r="AF157" s="6">
        <f>IF((F154&lt;&gt;"")*(F158=""),IF((F154&lt;=$B$443)*((F155&gt;=$C$443)+(F155&lt;2/24)),1,0),0)</f>
        <v>0</v>
      </c>
      <c r="AG157" s="6">
        <f>IF((G154&lt;&gt;"")*(G158=""),IF((G154&lt;=$B$443)*((G155&gt;=$C$443)+(G155&lt;2/24)),1,0),0)</f>
        <v>0</v>
      </c>
      <c r="AH157" s="6">
        <f>IF((H154&lt;&gt;"")*(H158=""),IF((H154&lt;=$B$443)*((H155&gt;=$C$443)+(H155&lt;2/24)),1,0),0)</f>
        <v>0</v>
      </c>
      <c r="AI157" s="6">
        <f>IF((I154&lt;&gt;"")*(I158=""),IF((I154&lt;=$B$443)*((I155&gt;=$C$443)+(I155&lt;2/24)),1,0),0)</f>
        <v>0</v>
      </c>
      <c r="AJ157" s="6">
        <f>IF((J154&lt;&gt;"")*(J158=""),IF((J154&lt;=$B$443)*((J155&gt;=$C$443)+(J155&lt;2/24)),1,0),0)</f>
        <v>0</v>
      </c>
    </row>
    <row r="158" spans="1:36" ht="13.5" hidden="1" thickBot="1" x14ac:dyDescent="0.25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  <c r="N158" s="6"/>
      <c r="O158" s="6"/>
      <c r="P158" s="6"/>
      <c r="Q158" s="6"/>
      <c r="R158" s="6"/>
      <c r="S158" s="6"/>
      <c r="T158" s="6"/>
      <c r="U158" s="6"/>
      <c r="V158" s="20"/>
      <c r="W158" s="20"/>
      <c r="X158" s="20"/>
      <c r="Y158" s="20"/>
      <c r="Z158" s="20"/>
      <c r="AA158" s="20"/>
      <c r="AB158" s="20"/>
      <c r="AD158" s="6">
        <f>IF((D154&lt;&gt;"")*(D158=""),IF((D154&lt;=$B$444)*((D155&gt;=$C$444)+(D155&lt;2/24)),1,0),0)</f>
        <v>0</v>
      </c>
      <c r="AE158" s="6">
        <f>IF((E154&lt;&gt;"")*(E158=""),IF((E154&lt;=$B$444)*((E155&gt;=$C$444)+(E155&lt;2/24)),1,0),0)</f>
        <v>0</v>
      </c>
      <c r="AF158" s="6">
        <f>IF((F154&lt;&gt;"")*(F158=""),IF((F154&lt;=$B$444)*((F155&gt;=$C$444)+(F155&lt;2/24)),1,0),0)</f>
        <v>0</v>
      </c>
      <c r="AG158" s="6">
        <f>IF((G154&lt;&gt;"")*(G158=""),IF((G154&lt;=$B$444)*((G155&gt;=$C$444)+(G155&lt;2/24)),1,0),0)</f>
        <v>0</v>
      </c>
      <c r="AH158" s="6">
        <f>IF((H154&lt;&gt;"")*(H158=""),IF((H154&lt;=$B$444)*((H155&gt;=$C$444)+(H155&lt;2/24)),1,0),0)</f>
        <v>0</v>
      </c>
      <c r="AI158" s="6">
        <f>IF((I154&lt;&gt;"")*(I158=""),IF((I154&lt;=$B$444)*((I155&gt;=$C$444)+(I155&lt;2/24)),1,0),0)</f>
        <v>0</v>
      </c>
      <c r="AJ158" s="6">
        <f>IF((J154&lt;&gt;"")*(J158=""),IF((J154&lt;=$B$444)*((J155&gt;=$C$444)+(J155&lt;2/24)),1,0),0)</f>
        <v>0</v>
      </c>
    </row>
    <row r="159" spans="1:36" ht="13.5" hidden="1" thickBot="1" x14ac:dyDescent="0.25">
      <c r="A159" s="41"/>
      <c r="B159" s="42"/>
      <c r="C159" s="35" t="s">
        <v>28</v>
      </c>
      <c r="D159" s="36"/>
      <c r="E159" s="36"/>
      <c r="F159" s="36"/>
      <c r="G159" s="36"/>
      <c r="H159" s="36"/>
      <c r="I159" s="36"/>
      <c r="J159" s="36"/>
      <c r="K159" s="34"/>
      <c r="L159" s="6"/>
      <c r="M159" s="25"/>
      <c r="N159" s="6"/>
      <c r="O159" s="6"/>
      <c r="P159" s="6"/>
      <c r="Q159" s="6"/>
      <c r="R159" s="6"/>
      <c r="S159" s="6"/>
      <c r="T159" s="6"/>
      <c r="U159" s="6"/>
      <c r="V159" s="20"/>
      <c r="W159" s="20"/>
      <c r="X159" s="20"/>
      <c r="Y159" s="20"/>
      <c r="Z159" s="20"/>
      <c r="AA159" s="20"/>
      <c r="AB159" s="20"/>
      <c r="AD159" s="6"/>
      <c r="AE159" s="6"/>
      <c r="AF159" s="6"/>
      <c r="AG159" s="6"/>
      <c r="AH159" s="6"/>
      <c r="AI159" s="6"/>
      <c r="AJ159" s="6"/>
    </row>
    <row r="160" spans="1:36" ht="13.5" hidden="1" thickBot="1" x14ac:dyDescent="0.25">
      <c r="A160" s="37" t="s">
        <v>29</v>
      </c>
      <c r="B160" s="38" t="s">
        <v>30</v>
      </c>
      <c r="C160" s="14" t="s">
        <v>0</v>
      </c>
      <c r="D160" s="26"/>
      <c r="E160" s="26"/>
      <c r="F160" s="26"/>
      <c r="G160" s="26"/>
      <c r="H160" s="26"/>
      <c r="I160" s="26"/>
      <c r="J160" s="26"/>
      <c r="K160" s="16"/>
      <c r="L160" s="6"/>
      <c r="M160" s="21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D160" s="6">
        <f>IF((D160&lt;&gt;"")*(D164=""),IF((D160&lt;=$B$440)*((D161&gt;=$C$440)+(D161&lt;2/24)),1,0),0)</f>
        <v>0</v>
      </c>
      <c r="AE160" s="6">
        <f>IF((E160&lt;&gt;"")*(E164=""),IF((E160&lt;=$B$440)*((E161&gt;=$C$440)+(E161&lt;2/24)),1,0),0)</f>
        <v>0</v>
      </c>
      <c r="AF160" s="6">
        <f>IF((F160&lt;&gt;"")*(F164=""),IF((F160&lt;=$B$440)*((F161&gt;=$C$440)+(F161&lt;2/24)),1,0),0)</f>
        <v>0</v>
      </c>
      <c r="AG160" s="6">
        <f>IF((G160&lt;&gt;"")*(G164=""),IF((G160&lt;=$B$440)*((G161&gt;=$C$440)+(G161&lt;2/24)),1,0),0)</f>
        <v>0</v>
      </c>
      <c r="AH160" s="6">
        <f>IF((H160&lt;&gt;"")*(H164=""),IF((H160&lt;=$B$440)*((H161&gt;=$C$440)+(H161&lt;2/24)),1,0),0)</f>
        <v>0</v>
      </c>
      <c r="AI160" s="6">
        <f>IF((I160&lt;&gt;"")*(I164=""),IF((I160&lt;=$B$440)*((I161&gt;=$C$440)+(I161&lt;2/24)),1,0),0)</f>
        <v>0</v>
      </c>
      <c r="AJ160" s="6">
        <f>IF((J160&lt;&gt;"")*(J164=""),IF((J160&lt;=$B$440)*((J161&gt;=$C$440)+(J161&lt;2/24)),1,0),0)</f>
        <v>0</v>
      </c>
    </row>
    <row r="161" spans="1:36" ht="13.5" hidden="1" thickBot="1" x14ac:dyDescent="0.25">
      <c r="A161" s="39"/>
      <c r="B161" s="40"/>
      <c r="C161" s="15" t="s">
        <v>1</v>
      </c>
      <c r="D161" s="27"/>
      <c r="E161" s="27"/>
      <c r="F161" s="27"/>
      <c r="G161" s="27"/>
      <c r="H161" s="27"/>
      <c r="I161" s="27"/>
      <c r="J161" s="27"/>
      <c r="K161" s="17"/>
      <c r="L161" s="6"/>
      <c r="M161" s="21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D161" s="6">
        <f>IF((D160&lt;&gt;"")*(D164=""),IF((D160&lt;=$B$441)*((D161&gt;=$C$441)+(D161&lt;2/24)),1,0),0)</f>
        <v>0</v>
      </c>
      <c r="AE161" s="6">
        <f>IF((E160&lt;&gt;"")*(E164=""),IF((E160&lt;=$B$441)*((E161&gt;=$C$441)+(E161&lt;2/24)),1,0),0)</f>
        <v>0</v>
      </c>
      <c r="AF161" s="6">
        <f>IF((F160&lt;&gt;"")*(F164=""),IF((F160&lt;=$B$441)*((F161&gt;=$C$441)+(F161&lt;2/24)),1,0),0)</f>
        <v>0</v>
      </c>
      <c r="AG161" s="6">
        <f>IF((G160&lt;&gt;"")*(G164=""),IF((G160&lt;=$B$441)*((G161&gt;=$C$441)+(G161&lt;2/24)),1,0),0)</f>
        <v>0</v>
      </c>
      <c r="AH161" s="6">
        <f>IF((H160&lt;&gt;"")*(H164=""),IF((H160&lt;=$B$441)*((H161&gt;=$C$441)+(H161&lt;2/24)),1,0),0)</f>
        <v>0</v>
      </c>
      <c r="AI161" s="6">
        <f>IF((I160&lt;&gt;"")*(I164=""),IF((I160&lt;=$B$441)*((I161&gt;=$C$441)+(I161&lt;2/24)),1,0),0)</f>
        <v>0</v>
      </c>
      <c r="AJ161" s="6">
        <f>IF((J160&lt;&gt;"")*(J164=""),IF((J160&lt;=$B$441)*((J161&gt;=$C$441)+(J161&lt;2/24)),1,0),0)</f>
        <v>0</v>
      </c>
    </row>
    <row r="162" spans="1:36" ht="13.5" hidden="1" thickBot="1" x14ac:dyDescent="0.25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  <c r="L162" s="6"/>
      <c r="M162" s="21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D162" s="6">
        <f>IF((D160&lt;&gt;"")*(D164=""),IF((D160&lt;=$B$442)*((D161&gt;=$C$442)+(D161&lt;2/24)),1,0),0)</f>
        <v>0</v>
      </c>
      <c r="AE162" s="6">
        <f>IF((E160&lt;&gt;"")*(E164=""),IF((E160&lt;=$B$442)*((E161&gt;=$C$442)+(E161&lt;2/24)),1,0),0)</f>
        <v>0</v>
      </c>
      <c r="AF162" s="6">
        <f>IF((F160&lt;&gt;"")*(F164=""),IF((F160&lt;=$B$442)*((F161&gt;=$C$442)+(F161&lt;2/24)),1,0),0)</f>
        <v>0</v>
      </c>
      <c r="AG162" s="6">
        <f>IF((G160&lt;&gt;"")*(G164=""),IF((G160&lt;=$B$442)*((G161&gt;=$C$442)+(G161&lt;2/24)),1,0),0)</f>
        <v>0</v>
      </c>
      <c r="AH162" s="6">
        <f>IF((H160&lt;&gt;"")*(H164=""),IF((H160&lt;=$B$442)*((H161&gt;=$C$442)+(H161&lt;2/24)),1,0),0)</f>
        <v>0</v>
      </c>
      <c r="AI162" s="6">
        <f>IF((I160&lt;&gt;"")*(I164=""),IF((I160&lt;=$B$442)*((I161&gt;=$C$442)+(I161&lt;2/24)),1,0),0)</f>
        <v>0</v>
      </c>
      <c r="AJ162" s="6">
        <f>IF((J160&lt;&gt;"")*(J164=""),IF((J160&lt;=$B$442)*((J161&gt;=$C$442)+(J161&lt;2/24)),1,0),0)</f>
        <v>0</v>
      </c>
    </row>
    <row r="163" spans="1:36" ht="13.5" hidden="1" thickBot="1" x14ac:dyDescent="0.25">
      <c r="A163" s="39"/>
      <c r="B163" s="40"/>
      <c r="C163" s="15" t="s">
        <v>3</v>
      </c>
      <c r="D163" s="43"/>
      <c r="E163" s="43"/>
      <c r="F163" s="43"/>
      <c r="G163" s="43"/>
      <c r="H163" s="43"/>
      <c r="I163" s="43"/>
      <c r="J163" s="44"/>
      <c r="K163" s="18">
        <f>SUMIF(D164:J164,"",D163:J163)</f>
        <v>0</v>
      </c>
      <c r="L163" s="12">
        <f>SUM(D163:J163)</f>
        <v>0</v>
      </c>
      <c r="M163" s="24"/>
      <c r="N163" s="10">
        <f>IF(D164="",D163,0)</f>
        <v>0</v>
      </c>
      <c r="O163" s="10">
        <f>IF(E164="",E163,0)</f>
        <v>0</v>
      </c>
      <c r="P163" s="10">
        <f t="shared" ref="P163:T163" si="52">IF(F164="",F163,0)</f>
        <v>0</v>
      </c>
      <c r="Q163" s="10">
        <f t="shared" si="52"/>
        <v>0</v>
      </c>
      <c r="R163" s="10">
        <f t="shared" si="52"/>
        <v>0</v>
      </c>
      <c r="S163" s="10">
        <f t="shared" si="52"/>
        <v>0</v>
      </c>
      <c r="T163" s="10">
        <f t="shared" si="52"/>
        <v>0</v>
      </c>
      <c r="U163" s="10"/>
      <c r="V163" s="10">
        <f>D163</f>
        <v>0</v>
      </c>
      <c r="W163" s="10">
        <f>E163</f>
        <v>0</v>
      </c>
      <c r="X163" s="10">
        <f t="shared" ref="X163:AB163" si="53">F163</f>
        <v>0</v>
      </c>
      <c r="Y163" s="10">
        <f t="shared" si="53"/>
        <v>0</v>
      </c>
      <c r="Z163" s="10">
        <f t="shared" si="53"/>
        <v>0</v>
      </c>
      <c r="AA163" s="10">
        <f t="shared" si="53"/>
        <v>0</v>
      </c>
      <c r="AB163" s="10">
        <f t="shared" si="53"/>
        <v>0</v>
      </c>
      <c r="AD163" s="6">
        <f>IF((D160&lt;&gt;"")*(D164=""),IF((D160&lt;=$B$443)*((D161&gt;=$C$443)+(D161&lt;2/24)),1,0),0)</f>
        <v>0</v>
      </c>
      <c r="AE163" s="6">
        <f>IF((E160&lt;&gt;"")*(E164=""),IF((E160&lt;=$B$443)*((E161&gt;=$C$443)+(E161&lt;2/24)),1,0),0)</f>
        <v>0</v>
      </c>
      <c r="AF163" s="6">
        <f>IF((F160&lt;&gt;"")*(F164=""),IF((F160&lt;=$B$443)*((F161&gt;=$C$443)+(F161&lt;2/24)),1,0),0)</f>
        <v>0</v>
      </c>
      <c r="AG163" s="6">
        <f>IF((G160&lt;&gt;"")*(G164=""),IF((G160&lt;=$B$443)*((G161&gt;=$C$443)+(G161&lt;2/24)),1,0),0)</f>
        <v>0</v>
      </c>
      <c r="AH163" s="6">
        <f>IF((H160&lt;&gt;"")*(H164=""),IF((H160&lt;=$B$443)*((H161&gt;=$C$443)+(H161&lt;2/24)),1,0),0)</f>
        <v>0</v>
      </c>
      <c r="AI163" s="6">
        <f>IF((I160&lt;&gt;"")*(I164=""),IF((I160&lt;=$B$443)*((I161&gt;=$C$443)+(I161&lt;2/24)),1,0),0)</f>
        <v>0</v>
      </c>
      <c r="AJ163" s="6">
        <f>IF((J160&lt;&gt;"")*(J164=""),IF((J160&lt;=$B$443)*((J161&gt;=$C$443)+(J161&lt;2/24)),1,0),0)</f>
        <v>0</v>
      </c>
    </row>
    <row r="164" spans="1:36" ht="13.5" hidden="1" thickBot="1" x14ac:dyDescent="0.25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  <c r="N164" s="6"/>
      <c r="O164" s="6"/>
      <c r="P164" s="6"/>
      <c r="Q164" s="6"/>
      <c r="R164" s="6"/>
      <c r="S164" s="6"/>
      <c r="T164" s="6"/>
      <c r="U164" s="6"/>
      <c r="V164" s="20"/>
      <c r="W164" s="20"/>
      <c r="X164" s="20"/>
      <c r="Y164" s="20"/>
      <c r="Z164" s="20"/>
      <c r="AA164" s="20"/>
      <c r="AB164" s="20"/>
      <c r="AD164" s="6">
        <f>IF((D160&lt;&gt;"")*(D164=""),IF((D160&lt;=$B$444)*((D161&gt;=$C$444)+(D161&lt;2/24)),1,0),0)</f>
        <v>0</v>
      </c>
      <c r="AE164" s="6">
        <f>IF((E160&lt;&gt;"")*(E164=""),IF((E160&lt;=$B$444)*((E161&gt;=$C$444)+(E161&lt;2/24)),1,0),0)</f>
        <v>0</v>
      </c>
      <c r="AF164" s="6">
        <f>IF((F160&lt;&gt;"")*(F164=""),IF((F160&lt;=$B$444)*((F161&gt;=$C$444)+(F161&lt;2/24)),1,0),0)</f>
        <v>0</v>
      </c>
      <c r="AG164" s="6">
        <f>IF((G160&lt;&gt;"")*(G164=""),IF((G160&lt;=$B$444)*((G161&gt;=$C$444)+(G161&lt;2/24)),1,0),0)</f>
        <v>0</v>
      </c>
      <c r="AH164" s="6">
        <f>IF((H160&lt;&gt;"")*(H164=""),IF((H160&lt;=$B$444)*((H161&gt;=$C$444)+(H161&lt;2/24)),1,0),0)</f>
        <v>0</v>
      </c>
      <c r="AI164" s="6">
        <f>IF((I160&lt;&gt;"")*(I164=""),IF((I160&lt;=$B$444)*((I161&gt;=$C$444)+(I161&lt;2/24)),1,0),0)</f>
        <v>0</v>
      </c>
      <c r="AJ164" s="6">
        <f>IF((J160&lt;&gt;"")*(J164=""),IF((J160&lt;=$B$444)*((J161&gt;=$C$444)+(J161&lt;2/24)),1,0),0)</f>
        <v>0</v>
      </c>
    </row>
    <row r="165" spans="1:36" ht="13.5" hidden="1" thickBot="1" x14ac:dyDescent="0.25">
      <c r="A165" s="41"/>
      <c r="B165" s="42"/>
      <c r="C165" s="35" t="s">
        <v>28</v>
      </c>
      <c r="D165" s="36"/>
      <c r="E165" s="36"/>
      <c r="F165" s="36"/>
      <c r="G165" s="36"/>
      <c r="H165" s="36"/>
      <c r="I165" s="36"/>
      <c r="J165" s="36"/>
      <c r="K165" s="34"/>
      <c r="L165" s="6"/>
      <c r="M165" s="25"/>
      <c r="N165" s="6"/>
      <c r="O165" s="6"/>
      <c r="P165" s="6"/>
      <c r="Q165" s="6"/>
      <c r="R165" s="6"/>
      <c r="S165" s="6"/>
      <c r="T165" s="6"/>
      <c r="U165" s="6"/>
      <c r="V165" s="20"/>
      <c r="W165" s="20"/>
      <c r="X165" s="20"/>
      <c r="Y165" s="20"/>
      <c r="Z165" s="20"/>
      <c r="AA165" s="20"/>
      <c r="AB165" s="20"/>
      <c r="AD165" s="6"/>
      <c r="AE165" s="6"/>
      <c r="AF165" s="6"/>
      <c r="AG165" s="6"/>
      <c r="AH165" s="6"/>
      <c r="AI165" s="6"/>
      <c r="AJ165" s="6"/>
    </row>
    <row r="166" spans="1:36" ht="13.5" hidden="1" thickBot="1" x14ac:dyDescent="0.25">
      <c r="A166" s="37" t="s">
        <v>29</v>
      </c>
      <c r="B166" s="38" t="s">
        <v>30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  <c r="L166" s="6"/>
      <c r="M166" s="21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D166" s="6">
        <f>IF((D166&lt;&gt;"")*(D170=""),IF((D166&lt;=$B$440)*((D167&gt;=$C$440)+(D167&lt;2/24)),1,0),0)</f>
        <v>0</v>
      </c>
      <c r="AE166" s="6">
        <f>IF((E166&lt;&gt;"")*(E170=""),IF((E166&lt;=$B$440)*((E167&gt;=$C$440)+(E167&lt;2/24)),1,0),0)</f>
        <v>0</v>
      </c>
      <c r="AF166" s="6">
        <f>IF((F166&lt;&gt;"")*(F170=""),IF((F166&lt;=$B$440)*((F167&gt;=$C$440)+(F167&lt;2/24)),1,0),0)</f>
        <v>0</v>
      </c>
      <c r="AG166" s="6">
        <f>IF((G166&lt;&gt;"")*(G170=""),IF((G166&lt;=$B$440)*((G167&gt;=$C$440)+(G167&lt;2/24)),1,0),0)</f>
        <v>0</v>
      </c>
      <c r="AH166" s="6">
        <f>IF((H166&lt;&gt;"")*(H170=""),IF((H166&lt;=$B$440)*((H167&gt;=$C$440)+(H167&lt;2/24)),1,0),0)</f>
        <v>0</v>
      </c>
      <c r="AI166" s="6">
        <f>IF((I166&lt;&gt;"")*(I170=""),IF((I166&lt;=$B$440)*((I167&gt;=$C$440)+(I167&lt;2/24)),1,0),0)</f>
        <v>0</v>
      </c>
      <c r="AJ166" s="6">
        <f>IF((J166&lt;&gt;"")*(J170=""),IF((J166&lt;=$B$440)*((J167&gt;=$C$440)+(J167&lt;2/24)),1,0),0)</f>
        <v>0</v>
      </c>
    </row>
    <row r="167" spans="1:36" ht="13.5" hidden="1" thickBot="1" x14ac:dyDescent="0.25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  <c r="L167" s="6"/>
      <c r="M167" s="21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D167" s="6">
        <f>IF((D166&lt;&gt;"")*(D170=""),IF((D166&lt;=$B$441)*((D167&gt;=$C$441)+(D167&lt;2/24)),1,0),0)</f>
        <v>0</v>
      </c>
      <c r="AE167" s="6">
        <f>IF((E166&lt;&gt;"")*(E170=""),IF((E166&lt;=$B$441)*((E167&gt;=$C$441)+(E167&lt;2/24)),1,0),0)</f>
        <v>0</v>
      </c>
      <c r="AF167" s="6">
        <f>IF((F166&lt;&gt;"")*(F170=""),IF((F166&lt;=$B$441)*((F167&gt;=$C$441)+(F167&lt;2/24)),1,0),0)</f>
        <v>0</v>
      </c>
      <c r="AG167" s="6">
        <f>IF((G166&lt;&gt;"")*(G170=""),IF((G166&lt;=$B$441)*((G167&gt;=$C$441)+(G167&lt;2/24)),1,0),0)</f>
        <v>0</v>
      </c>
      <c r="AH167" s="6">
        <f>IF((H166&lt;&gt;"")*(H170=""),IF((H166&lt;=$B$441)*((H167&gt;=$C$441)+(H167&lt;2/24)),1,0),0)</f>
        <v>0</v>
      </c>
      <c r="AI167" s="6">
        <f>IF((I166&lt;&gt;"")*(I170=""),IF((I166&lt;=$B$441)*((I167&gt;=$C$441)+(I167&lt;2/24)),1,0),0)</f>
        <v>0</v>
      </c>
      <c r="AJ167" s="6">
        <f>IF((J166&lt;&gt;"")*(J170=""),IF((J166&lt;=$B$441)*((J167&gt;=$C$441)+(J167&lt;2/24)),1,0),0)</f>
        <v>0</v>
      </c>
    </row>
    <row r="168" spans="1:36" ht="13.5" hidden="1" thickBot="1" x14ac:dyDescent="0.25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D168" s="6">
        <f>IF((D166&lt;&gt;"")*(D170=""),IF((D166&lt;=$B$442)*((D167&gt;=$C$442)+(D167&lt;2/24)),1,0),0)</f>
        <v>0</v>
      </c>
      <c r="AE168" s="6">
        <f>IF((E166&lt;&gt;"")*(E170=""),IF((E166&lt;=$B$442)*((E167&gt;=$C$442)+(E167&lt;2/24)),1,0),0)</f>
        <v>0</v>
      </c>
      <c r="AF168" s="6">
        <f>IF((F166&lt;&gt;"")*(F170=""),IF((F166&lt;=$B$442)*((F167&gt;=$C$442)+(F167&lt;2/24)),1,0),0)</f>
        <v>0</v>
      </c>
      <c r="AG168" s="6">
        <f>IF((G166&lt;&gt;"")*(G170=""),IF((G166&lt;=$B$442)*((G167&gt;=$C$442)+(G167&lt;2/24)),1,0),0)</f>
        <v>0</v>
      </c>
      <c r="AH168" s="6">
        <f>IF((H166&lt;&gt;"")*(H170=""),IF((H166&lt;=$B$442)*((H167&gt;=$C$442)+(H167&lt;2/24)),1,0),0)</f>
        <v>0</v>
      </c>
      <c r="AI168" s="6">
        <f>IF((I166&lt;&gt;"")*(I170=""),IF((I166&lt;=$B$442)*((I167&gt;=$C$442)+(I167&lt;2/24)),1,0),0)</f>
        <v>0</v>
      </c>
      <c r="AJ168" s="6">
        <f>IF((J166&lt;&gt;"")*(J170=""),IF((J166&lt;=$B$442)*((J167&gt;=$C$442)+(J167&lt;2/24)),1,0),0)</f>
        <v>0</v>
      </c>
    </row>
    <row r="169" spans="1:36" ht="13.5" hidden="1" thickBot="1" x14ac:dyDescent="0.25">
      <c r="A169" s="39"/>
      <c r="B169" s="40"/>
      <c r="C169" s="15" t="s">
        <v>3</v>
      </c>
      <c r="D169" s="43"/>
      <c r="E169" s="43"/>
      <c r="F169" s="43"/>
      <c r="G169" s="43"/>
      <c r="H169" s="43"/>
      <c r="I169" s="43"/>
      <c r="J169" s="44"/>
      <c r="K169" s="18">
        <f>SUMIF(D170:J170,"",D169:J169)</f>
        <v>0</v>
      </c>
      <c r="L169" s="12">
        <f>SUM(D169:J169)</f>
        <v>0</v>
      </c>
      <c r="M169" s="24"/>
      <c r="N169" s="10">
        <f>IF(D170="",D169,0)</f>
        <v>0</v>
      </c>
      <c r="O169" s="10">
        <f>IF(E170="",E169,0)</f>
        <v>0</v>
      </c>
      <c r="P169" s="10">
        <f t="shared" ref="P169:T169" si="54">IF(F170="",F169,0)</f>
        <v>0</v>
      </c>
      <c r="Q169" s="10">
        <f t="shared" si="54"/>
        <v>0</v>
      </c>
      <c r="R169" s="10">
        <f t="shared" si="54"/>
        <v>0</v>
      </c>
      <c r="S169" s="10">
        <f t="shared" si="54"/>
        <v>0</v>
      </c>
      <c r="T169" s="10">
        <f t="shared" si="54"/>
        <v>0</v>
      </c>
      <c r="U169" s="10"/>
      <c r="V169" s="10">
        <f>D169</f>
        <v>0</v>
      </c>
      <c r="W169" s="10">
        <f>E169</f>
        <v>0</v>
      </c>
      <c r="X169" s="10">
        <f t="shared" ref="X169:AB169" si="55">F169</f>
        <v>0</v>
      </c>
      <c r="Y169" s="10">
        <f t="shared" si="55"/>
        <v>0</v>
      </c>
      <c r="Z169" s="10">
        <f t="shared" si="55"/>
        <v>0</v>
      </c>
      <c r="AA169" s="10">
        <f t="shared" si="55"/>
        <v>0</v>
      </c>
      <c r="AB169" s="10">
        <f t="shared" si="55"/>
        <v>0</v>
      </c>
      <c r="AD169" s="6">
        <f>IF((D166&lt;&gt;"")*(D170=""),IF((D166&lt;=$B$443)*((D167&gt;=$C$443)+(D167&lt;2/24)),1,0),0)</f>
        <v>0</v>
      </c>
      <c r="AE169" s="6">
        <f>IF((E166&lt;&gt;"")*(E170=""),IF((E166&lt;=$B$443)*((E167&gt;=$C$443)+(E167&lt;2/24)),1,0),0)</f>
        <v>0</v>
      </c>
      <c r="AF169" s="6">
        <f>IF((F166&lt;&gt;"")*(F170=""),IF((F166&lt;=$B$443)*((F167&gt;=$C$443)+(F167&lt;2/24)),1,0),0)</f>
        <v>0</v>
      </c>
      <c r="AG169" s="6">
        <f>IF((G166&lt;&gt;"")*(G170=""),IF((G166&lt;=$B$443)*((G167&gt;=$C$443)+(G167&lt;2/24)),1,0),0)</f>
        <v>0</v>
      </c>
      <c r="AH169" s="6">
        <f>IF((H166&lt;&gt;"")*(H170=""),IF((H166&lt;=$B$443)*((H167&gt;=$C$443)+(H167&lt;2/24)),1,0),0)</f>
        <v>0</v>
      </c>
      <c r="AI169" s="6">
        <f>IF((I166&lt;&gt;"")*(I170=""),IF((I166&lt;=$B$443)*((I167&gt;=$C$443)+(I167&lt;2/24)),1,0),0)</f>
        <v>0</v>
      </c>
      <c r="AJ169" s="6">
        <f>IF((J166&lt;&gt;"")*(J170=""),IF((J166&lt;=$B$443)*((J167&gt;=$C$443)+(J167&lt;2/24)),1,0),0)</f>
        <v>0</v>
      </c>
    </row>
    <row r="170" spans="1:36" ht="13.5" hidden="1" thickBot="1" x14ac:dyDescent="0.25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  <c r="N170" s="6"/>
      <c r="O170" s="6"/>
      <c r="P170" s="6"/>
      <c r="Q170" s="6"/>
      <c r="R170" s="6"/>
      <c r="S170" s="6"/>
      <c r="T170" s="6"/>
      <c r="U170" s="6"/>
      <c r="V170" s="20"/>
      <c r="W170" s="20"/>
      <c r="X170" s="20"/>
      <c r="Y170" s="20"/>
      <c r="Z170" s="20"/>
      <c r="AA170" s="20"/>
      <c r="AB170" s="20"/>
      <c r="AD170" s="6">
        <f>IF((D166&lt;&gt;"")*(D170=""),IF((D166&lt;=$B$444)*((D167&gt;=$C$444)+(D167&lt;2/24)),1,0),0)</f>
        <v>0</v>
      </c>
      <c r="AE170" s="6">
        <f>IF((E166&lt;&gt;"")*(E170=""),IF((E166&lt;=$B$444)*((E167&gt;=$C$444)+(E167&lt;2/24)),1,0),0)</f>
        <v>0</v>
      </c>
      <c r="AF170" s="6">
        <f>IF((F166&lt;&gt;"")*(F170=""),IF((F166&lt;=$B$444)*((F167&gt;=$C$444)+(F167&lt;2/24)),1,0),0)</f>
        <v>0</v>
      </c>
      <c r="AG170" s="6">
        <f>IF((G166&lt;&gt;"")*(G170=""),IF((G166&lt;=$B$444)*((G167&gt;=$C$444)+(G167&lt;2/24)),1,0),0)</f>
        <v>0</v>
      </c>
      <c r="AH170" s="6">
        <f>IF((H166&lt;&gt;"")*(H170=""),IF((H166&lt;=$B$444)*((H167&gt;=$C$444)+(H167&lt;2/24)),1,0),0)</f>
        <v>0</v>
      </c>
      <c r="AI170" s="6">
        <f>IF((I166&lt;&gt;"")*(I170=""),IF((I166&lt;=$B$444)*((I167&gt;=$C$444)+(I167&lt;2/24)),1,0),0)</f>
        <v>0</v>
      </c>
      <c r="AJ170" s="6">
        <f>IF((J166&lt;&gt;"")*(J170=""),IF((J166&lt;=$B$444)*((J167&gt;=$C$444)+(J167&lt;2/24)),1,0),0)</f>
        <v>0</v>
      </c>
    </row>
    <row r="171" spans="1:36" ht="13.5" hidden="1" thickBot="1" x14ac:dyDescent="0.25">
      <c r="A171" s="41"/>
      <c r="B171" s="42"/>
      <c r="C171" s="35" t="s">
        <v>28</v>
      </c>
      <c r="D171" s="36"/>
      <c r="E171" s="36"/>
      <c r="F171" s="36"/>
      <c r="G171" s="36"/>
      <c r="H171" s="36"/>
      <c r="I171" s="36"/>
      <c r="J171" s="36"/>
      <c r="K171" s="34"/>
      <c r="L171" s="6"/>
      <c r="M171" s="25"/>
      <c r="N171" s="6"/>
      <c r="O171" s="6"/>
      <c r="P171" s="6"/>
      <c r="Q171" s="6"/>
      <c r="R171" s="6"/>
      <c r="S171" s="6"/>
      <c r="T171" s="6"/>
      <c r="U171" s="6"/>
      <c r="V171" s="20"/>
      <c r="W171" s="20"/>
      <c r="X171" s="20"/>
      <c r="Y171" s="20"/>
      <c r="Z171" s="20"/>
      <c r="AA171" s="20"/>
      <c r="AB171" s="20"/>
      <c r="AD171" s="6"/>
      <c r="AE171" s="6"/>
      <c r="AF171" s="6"/>
      <c r="AG171" s="6"/>
      <c r="AH171" s="6"/>
      <c r="AI171" s="6"/>
      <c r="AJ171" s="6"/>
    </row>
    <row r="172" spans="1:36" ht="13.5" hidden="1" thickBot="1" x14ac:dyDescent="0.25">
      <c r="A172" s="37" t="s">
        <v>29</v>
      </c>
      <c r="B172" s="38" t="s">
        <v>30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  <c r="L172" s="6"/>
      <c r="M172" s="21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D172" s="6">
        <f>IF((D172&lt;&gt;"")*(D176=""),IF((D172&lt;=$B$440)*((D173&gt;=$C$440)+(D173&lt;2/24)),1,0),0)</f>
        <v>0</v>
      </c>
      <c r="AE172" s="6">
        <f>IF((E172&lt;&gt;"")*(E176=""),IF((E172&lt;=$B$440)*((E173&gt;=$C$440)+(E173&lt;2/24)),1,0),0)</f>
        <v>0</v>
      </c>
      <c r="AF172" s="6">
        <f>IF((F172&lt;&gt;"")*(F176=""),IF((F172&lt;=$B$440)*((F173&gt;=$C$440)+(F173&lt;2/24)),1,0),0)</f>
        <v>0</v>
      </c>
      <c r="AG172" s="6">
        <f>IF((G172&lt;&gt;"")*(G176=""),IF((G172&lt;=$B$440)*((G173&gt;=$C$440)+(G173&lt;2/24)),1,0),0)</f>
        <v>0</v>
      </c>
      <c r="AH172" s="6">
        <f>IF((H172&lt;&gt;"")*(H176=""),IF((H172&lt;=$B$440)*((H173&gt;=$C$440)+(H173&lt;2/24)),1,0),0)</f>
        <v>0</v>
      </c>
      <c r="AI172" s="6">
        <f>IF((I172&lt;&gt;"")*(I176=""),IF((I172&lt;=$B$440)*((I173&gt;=$C$440)+(I173&lt;2/24)),1,0),0)</f>
        <v>0</v>
      </c>
      <c r="AJ172" s="6">
        <f>IF((J172&lt;&gt;"")*(J176=""),IF((J172&lt;=$B$440)*((J173&gt;=$C$440)+(J173&lt;2/24)),1,0),0)</f>
        <v>0</v>
      </c>
    </row>
    <row r="173" spans="1:36" ht="13.5" hidden="1" thickBot="1" x14ac:dyDescent="0.25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  <c r="L173" s="6"/>
      <c r="M173" s="21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D173" s="6">
        <f>IF((D172&lt;&gt;"")*(D176=""),IF((D172&lt;=$B$441)*((D173&gt;=$C$441)+(D173&lt;2/24)),1,0),0)</f>
        <v>0</v>
      </c>
      <c r="AE173" s="6">
        <f>IF((E172&lt;&gt;"")*(E176=""),IF((E172&lt;=$B$441)*((E173&gt;=$C$441)+(E173&lt;2/24)),1,0),0)</f>
        <v>0</v>
      </c>
      <c r="AF173" s="6">
        <f>IF((F172&lt;&gt;"")*(F176=""),IF((F172&lt;=$B$441)*((F173&gt;=$C$441)+(F173&lt;2/24)),1,0),0)</f>
        <v>0</v>
      </c>
      <c r="AG173" s="6">
        <f>IF((G172&lt;&gt;"")*(G176=""),IF((G172&lt;=$B$441)*((G173&gt;=$C$441)+(G173&lt;2/24)),1,0),0)</f>
        <v>0</v>
      </c>
      <c r="AH173" s="6">
        <f>IF((H172&lt;&gt;"")*(H176=""),IF((H172&lt;=$B$441)*((H173&gt;=$C$441)+(H173&lt;2/24)),1,0),0)</f>
        <v>0</v>
      </c>
      <c r="AI173" s="6">
        <f>IF((I172&lt;&gt;"")*(I176=""),IF((I172&lt;=$B$441)*((I173&gt;=$C$441)+(I173&lt;2/24)),1,0),0)</f>
        <v>0</v>
      </c>
      <c r="AJ173" s="6">
        <f>IF((J172&lt;&gt;"")*(J176=""),IF((J172&lt;=$B$441)*((J173&gt;=$C$441)+(J173&lt;2/24)),1,0),0)</f>
        <v>0</v>
      </c>
    </row>
    <row r="174" spans="1:36" ht="13.5" hidden="1" thickBot="1" x14ac:dyDescent="0.25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D174" s="6">
        <f>IF((D172&lt;&gt;"")*(D176=""),IF((D172&lt;=$B$442)*((D173&gt;=$C$442)+(D173&lt;2/24)),1,0),0)</f>
        <v>0</v>
      </c>
      <c r="AE174" s="6">
        <f>IF((E172&lt;&gt;"")*(E176=""),IF((E172&lt;=$B$442)*((E173&gt;=$C$442)+(E173&lt;2/24)),1,0),0)</f>
        <v>0</v>
      </c>
      <c r="AF174" s="6">
        <f>IF((F172&lt;&gt;"")*(F176=""),IF((F172&lt;=$B$442)*((F173&gt;=$C$442)+(F173&lt;2/24)),1,0),0)</f>
        <v>0</v>
      </c>
      <c r="AG174" s="6">
        <f>IF((G172&lt;&gt;"")*(G176=""),IF((G172&lt;=$B$442)*((G173&gt;=$C$442)+(G173&lt;2/24)),1,0),0)</f>
        <v>0</v>
      </c>
      <c r="AH174" s="6">
        <f>IF((H172&lt;&gt;"")*(H176=""),IF((H172&lt;=$B$442)*((H173&gt;=$C$442)+(H173&lt;2/24)),1,0),0)</f>
        <v>0</v>
      </c>
      <c r="AI174" s="6">
        <f>IF((I172&lt;&gt;"")*(I176=""),IF((I172&lt;=$B$442)*((I173&gt;=$C$442)+(I173&lt;2/24)),1,0),0)</f>
        <v>0</v>
      </c>
      <c r="AJ174" s="6">
        <f>IF((J172&lt;&gt;"")*(J176=""),IF((J172&lt;=$B$442)*((J173&gt;=$C$442)+(J173&lt;2/24)),1,0),0)</f>
        <v>0</v>
      </c>
    </row>
    <row r="175" spans="1:36" ht="13.5" hidden="1" thickBot="1" x14ac:dyDescent="0.25">
      <c r="A175" s="39"/>
      <c r="B175" s="40"/>
      <c r="C175" s="15" t="s">
        <v>3</v>
      </c>
      <c r="D175" s="43"/>
      <c r="E175" s="43"/>
      <c r="F175" s="43"/>
      <c r="G175" s="43"/>
      <c r="H175" s="43"/>
      <c r="I175" s="43"/>
      <c r="J175" s="44"/>
      <c r="K175" s="18">
        <f>SUMIF(D176:J176,"",D175:J175)</f>
        <v>0</v>
      </c>
      <c r="L175" s="12">
        <f>SUM(D175:J175)</f>
        <v>0</v>
      </c>
      <c r="M175" s="24"/>
      <c r="N175" s="10">
        <f>IF(D176="",D175,0)</f>
        <v>0</v>
      </c>
      <c r="O175" s="10">
        <f>IF(E176="",E175,0)</f>
        <v>0</v>
      </c>
      <c r="P175" s="10">
        <f t="shared" ref="P175:T175" si="56">IF(F176="",F175,0)</f>
        <v>0</v>
      </c>
      <c r="Q175" s="10">
        <f t="shared" si="56"/>
        <v>0</v>
      </c>
      <c r="R175" s="10">
        <f t="shared" si="56"/>
        <v>0</v>
      </c>
      <c r="S175" s="10">
        <f t="shared" si="56"/>
        <v>0</v>
      </c>
      <c r="T175" s="10">
        <f t="shared" si="56"/>
        <v>0</v>
      </c>
      <c r="U175" s="10"/>
      <c r="V175" s="10">
        <f>D175</f>
        <v>0</v>
      </c>
      <c r="W175" s="10">
        <f>E175</f>
        <v>0</v>
      </c>
      <c r="X175" s="10">
        <f t="shared" ref="X175:AB175" si="57">F175</f>
        <v>0</v>
      </c>
      <c r="Y175" s="10">
        <f t="shared" si="57"/>
        <v>0</v>
      </c>
      <c r="Z175" s="10">
        <f t="shared" si="57"/>
        <v>0</v>
      </c>
      <c r="AA175" s="10">
        <f t="shared" si="57"/>
        <v>0</v>
      </c>
      <c r="AB175" s="10">
        <f t="shared" si="57"/>
        <v>0</v>
      </c>
      <c r="AD175" s="6">
        <f>IF((D172&lt;&gt;"")*(D176=""),IF((D172&lt;=$B$443)*((D173&gt;=$C$443)+(D173&lt;2/24)),1,0),0)</f>
        <v>0</v>
      </c>
      <c r="AE175" s="6">
        <f>IF((E172&lt;&gt;"")*(E176=""),IF((E172&lt;=$B$443)*((E173&gt;=$C$443)+(E173&lt;2/24)),1,0),0)</f>
        <v>0</v>
      </c>
      <c r="AF175" s="6">
        <f>IF((F172&lt;&gt;"")*(F176=""),IF((F172&lt;=$B$443)*((F173&gt;=$C$443)+(F173&lt;2/24)),1,0),0)</f>
        <v>0</v>
      </c>
      <c r="AG175" s="6">
        <f>IF((G172&lt;&gt;"")*(G176=""),IF((G172&lt;=$B$443)*((G173&gt;=$C$443)+(G173&lt;2/24)),1,0),0)</f>
        <v>0</v>
      </c>
      <c r="AH175" s="6">
        <f>IF((H172&lt;&gt;"")*(H176=""),IF((H172&lt;=$B$443)*((H173&gt;=$C$443)+(H173&lt;2/24)),1,0),0)</f>
        <v>0</v>
      </c>
      <c r="AI175" s="6">
        <f>IF((I172&lt;&gt;"")*(I176=""),IF((I172&lt;=$B$443)*((I173&gt;=$C$443)+(I173&lt;2/24)),1,0),0)</f>
        <v>0</v>
      </c>
      <c r="AJ175" s="6">
        <f>IF((J172&lt;&gt;"")*(J176=""),IF((J172&lt;=$B$443)*((J173&gt;=$C$443)+(J173&lt;2/24)),1,0),0)</f>
        <v>0</v>
      </c>
    </row>
    <row r="176" spans="1:36" ht="13.5" hidden="1" thickBot="1" x14ac:dyDescent="0.25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  <c r="N176" s="6"/>
      <c r="O176" s="6"/>
      <c r="P176" s="6"/>
      <c r="Q176" s="6"/>
      <c r="R176" s="6"/>
      <c r="S176" s="6"/>
      <c r="T176" s="6"/>
      <c r="U176" s="6"/>
      <c r="V176" s="20"/>
      <c r="W176" s="20"/>
      <c r="X176" s="20"/>
      <c r="Y176" s="20"/>
      <c r="Z176" s="20"/>
      <c r="AA176" s="20"/>
      <c r="AB176" s="20"/>
      <c r="AD176" s="6">
        <f>IF((D172&lt;&gt;"")*(D176=""),IF((D172&lt;=$B$444)*((D173&gt;=$C$444)+(D173&lt;2/24)),1,0),0)</f>
        <v>0</v>
      </c>
      <c r="AE176" s="6">
        <f>IF((E172&lt;&gt;"")*(E176=""),IF((E172&lt;=$B$444)*((E173&gt;=$C$444)+(E173&lt;2/24)),1,0),0)</f>
        <v>0</v>
      </c>
      <c r="AF176" s="6">
        <f>IF((F172&lt;&gt;"")*(F176=""),IF((F172&lt;=$B$444)*((F173&gt;=$C$444)+(F173&lt;2/24)),1,0),0)</f>
        <v>0</v>
      </c>
      <c r="AG176" s="6">
        <f>IF((G172&lt;&gt;"")*(G176=""),IF((G172&lt;=$B$444)*((G173&gt;=$C$444)+(G173&lt;2/24)),1,0),0)</f>
        <v>0</v>
      </c>
      <c r="AH176" s="6">
        <f>IF((H172&lt;&gt;"")*(H176=""),IF((H172&lt;=$B$444)*((H173&gt;=$C$444)+(H173&lt;2/24)),1,0),0)</f>
        <v>0</v>
      </c>
      <c r="AI176" s="6">
        <f>IF((I172&lt;&gt;"")*(I176=""),IF((I172&lt;=$B$444)*((I173&gt;=$C$444)+(I173&lt;2/24)),1,0),0)</f>
        <v>0</v>
      </c>
      <c r="AJ176" s="6">
        <f>IF((J172&lt;&gt;"")*(J176=""),IF((J172&lt;=$B$444)*((J173&gt;=$C$444)+(J173&lt;2/24)),1,0),0)</f>
        <v>0</v>
      </c>
    </row>
    <row r="177" spans="1:36" ht="13.5" hidden="1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36"/>
      <c r="I177" s="36"/>
      <c r="J177" s="36"/>
      <c r="K177" s="34"/>
      <c r="L177" s="6"/>
      <c r="M177" s="25"/>
      <c r="N177" s="6"/>
      <c r="O177" s="6"/>
      <c r="P177" s="6"/>
      <c r="Q177" s="6"/>
      <c r="R177" s="6"/>
      <c r="S177" s="6"/>
      <c r="T177" s="6"/>
      <c r="U177" s="6"/>
      <c r="V177" s="20"/>
      <c r="W177" s="20"/>
      <c r="X177" s="20"/>
      <c r="Y177" s="20"/>
      <c r="Z177" s="20"/>
      <c r="AA177" s="20"/>
      <c r="AB177" s="20"/>
      <c r="AD177" s="6"/>
      <c r="AE177" s="6"/>
      <c r="AF177" s="6"/>
      <c r="AG177" s="6"/>
      <c r="AH177" s="6"/>
      <c r="AI177" s="6"/>
      <c r="AJ177" s="6"/>
    </row>
    <row r="178" spans="1:36" ht="13.5" hidden="1" thickBot="1" x14ac:dyDescent="0.25">
      <c r="A178" s="37" t="s">
        <v>29</v>
      </c>
      <c r="B178" s="38" t="s">
        <v>30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  <c r="L178" s="6"/>
      <c r="M178" s="21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D178" s="6">
        <f>IF((D178&lt;&gt;"")*(D182=""),IF((D178&lt;=$B$440)*((D179&gt;=$C$440)+(D179&lt;2/24)),1,0),0)</f>
        <v>0</v>
      </c>
      <c r="AE178" s="6">
        <f>IF((E178&lt;&gt;"")*(E182=""),IF((E178&lt;=$B$440)*((E179&gt;=$C$440)+(E179&lt;2/24)),1,0),0)</f>
        <v>0</v>
      </c>
      <c r="AF178" s="6">
        <f>IF((F178&lt;&gt;"")*(F182=""),IF((F178&lt;=$B$440)*((F179&gt;=$C$440)+(F179&lt;2/24)),1,0),0)</f>
        <v>0</v>
      </c>
      <c r="AG178" s="6">
        <f>IF((G178&lt;&gt;"")*(G182=""),IF((G178&lt;=$B$440)*((G179&gt;=$C$440)+(G179&lt;2/24)),1,0),0)</f>
        <v>0</v>
      </c>
      <c r="AH178" s="6">
        <f>IF((H178&lt;&gt;"")*(H182=""),IF((H178&lt;=$B$440)*((H179&gt;=$C$440)+(H179&lt;2/24)),1,0),0)</f>
        <v>0</v>
      </c>
      <c r="AI178" s="6">
        <f>IF((I178&lt;&gt;"")*(I182=""),IF((I178&lt;=$B$440)*((I179&gt;=$C$440)+(I179&lt;2/24)),1,0),0)</f>
        <v>0</v>
      </c>
      <c r="AJ178" s="6">
        <f>IF((J178&lt;&gt;"")*(J182=""),IF((J178&lt;=$B$440)*((J179&gt;=$C$440)+(J179&lt;2/24)),1,0),0)</f>
        <v>0</v>
      </c>
    </row>
    <row r="179" spans="1:36" ht="13.5" hidden="1" thickBot="1" x14ac:dyDescent="0.25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  <c r="L179" s="6"/>
      <c r="M179" s="21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D179" s="6">
        <f>IF((D178&lt;&gt;"")*(D182=""),IF((D178&lt;=$B$441)*((D179&gt;=$C$441)+(D179&lt;2/24)),1,0),0)</f>
        <v>0</v>
      </c>
      <c r="AE179" s="6">
        <f>IF((E178&lt;&gt;"")*(E182=""),IF((E178&lt;=$B$441)*((E179&gt;=$C$441)+(E179&lt;2/24)),1,0),0)</f>
        <v>0</v>
      </c>
      <c r="AF179" s="6">
        <f>IF((F178&lt;&gt;"")*(F182=""),IF((F178&lt;=$B$441)*((F179&gt;=$C$441)+(F179&lt;2/24)),1,0),0)</f>
        <v>0</v>
      </c>
      <c r="AG179" s="6">
        <f>IF((G178&lt;&gt;"")*(G182=""),IF((G178&lt;=$B$441)*((G179&gt;=$C$441)+(G179&lt;2/24)),1,0),0)</f>
        <v>0</v>
      </c>
      <c r="AH179" s="6">
        <f>IF((H178&lt;&gt;"")*(H182=""),IF((H178&lt;=$B$441)*((H179&gt;=$C$441)+(H179&lt;2/24)),1,0),0)</f>
        <v>0</v>
      </c>
      <c r="AI179" s="6">
        <f>IF((I178&lt;&gt;"")*(I182=""),IF((I178&lt;=$B$441)*((I179&gt;=$C$441)+(I179&lt;2/24)),1,0),0)</f>
        <v>0</v>
      </c>
      <c r="AJ179" s="6">
        <f>IF((J178&lt;&gt;"")*(J182=""),IF((J178&lt;=$B$441)*((J179&gt;=$C$441)+(J179&lt;2/24)),1,0),0)</f>
        <v>0</v>
      </c>
    </row>
    <row r="180" spans="1:36" ht="13.5" hidden="1" thickBot="1" x14ac:dyDescent="0.25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D180" s="6">
        <f>IF((D178&lt;&gt;"")*(D182=""),IF((D178&lt;=$B$442)*((D179&gt;=$C$442)+(D179&lt;2/24)),1,0),0)</f>
        <v>0</v>
      </c>
      <c r="AE180" s="6">
        <f>IF((E178&lt;&gt;"")*(E182=""),IF((E178&lt;=$B$442)*((E179&gt;=$C$442)+(E179&lt;2/24)),1,0),0)</f>
        <v>0</v>
      </c>
      <c r="AF180" s="6">
        <f>IF((F178&lt;&gt;"")*(F182=""),IF((F178&lt;=$B$442)*((F179&gt;=$C$442)+(F179&lt;2/24)),1,0),0)</f>
        <v>0</v>
      </c>
      <c r="AG180" s="6">
        <f>IF((G178&lt;&gt;"")*(G182=""),IF((G178&lt;=$B$442)*((G179&gt;=$C$442)+(G179&lt;2/24)),1,0),0)</f>
        <v>0</v>
      </c>
      <c r="AH180" s="6">
        <f>IF((H178&lt;&gt;"")*(H182=""),IF((H178&lt;=$B$442)*((H179&gt;=$C$442)+(H179&lt;2/24)),1,0),0)</f>
        <v>0</v>
      </c>
      <c r="AI180" s="6">
        <f>IF((I178&lt;&gt;"")*(I182=""),IF((I178&lt;=$B$442)*((I179&gt;=$C$442)+(I179&lt;2/24)),1,0),0)</f>
        <v>0</v>
      </c>
      <c r="AJ180" s="6">
        <f>IF((J178&lt;&gt;"")*(J182=""),IF((J178&lt;=$B$442)*((J179&gt;=$C$442)+(J179&lt;2/24)),1,0),0)</f>
        <v>0</v>
      </c>
    </row>
    <row r="181" spans="1:36" ht="13.5" hidden="1" thickBot="1" x14ac:dyDescent="0.25">
      <c r="A181" s="39"/>
      <c r="B181" s="40"/>
      <c r="C181" s="15" t="s">
        <v>3</v>
      </c>
      <c r="D181" s="43"/>
      <c r="E181" s="43"/>
      <c r="F181" s="43"/>
      <c r="G181" s="43"/>
      <c r="H181" s="43"/>
      <c r="I181" s="43"/>
      <c r="J181" s="44"/>
      <c r="K181" s="18">
        <f>SUMIF(D182:J182,"",D181:J181)</f>
        <v>0</v>
      </c>
      <c r="L181" s="12">
        <f>SUM(D181:J181)</f>
        <v>0</v>
      </c>
      <c r="M181" s="24"/>
      <c r="N181" s="10">
        <f>IF(D182="",D181,0)</f>
        <v>0</v>
      </c>
      <c r="O181" s="10">
        <f>IF(E182="",E181,0)</f>
        <v>0</v>
      </c>
      <c r="P181" s="10">
        <f t="shared" ref="P181:T181" si="58">IF(F182="",F181,0)</f>
        <v>0</v>
      </c>
      <c r="Q181" s="10">
        <f t="shared" si="58"/>
        <v>0</v>
      </c>
      <c r="R181" s="10">
        <f t="shared" si="58"/>
        <v>0</v>
      </c>
      <c r="S181" s="10">
        <f t="shared" si="58"/>
        <v>0</v>
      </c>
      <c r="T181" s="10">
        <f t="shared" si="58"/>
        <v>0</v>
      </c>
      <c r="U181" s="10"/>
      <c r="V181" s="10">
        <f>D181</f>
        <v>0</v>
      </c>
      <c r="W181" s="10">
        <f>E181</f>
        <v>0</v>
      </c>
      <c r="X181" s="10">
        <f t="shared" ref="X181:AB181" si="59">F181</f>
        <v>0</v>
      </c>
      <c r="Y181" s="10">
        <f t="shared" si="59"/>
        <v>0</v>
      </c>
      <c r="Z181" s="10">
        <f t="shared" si="59"/>
        <v>0</v>
      </c>
      <c r="AA181" s="10">
        <f t="shared" si="59"/>
        <v>0</v>
      </c>
      <c r="AB181" s="10">
        <f t="shared" si="59"/>
        <v>0</v>
      </c>
      <c r="AD181" s="6">
        <f>IF((D178&lt;&gt;"")*(D182=""),IF((D178&lt;=$B$443)*((D179&gt;=$C$443)+(D179&lt;2/24)),1,0),0)</f>
        <v>0</v>
      </c>
      <c r="AE181" s="6">
        <f>IF((E178&lt;&gt;"")*(E182=""),IF((E178&lt;=$B$443)*((E179&gt;=$C$443)+(E179&lt;2/24)),1,0),0)</f>
        <v>0</v>
      </c>
      <c r="AF181" s="6">
        <f>IF((F178&lt;&gt;"")*(F182=""),IF((F178&lt;=$B$443)*((F179&gt;=$C$443)+(F179&lt;2/24)),1,0),0)</f>
        <v>0</v>
      </c>
      <c r="AG181" s="6">
        <f>IF((G178&lt;&gt;"")*(G182=""),IF((G178&lt;=$B$443)*((G179&gt;=$C$443)+(G179&lt;2/24)),1,0),0)</f>
        <v>0</v>
      </c>
      <c r="AH181" s="6">
        <f>IF((H178&lt;&gt;"")*(H182=""),IF((H178&lt;=$B$443)*((H179&gt;=$C$443)+(H179&lt;2/24)),1,0),0)</f>
        <v>0</v>
      </c>
      <c r="AI181" s="6">
        <f>IF((I178&lt;&gt;"")*(I182=""),IF((I178&lt;=$B$443)*((I179&gt;=$C$443)+(I179&lt;2/24)),1,0),0)</f>
        <v>0</v>
      </c>
      <c r="AJ181" s="6">
        <f>IF((J178&lt;&gt;"")*(J182=""),IF((J178&lt;=$B$443)*((J179&gt;=$C$443)+(J179&lt;2/24)),1,0),0)</f>
        <v>0</v>
      </c>
    </row>
    <row r="182" spans="1:36" ht="13.5" hidden="1" thickBot="1" x14ac:dyDescent="0.25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  <c r="N182" s="6"/>
      <c r="O182" s="6"/>
      <c r="P182" s="6"/>
      <c r="Q182" s="6"/>
      <c r="R182" s="6"/>
      <c r="S182" s="6"/>
      <c r="T182" s="6"/>
      <c r="U182" s="6"/>
      <c r="V182" s="20"/>
      <c r="W182" s="20"/>
      <c r="X182" s="20"/>
      <c r="Y182" s="20"/>
      <c r="Z182" s="20"/>
      <c r="AA182" s="20"/>
      <c r="AB182" s="20"/>
      <c r="AD182" s="6">
        <f>IF((D178&lt;&gt;"")*(D182=""),IF((D178&lt;=$B$444)*((D179&gt;=$C$444)+(D179&lt;2/24)),1,0),0)</f>
        <v>0</v>
      </c>
      <c r="AE182" s="6">
        <f>IF((E178&lt;&gt;"")*(E182=""),IF((E178&lt;=$B$444)*((E179&gt;=$C$444)+(E179&lt;2/24)),1,0),0)</f>
        <v>0</v>
      </c>
      <c r="AF182" s="6">
        <f>IF((F178&lt;&gt;"")*(F182=""),IF((F178&lt;=$B$444)*((F179&gt;=$C$444)+(F179&lt;2/24)),1,0),0)</f>
        <v>0</v>
      </c>
      <c r="AG182" s="6">
        <f>IF((G178&lt;&gt;"")*(G182=""),IF((G178&lt;=$B$444)*((G179&gt;=$C$444)+(G179&lt;2/24)),1,0),0)</f>
        <v>0</v>
      </c>
      <c r="AH182" s="6">
        <f>IF((H178&lt;&gt;"")*(H182=""),IF((H178&lt;=$B$444)*((H179&gt;=$C$444)+(H179&lt;2/24)),1,0),0)</f>
        <v>0</v>
      </c>
      <c r="AI182" s="6">
        <f>IF((I178&lt;&gt;"")*(I182=""),IF((I178&lt;=$B$444)*((I179&gt;=$C$444)+(I179&lt;2/24)),1,0),0)</f>
        <v>0</v>
      </c>
      <c r="AJ182" s="6">
        <f>IF((J178&lt;&gt;"")*(J182=""),IF((J178&lt;=$B$444)*((J179&gt;=$C$444)+(J179&lt;2/24)),1,0),0)</f>
        <v>0</v>
      </c>
    </row>
    <row r="183" spans="1:36" ht="13.5" hidden="1" thickBot="1" x14ac:dyDescent="0.25">
      <c r="A183" s="41"/>
      <c r="B183" s="42"/>
      <c r="C183" s="35" t="s">
        <v>28</v>
      </c>
      <c r="D183" s="36"/>
      <c r="E183" s="36"/>
      <c r="F183" s="36"/>
      <c r="G183" s="36"/>
      <c r="H183" s="36"/>
      <c r="I183" s="36"/>
      <c r="J183" s="36"/>
      <c r="K183" s="34"/>
      <c r="L183" s="6"/>
      <c r="M183" s="25"/>
      <c r="N183" s="6"/>
      <c r="O183" s="6"/>
      <c r="P183" s="6"/>
      <c r="Q183" s="6"/>
      <c r="R183" s="6"/>
      <c r="S183" s="6"/>
      <c r="T183" s="6"/>
      <c r="U183" s="6"/>
      <c r="V183" s="20"/>
      <c r="W183" s="20"/>
      <c r="X183" s="20"/>
      <c r="Y183" s="20"/>
      <c r="Z183" s="20"/>
      <c r="AA183" s="20"/>
      <c r="AB183" s="20"/>
      <c r="AD183" s="6"/>
      <c r="AE183" s="6"/>
      <c r="AF183" s="6"/>
      <c r="AG183" s="6"/>
      <c r="AH183" s="6"/>
      <c r="AI183" s="6"/>
      <c r="AJ183" s="6"/>
    </row>
    <row r="184" spans="1:36" ht="13.5" hidden="1" thickBot="1" x14ac:dyDescent="0.25">
      <c r="A184" s="37" t="s">
        <v>29</v>
      </c>
      <c r="B184" s="38" t="s">
        <v>30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  <c r="L184" s="6"/>
      <c r="M184" s="21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D184" s="6">
        <f>IF((D184&lt;&gt;"")*(D188=""),IF((D184&lt;=$B$440)*((D185&gt;=$C$440)+(D185&lt;2/24)),1,0),0)</f>
        <v>0</v>
      </c>
      <c r="AE184" s="6">
        <f>IF((E184&lt;&gt;"")*(E188=""),IF((E184&lt;=$B$440)*((E185&gt;=$C$440)+(E185&lt;2/24)),1,0),0)</f>
        <v>0</v>
      </c>
      <c r="AF184" s="6">
        <f>IF((F184&lt;&gt;"")*(F188=""),IF((F184&lt;=$B$440)*((F185&gt;=$C$440)+(F185&lt;2/24)),1,0),0)</f>
        <v>0</v>
      </c>
      <c r="AG184" s="6">
        <f>IF((G184&lt;&gt;"")*(G188=""),IF((G184&lt;=$B$440)*((G185&gt;=$C$440)+(G185&lt;2/24)),1,0),0)</f>
        <v>0</v>
      </c>
      <c r="AH184" s="6">
        <f>IF((H184&lt;&gt;"")*(H188=""),IF((H184&lt;=$B$440)*((H185&gt;=$C$440)+(H185&lt;2/24)),1,0),0)</f>
        <v>0</v>
      </c>
      <c r="AI184" s="6">
        <f>IF((I184&lt;&gt;"")*(I188=""),IF((I184&lt;=$B$440)*((I185&gt;=$C$440)+(I185&lt;2/24)),1,0),0)</f>
        <v>0</v>
      </c>
      <c r="AJ184" s="6">
        <f>IF((J184&lt;&gt;"")*(J188=""),IF((J184&lt;=$B$440)*((J185&gt;=$C$440)+(J185&lt;2/24)),1,0),0)</f>
        <v>0</v>
      </c>
    </row>
    <row r="185" spans="1:36" ht="13.5" hidden="1" thickBot="1" x14ac:dyDescent="0.25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  <c r="L185" s="6"/>
      <c r="M185" s="21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D185" s="6">
        <f>IF((D184&lt;&gt;"")*(D188=""),IF((D184&lt;=$B$441)*((D185&gt;=$C$441)+(D185&lt;2/24)),1,0),0)</f>
        <v>0</v>
      </c>
      <c r="AE185" s="6">
        <f>IF((E184&lt;&gt;"")*(E188=""),IF((E184&lt;=$B$441)*((E185&gt;=$C$441)+(E185&lt;2/24)),1,0),0)</f>
        <v>0</v>
      </c>
      <c r="AF185" s="6">
        <f>IF((F184&lt;&gt;"")*(F188=""),IF((F184&lt;=$B$441)*((F185&gt;=$C$441)+(F185&lt;2/24)),1,0),0)</f>
        <v>0</v>
      </c>
      <c r="AG185" s="6">
        <f>IF((G184&lt;&gt;"")*(G188=""),IF((G184&lt;=$B$441)*((G185&gt;=$C$441)+(G185&lt;2/24)),1,0),0)</f>
        <v>0</v>
      </c>
      <c r="AH185" s="6">
        <f>IF((H184&lt;&gt;"")*(H188=""),IF((H184&lt;=$B$441)*((H185&gt;=$C$441)+(H185&lt;2/24)),1,0),0)</f>
        <v>0</v>
      </c>
      <c r="AI185" s="6">
        <f>IF((I184&lt;&gt;"")*(I188=""),IF((I184&lt;=$B$441)*((I185&gt;=$C$441)+(I185&lt;2/24)),1,0),0)</f>
        <v>0</v>
      </c>
      <c r="AJ185" s="6">
        <f>IF((J184&lt;&gt;"")*(J188=""),IF((J184&lt;=$B$441)*((J185&gt;=$C$441)+(J185&lt;2/24)),1,0),0)</f>
        <v>0</v>
      </c>
    </row>
    <row r="186" spans="1:36" ht="13.5" hidden="1" thickBot="1" x14ac:dyDescent="0.25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  <c r="L186" s="6"/>
      <c r="M186" s="21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D186" s="6">
        <f>IF((D184&lt;&gt;"")*(D188=""),IF((D184&lt;=$B$442)*((D185&gt;=$C$442)+(D185&lt;2/24)),1,0),0)</f>
        <v>0</v>
      </c>
      <c r="AE186" s="6">
        <f>IF((E184&lt;&gt;"")*(E188=""),IF((E184&lt;=$B$442)*((E185&gt;=$C$442)+(E185&lt;2/24)),1,0),0)</f>
        <v>0</v>
      </c>
      <c r="AF186" s="6">
        <f>IF((F184&lt;&gt;"")*(F188=""),IF((F184&lt;=$B$442)*((F185&gt;=$C$442)+(F185&lt;2/24)),1,0),0)</f>
        <v>0</v>
      </c>
      <c r="AG186" s="6">
        <f>IF((G184&lt;&gt;"")*(G188=""),IF((G184&lt;=$B$442)*((G185&gt;=$C$442)+(G185&lt;2/24)),1,0),0)</f>
        <v>0</v>
      </c>
      <c r="AH186" s="6">
        <f>IF((H184&lt;&gt;"")*(H188=""),IF((H184&lt;=$B$442)*((H185&gt;=$C$442)+(H185&lt;2/24)),1,0),0)</f>
        <v>0</v>
      </c>
      <c r="AI186" s="6">
        <f>IF((I184&lt;&gt;"")*(I188=""),IF((I184&lt;=$B$442)*((I185&gt;=$C$442)+(I185&lt;2/24)),1,0),0)</f>
        <v>0</v>
      </c>
      <c r="AJ186" s="6">
        <f>IF((J184&lt;&gt;"")*(J188=""),IF((J184&lt;=$B$442)*((J185&gt;=$C$442)+(J185&lt;2/24)),1,0),0)</f>
        <v>0</v>
      </c>
    </row>
    <row r="187" spans="1:36" ht="13.5" hidden="1" thickBot="1" x14ac:dyDescent="0.25">
      <c r="A187" s="39"/>
      <c r="B187" s="40"/>
      <c r="C187" s="15" t="s">
        <v>3</v>
      </c>
      <c r="D187" s="43"/>
      <c r="E187" s="43"/>
      <c r="F187" s="43"/>
      <c r="G187" s="43"/>
      <c r="H187" s="43"/>
      <c r="I187" s="43"/>
      <c r="J187" s="44"/>
      <c r="K187" s="18">
        <f>SUMIF(D188:J188,"",D187:J187)</f>
        <v>0</v>
      </c>
      <c r="L187" s="12">
        <f>SUM(D187:J187)</f>
        <v>0</v>
      </c>
      <c r="M187" s="24"/>
      <c r="N187" s="10">
        <f>IF(D188="",D187,0)</f>
        <v>0</v>
      </c>
      <c r="O187" s="10">
        <f>IF(E188="",E187,0)</f>
        <v>0</v>
      </c>
      <c r="P187" s="10">
        <f t="shared" ref="P187:T187" si="60">IF(F188="",F187,0)</f>
        <v>0</v>
      </c>
      <c r="Q187" s="10">
        <f t="shared" si="60"/>
        <v>0</v>
      </c>
      <c r="R187" s="10">
        <f t="shared" si="60"/>
        <v>0</v>
      </c>
      <c r="S187" s="10">
        <f t="shared" si="60"/>
        <v>0</v>
      </c>
      <c r="T187" s="10">
        <f t="shared" si="60"/>
        <v>0</v>
      </c>
      <c r="U187" s="10"/>
      <c r="V187" s="10">
        <f>D187</f>
        <v>0</v>
      </c>
      <c r="W187" s="10">
        <f>E187</f>
        <v>0</v>
      </c>
      <c r="X187" s="10">
        <f t="shared" ref="X187:AB187" si="61">F187</f>
        <v>0</v>
      </c>
      <c r="Y187" s="10">
        <f t="shared" si="61"/>
        <v>0</v>
      </c>
      <c r="Z187" s="10">
        <f t="shared" si="61"/>
        <v>0</v>
      </c>
      <c r="AA187" s="10">
        <f t="shared" si="61"/>
        <v>0</v>
      </c>
      <c r="AB187" s="10">
        <f t="shared" si="61"/>
        <v>0</v>
      </c>
      <c r="AD187" s="6">
        <f>IF((D184&lt;&gt;"")*(D188=""),IF((D184&lt;=$B$443)*((D185&gt;=$C$443)+(D185&lt;2/24)),1,0),0)</f>
        <v>0</v>
      </c>
      <c r="AE187" s="6">
        <f>IF((E184&lt;&gt;"")*(E188=""),IF((E184&lt;=$B$443)*((E185&gt;=$C$443)+(E185&lt;2/24)),1,0),0)</f>
        <v>0</v>
      </c>
      <c r="AF187" s="6">
        <f>IF((F184&lt;&gt;"")*(F188=""),IF((F184&lt;=$B$443)*((F185&gt;=$C$443)+(F185&lt;2/24)),1,0),0)</f>
        <v>0</v>
      </c>
      <c r="AG187" s="6">
        <f>IF((G184&lt;&gt;"")*(G188=""),IF((G184&lt;=$B$443)*((G185&gt;=$C$443)+(G185&lt;2/24)),1,0),0)</f>
        <v>0</v>
      </c>
      <c r="AH187" s="6">
        <f>IF((H184&lt;&gt;"")*(H188=""),IF((H184&lt;=$B$443)*((H185&gt;=$C$443)+(H185&lt;2/24)),1,0),0)</f>
        <v>0</v>
      </c>
      <c r="AI187" s="6">
        <f>IF((I184&lt;&gt;"")*(I188=""),IF((I184&lt;=$B$443)*((I185&gt;=$C$443)+(I185&lt;2/24)),1,0),0)</f>
        <v>0</v>
      </c>
      <c r="AJ187" s="6">
        <f>IF((J184&lt;&gt;"")*(J188=""),IF((J184&lt;=$B$443)*((J185&gt;=$C$443)+(J185&lt;2/24)),1,0),0)</f>
        <v>0</v>
      </c>
    </row>
    <row r="188" spans="1:36" ht="13.5" hidden="1" thickBot="1" x14ac:dyDescent="0.25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  <c r="N188" s="6"/>
      <c r="O188" s="6"/>
      <c r="P188" s="6"/>
      <c r="Q188" s="6"/>
      <c r="R188" s="6"/>
      <c r="S188" s="6"/>
      <c r="T188" s="6"/>
      <c r="U188" s="6"/>
      <c r="V188" s="20"/>
      <c r="W188" s="20"/>
      <c r="X188" s="20"/>
      <c r="Y188" s="20"/>
      <c r="Z188" s="20"/>
      <c r="AA188" s="20"/>
      <c r="AB188" s="20"/>
      <c r="AD188" s="6">
        <f>IF((D184&lt;&gt;"")*(D188=""),IF((D184&lt;=$B$444)*((D185&gt;=$C$444)+(D185&lt;2/24)),1,0),0)</f>
        <v>0</v>
      </c>
      <c r="AE188" s="6">
        <f>IF((E184&lt;&gt;"")*(E188=""),IF((E184&lt;=$B$444)*((E185&gt;=$C$444)+(E185&lt;2/24)),1,0),0)</f>
        <v>0</v>
      </c>
      <c r="AF188" s="6">
        <f>IF((F184&lt;&gt;"")*(F188=""),IF((F184&lt;=$B$444)*((F185&gt;=$C$444)+(F185&lt;2/24)),1,0),0)</f>
        <v>0</v>
      </c>
      <c r="AG188" s="6">
        <f>IF((G184&lt;&gt;"")*(G188=""),IF((G184&lt;=$B$444)*((G185&gt;=$C$444)+(G185&lt;2/24)),1,0),0)</f>
        <v>0</v>
      </c>
      <c r="AH188" s="6">
        <f>IF((H184&lt;&gt;"")*(H188=""),IF((H184&lt;=$B$444)*((H185&gt;=$C$444)+(H185&lt;2/24)),1,0),0)</f>
        <v>0</v>
      </c>
      <c r="AI188" s="6">
        <f>IF((I184&lt;&gt;"")*(I188=""),IF((I184&lt;=$B$444)*((I185&gt;=$C$444)+(I185&lt;2/24)),1,0),0)</f>
        <v>0</v>
      </c>
      <c r="AJ188" s="6">
        <f>IF((J184&lt;&gt;"")*(J188=""),IF((J184&lt;=$B$444)*((J185&gt;=$C$444)+(J185&lt;2/24)),1,0),0)</f>
        <v>0</v>
      </c>
    </row>
    <row r="189" spans="1:36" ht="13.5" hidden="1" thickBot="1" x14ac:dyDescent="0.25">
      <c r="A189" s="41"/>
      <c r="B189" s="42"/>
      <c r="C189" s="35" t="s">
        <v>28</v>
      </c>
      <c r="D189" s="36"/>
      <c r="E189" s="36"/>
      <c r="F189" s="36"/>
      <c r="G189" s="36"/>
      <c r="H189" s="36"/>
      <c r="I189" s="36"/>
      <c r="J189" s="36"/>
      <c r="K189" s="34"/>
      <c r="L189" s="6"/>
      <c r="M189" s="25"/>
      <c r="N189" s="6"/>
      <c r="O189" s="6"/>
      <c r="P189" s="6"/>
      <c r="Q189" s="6"/>
      <c r="R189" s="6"/>
      <c r="S189" s="6"/>
      <c r="T189" s="6"/>
      <c r="U189" s="6"/>
      <c r="V189" s="20"/>
      <c r="W189" s="20"/>
      <c r="X189" s="20"/>
      <c r="Y189" s="20"/>
      <c r="Z189" s="20"/>
      <c r="AA189" s="20"/>
      <c r="AB189" s="20"/>
      <c r="AD189" s="6"/>
      <c r="AE189" s="6"/>
      <c r="AF189" s="6"/>
      <c r="AG189" s="6"/>
      <c r="AH189" s="6"/>
      <c r="AI189" s="6"/>
      <c r="AJ189" s="6"/>
    </row>
    <row r="190" spans="1:36" ht="13.5" hidden="1" thickBot="1" x14ac:dyDescent="0.25">
      <c r="A190" s="37" t="s">
        <v>29</v>
      </c>
      <c r="B190" s="38" t="s">
        <v>30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  <c r="L190" s="6"/>
      <c r="M190" s="21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D190" s="6">
        <f>IF((D190&lt;&gt;"")*(D194=""),IF((D190&lt;=$B$440)*((D191&gt;=$C$440)+(D191&lt;2/24)),1,0),0)</f>
        <v>0</v>
      </c>
      <c r="AE190" s="6">
        <f>IF((E190&lt;&gt;"")*(E194=""),IF((E190&lt;=$B$440)*((E191&gt;=$C$440)+(E191&lt;2/24)),1,0),0)</f>
        <v>0</v>
      </c>
      <c r="AF190" s="6">
        <f>IF((F190&lt;&gt;"")*(F194=""),IF((F190&lt;=$B$440)*((F191&gt;=$C$440)+(F191&lt;2/24)),1,0),0)</f>
        <v>0</v>
      </c>
      <c r="AG190" s="6">
        <f>IF((G190&lt;&gt;"")*(G194=""),IF((G190&lt;=$B$440)*((G191&gt;=$C$440)+(G191&lt;2/24)),1,0),0)</f>
        <v>0</v>
      </c>
      <c r="AH190" s="6">
        <f>IF((H190&lt;&gt;"")*(H194=""),IF((H190&lt;=$B$440)*((H191&gt;=$C$440)+(H191&lt;2/24)),1,0),0)</f>
        <v>0</v>
      </c>
      <c r="AI190" s="6">
        <f>IF((I190&lt;&gt;"")*(I194=""),IF((I190&lt;=$B$440)*((I191&gt;=$C$440)+(I191&lt;2/24)),1,0),0)</f>
        <v>0</v>
      </c>
      <c r="AJ190" s="6">
        <f>IF((J190&lt;&gt;"")*(J194=""),IF((J190&lt;=$B$440)*((J191&gt;=$C$440)+(J191&lt;2/24)),1,0),0)</f>
        <v>0</v>
      </c>
    </row>
    <row r="191" spans="1:36" ht="13.5" hidden="1" thickBot="1" x14ac:dyDescent="0.25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  <c r="L191" s="6"/>
      <c r="M191" s="21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D191" s="6">
        <f>IF((D190&lt;&gt;"")*(D194=""),IF((D190&lt;=$B$441)*((D191&gt;=$C$441)+(D191&lt;2/24)),1,0),0)</f>
        <v>0</v>
      </c>
      <c r="AE191" s="6">
        <f>IF((E190&lt;&gt;"")*(E194=""),IF((E190&lt;=$B$441)*((E191&gt;=$C$441)+(E191&lt;2/24)),1,0),0)</f>
        <v>0</v>
      </c>
      <c r="AF191" s="6">
        <f>IF((F190&lt;&gt;"")*(F194=""),IF((F190&lt;=$B$441)*((F191&gt;=$C$441)+(F191&lt;2/24)),1,0),0)</f>
        <v>0</v>
      </c>
      <c r="AG191" s="6">
        <f>IF((G190&lt;&gt;"")*(G194=""),IF((G190&lt;=$B$441)*((G191&gt;=$C$441)+(G191&lt;2/24)),1,0),0)</f>
        <v>0</v>
      </c>
      <c r="AH191" s="6">
        <f>IF((H190&lt;&gt;"")*(H194=""),IF((H190&lt;=$B$441)*((H191&gt;=$C$441)+(H191&lt;2/24)),1,0),0)</f>
        <v>0</v>
      </c>
      <c r="AI191" s="6">
        <f>IF((I190&lt;&gt;"")*(I194=""),IF((I190&lt;=$B$441)*((I191&gt;=$C$441)+(I191&lt;2/24)),1,0),0)</f>
        <v>0</v>
      </c>
      <c r="AJ191" s="6">
        <f>IF((J190&lt;&gt;"")*(J194=""),IF((J190&lt;=$B$441)*((J191&gt;=$C$441)+(J191&lt;2/24)),1,0),0)</f>
        <v>0</v>
      </c>
    </row>
    <row r="192" spans="1:36" ht="13.5" hidden="1" thickBot="1" x14ac:dyDescent="0.25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  <c r="L192" s="6"/>
      <c r="M192" s="21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D192" s="6">
        <f>IF((D190&lt;&gt;"")*(D194=""),IF((D190&lt;=$B$442)*((D191&gt;=$C$442)+(D191&lt;2/24)),1,0),0)</f>
        <v>0</v>
      </c>
      <c r="AE192" s="6">
        <f>IF((E190&lt;&gt;"")*(E194=""),IF((E190&lt;=$B$442)*((E191&gt;=$C$442)+(E191&lt;2/24)),1,0),0)</f>
        <v>0</v>
      </c>
      <c r="AF192" s="6">
        <f>IF((F190&lt;&gt;"")*(F194=""),IF((F190&lt;=$B$442)*((F191&gt;=$C$442)+(F191&lt;2/24)),1,0),0)</f>
        <v>0</v>
      </c>
      <c r="AG192" s="6">
        <f>IF((G190&lt;&gt;"")*(G194=""),IF((G190&lt;=$B$442)*((G191&gt;=$C$442)+(G191&lt;2/24)),1,0),0)</f>
        <v>0</v>
      </c>
      <c r="AH192" s="6">
        <f>IF((H190&lt;&gt;"")*(H194=""),IF((H190&lt;=$B$442)*((H191&gt;=$C$442)+(H191&lt;2/24)),1,0),0)</f>
        <v>0</v>
      </c>
      <c r="AI192" s="6">
        <f>IF((I190&lt;&gt;"")*(I194=""),IF((I190&lt;=$B$442)*((I191&gt;=$C$442)+(I191&lt;2/24)),1,0),0)</f>
        <v>0</v>
      </c>
      <c r="AJ192" s="6">
        <f>IF((J190&lt;&gt;"")*(J194=""),IF((J190&lt;=$B$442)*((J191&gt;=$C$442)+(J191&lt;2/24)),1,0),0)</f>
        <v>0</v>
      </c>
    </row>
    <row r="193" spans="1:36" ht="13.5" hidden="1" thickBot="1" x14ac:dyDescent="0.25">
      <c r="A193" s="39"/>
      <c r="B193" s="40"/>
      <c r="C193" s="15" t="s">
        <v>3</v>
      </c>
      <c r="D193" s="43"/>
      <c r="E193" s="43"/>
      <c r="F193" s="43"/>
      <c r="G193" s="43"/>
      <c r="H193" s="43"/>
      <c r="I193" s="43"/>
      <c r="J193" s="44"/>
      <c r="K193" s="18">
        <f>SUMIF(D194:J194,"",D193:J193)</f>
        <v>0</v>
      </c>
      <c r="L193" s="12">
        <f>SUM(D193:J193)</f>
        <v>0</v>
      </c>
      <c r="M193" s="24"/>
      <c r="N193" s="10">
        <f>IF(D194="",D193,0)</f>
        <v>0</v>
      </c>
      <c r="O193" s="10">
        <f>IF(E194="",E193,0)</f>
        <v>0</v>
      </c>
      <c r="P193" s="10">
        <f t="shared" ref="P193:T193" si="62">IF(F194="",F193,0)</f>
        <v>0</v>
      </c>
      <c r="Q193" s="10">
        <f t="shared" si="62"/>
        <v>0</v>
      </c>
      <c r="R193" s="10">
        <f t="shared" si="62"/>
        <v>0</v>
      </c>
      <c r="S193" s="10">
        <f t="shared" si="62"/>
        <v>0</v>
      </c>
      <c r="T193" s="10">
        <f t="shared" si="62"/>
        <v>0</v>
      </c>
      <c r="U193" s="10"/>
      <c r="V193" s="10">
        <f>D193</f>
        <v>0</v>
      </c>
      <c r="W193" s="10">
        <f>E193</f>
        <v>0</v>
      </c>
      <c r="X193" s="10">
        <f t="shared" ref="X193:AB193" si="63">F193</f>
        <v>0</v>
      </c>
      <c r="Y193" s="10">
        <f t="shared" si="63"/>
        <v>0</v>
      </c>
      <c r="Z193" s="10">
        <f t="shared" si="63"/>
        <v>0</v>
      </c>
      <c r="AA193" s="10">
        <f t="shared" si="63"/>
        <v>0</v>
      </c>
      <c r="AB193" s="10">
        <f t="shared" si="63"/>
        <v>0</v>
      </c>
      <c r="AD193" s="6">
        <f>IF((D190&lt;&gt;"")*(D194=""),IF((D190&lt;=$B$443)*((D191&gt;=$C$443)+(D191&lt;2/24)),1,0),0)</f>
        <v>0</v>
      </c>
      <c r="AE193" s="6">
        <f>IF((E190&lt;&gt;"")*(E194=""),IF((E190&lt;=$B$443)*((E191&gt;=$C$443)+(E191&lt;2/24)),1,0),0)</f>
        <v>0</v>
      </c>
      <c r="AF193" s="6">
        <f>IF((F190&lt;&gt;"")*(F194=""),IF((F190&lt;=$B$443)*((F191&gt;=$C$443)+(F191&lt;2/24)),1,0),0)</f>
        <v>0</v>
      </c>
      <c r="AG193" s="6">
        <f>IF((G190&lt;&gt;"")*(G194=""),IF((G190&lt;=$B$443)*((G191&gt;=$C$443)+(G191&lt;2/24)),1,0),0)</f>
        <v>0</v>
      </c>
      <c r="AH193" s="6">
        <f>IF((H190&lt;&gt;"")*(H194=""),IF((H190&lt;=$B$443)*((H191&gt;=$C$443)+(H191&lt;2/24)),1,0),0)</f>
        <v>0</v>
      </c>
      <c r="AI193" s="6">
        <f>IF((I190&lt;&gt;"")*(I194=""),IF((I190&lt;=$B$443)*((I191&gt;=$C$443)+(I191&lt;2/24)),1,0),0)</f>
        <v>0</v>
      </c>
      <c r="AJ193" s="6">
        <f>IF((J190&lt;&gt;"")*(J194=""),IF((J190&lt;=$B$443)*((J191&gt;=$C$443)+(J191&lt;2/24)),1,0),0)</f>
        <v>0</v>
      </c>
    </row>
    <row r="194" spans="1:36" ht="13.5" hidden="1" thickBot="1" x14ac:dyDescent="0.25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  <c r="N194" s="6"/>
      <c r="O194" s="6"/>
      <c r="P194" s="6"/>
      <c r="Q194" s="6"/>
      <c r="R194" s="6"/>
      <c r="S194" s="6"/>
      <c r="T194" s="6"/>
      <c r="U194" s="6"/>
      <c r="V194" s="20"/>
      <c r="W194" s="20"/>
      <c r="X194" s="20"/>
      <c r="Y194" s="20"/>
      <c r="Z194" s="20"/>
      <c r="AA194" s="20"/>
      <c r="AB194" s="20"/>
      <c r="AD194" s="6">
        <f>IF((D190&lt;&gt;"")*(D194=""),IF((D190&lt;=$B$444)*((D191&gt;=$C$444)+(D191&lt;2/24)),1,0),0)</f>
        <v>0</v>
      </c>
      <c r="AE194" s="6">
        <f>IF((E190&lt;&gt;"")*(E194=""),IF((E190&lt;=$B$444)*((E191&gt;=$C$444)+(E191&lt;2/24)),1,0),0)</f>
        <v>0</v>
      </c>
      <c r="AF194" s="6">
        <f>IF((F190&lt;&gt;"")*(F194=""),IF((F190&lt;=$B$444)*((F191&gt;=$C$444)+(F191&lt;2/24)),1,0),0)</f>
        <v>0</v>
      </c>
      <c r="AG194" s="6">
        <f>IF((G190&lt;&gt;"")*(G194=""),IF((G190&lt;=$B$444)*((G191&gt;=$C$444)+(G191&lt;2/24)),1,0),0)</f>
        <v>0</v>
      </c>
      <c r="AH194" s="6">
        <f>IF((H190&lt;&gt;"")*(H194=""),IF((H190&lt;=$B$444)*((H191&gt;=$C$444)+(H191&lt;2/24)),1,0),0)</f>
        <v>0</v>
      </c>
      <c r="AI194" s="6">
        <f>IF((I190&lt;&gt;"")*(I194=""),IF((I190&lt;=$B$444)*((I191&gt;=$C$444)+(I191&lt;2/24)),1,0),0)</f>
        <v>0</v>
      </c>
      <c r="AJ194" s="6">
        <f>IF((J190&lt;&gt;"")*(J194=""),IF((J190&lt;=$B$444)*((J191&gt;=$C$444)+(J191&lt;2/24)),1,0),0)</f>
        <v>0</v>
      </c>
    </row>
    <row r="195" spans="1:36" ht="13.5" hidden="1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  <c r="N195" s="6"/>
      <c r="O195" s="6"/>
      <c r="P195" s="6"/>
      <c r="Q195" s="6"/>
      <c r="R195" s="6"/>
      <c r="S195" s="6"/>
      <c r="T195" s="6"/>
      <c r="U195" s="6"/>
      <c r="V195" s="20"/>
      <c r="W195" s="20"/>
      <c r="X195" s="20"/>
      <c r="Y195" s="20"/>
      <c r="Z195" s="20"/>
      <c r="AA195" s="20"/>
      <c r="AB195" s="20"/>
      <c r="AD195" s="6"/>
      <c r="AE195" s="6"/>
      <c r="AF195" s="6"/>
      <c r="AG195" s="6"/>
      <c r="AH195" s="6"/>
      <c r="AI195" s="6"/>
      <c r="AJ195" s="6"/>
    </row>
    <row r="196" spans="1:36" ht="13.5" hidden="1" thickBot="1" x14ac:dyDescent="0.25">
      <c r="A196" s="37" t="s">
        <v>29</v>
      </c>
      <c r="B196" s="38" t="s">
        <v>30</v>
      </c>
      <c r="C196" s="14" t="s">
        <v>0</v>
      </c>
      <c r="D196" s="26"/>
      <c r="E196" s="26"/>
      <c r="F196" s="26"/>
      <c r="G196" s="26"/>
      <c r="H196" s="26"/>
      <c r="I196" s="26"/>
      <c r="J196" s="26"/>
      <c r="K196" s="16"/>
      <c r="L196" s="6"/>
      <c r="M196" s="21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D196" s="6">
        <f>IF((D196&lt;&gt;"")*(D200=""),IF((D196&lt;=$B$440)*((D197&gt;=$C$440)+(D197&lt;2/24)),1,0),0)</f>
        <v>0</v>
      </c>
      <c r="AE196" s="6">
        <f>IF((E196&lt;&gt;"")*(E200=""),IF((E196&lt;=$B$440)*((E197&gt;=$C$440)+(E197&lt;2/24)),1,0),0)</f>
        <v>0</v>
      </c>
      <c r="AF196" s="6">
        <f>IF((F196&lt;&gt;"")*(F200=""),IF((F196&lt;=$B$440)*((F197&gt;=$C$440)+(F197&lt;2/24)),1,0),0)</f>
        <v>0</v>
      </c>
      <c r="AG196" s="6">
        <f>IF((G196&lt;&gt;"")*(G200=""),IF((G196&lt;=$B$440)*((G197&gt;=$C$440)+(G197&lt;2/24)),1,0),0)</f>
        <v>0</v>
      </c>
      <c r="AH196" s="6">
        <f>IF((H196&lt;&gt;"")*(H200=""),IF((H196&lt;=$B$440)*((H197&gt;=$C$440)+(H197&lt;2/24)),1,0),0)</f>
        <v>0</v>
      </c>
      <c r="AI196" s="6">
        <f>IF((I196&lt;&gt;"")*(I200=""),IF((I196&lt;=$B$440)*((I197&gt;=$C$440)+(I197&lt;2/24)),1,0),0)</f>
        <v>0</v>
      </c>
      <c r="AJ196" s="6">
        <f>IF((J196&lt;&gt;"")*(J200=""),IF((J196&lt;=$B$440)*((J197&gt;=$C$440)+(J197&lt;2/24)),1,0),0)</f>
        <v>0</v>
      </c>
    </row>
    <row r="197" spans="1:36" ht="13.5" hidden="1" thickBot="1" x14ac:dyDescent="0.25">
      <c r="A197" s="39"/>
      <c r="B197" s="40"/>
      <c r="C197" s="15" t="s">
        <v>1</v>
      </c>
      <c r="D197" s="27"/>
      <c r="E197" s="27"/>
      <c r="F197" s="27"/>
      <c r="G197" s="27"/>
      <c r="H197" s="27"/>
      <c r="I197" s="27"/>
      <c r="J197" s="27"/>
      <c r="K197" s="17"/>
      <c r="L197" s="6"/>
      <c r="M197" s="21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D197" s="6">
        <f>IF((D196&lt;&gt;"")*(D200=""),IF((D196&lt;=$B$441)*((D197&gt;=$C$441)+(D197&lt;2/24)),1,0),0)</f>
        <v>0</v>
      </c>
      <c r="AE197" s="6">
        <f>IF((E196&lt;&gt;"")*(E200=""),IF((E196&lt;=$B$441)*((E197&gt;=$C$441)+(E197&lt;2/24)),1,0),0)</f>
        <v>0</v>
      </c>
      <c r="AF197" s="6">
        <f>IF((F196&lt;&gt;"")*(F200=""),IF((F196&lt;=$B$441)*((F197&gt;=$C$441)+(F197&lt;2/24)),1,0),0)</f>
        <v>0</v>
      </c>
      <c r="AG197" s="6">
        <f>IF((G196&lt;&gt;"")*(G200=""),IF((G196&lt;=$B$441)*((G197&gt;=$C$441)+(G197&lt;2/24)),1,0),0)</f>
        <v>0</v>
      </c>
      <c r="AH197" s="6">
        <f>IF((H196&lt;&gt;"")*(H200=""),IF((H196&lt;=$B$441)*((H197&gt;=$C$441)+(H197&lt;2/24)),1,0),0)</f>
        <v>0</v>
      </c>
      <c r="AI197" s="6">
        <f>IF((I196&lt;&gt;"")*(I200=""),IF((I196&lt;=$B$441)*((I197&gt;=$C$441)+(I197&lt;2/24)),1,0),0)</f>
        <v>0</v>
      </c>
      <c r="AJ197" s="6">
        <f>IF((J196&lt;&gt;"")*(J200=""),IF((J196&lt;=$B$441)*((J197&gt;=$C$441)+(J197&lt;2/24)),1,0),0)</f>
        <v>0</v>
      </c>
    </row>
    <row r="198" spans="1:36" ht="13.5" hidden="1" thickBot="1" x14ac:dyDescent="0.25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  <c r="L198" s="6"/>
      <c r="M198" s="21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D198" s="6">
        <f>IF((D196&lt;&gt;"")*(D200=""),IF((D196&lt;=$B$442)*((D197&gt;=$C$442)+(D197&lt;2/24)),1,0),0)</f>
        <v>0</v>
      </c>
      <c r="AE198" s="6">
        <f>IF((E196&lt;&gt;"")*(E200=""),IF((E196&lt;=$B$442)*((E197&gt;=$C$442)+(E197&lt;2/24)),1,0),0)</f>
        <v>0</v>
      </c>
      <c r="AF198" s="6">
        <f>IF((F196&lt;&gt;"")*(F200=""),IF((F196&lt;=$B$442)*((F197&gt;=$C$442)+(F197&lt;2/24)),1,0),0)</f>
        <v>0</v>
      </c>
      <c r="AG198" s="6">
        <f>IF((G196&lt;&gt;"")*(G200=""),IF((G196&lt;=$B$442)*((G197&gt;=$C$442)+(G197&lt;2/24)),1,0),0)</f>
        <v>0</v>
      </c>
      <c r="AH198" s="6">
        <f>IF((H196&lt;&gt;"")*(H200=""),IF((H196&lt;=$B$442)*((H197&gt;=$C$442)+(H197&lt;2/24)),1,0),0)</f>
        <v>0</v>
      </c>
      <c r="AI198" s="6">
        <f>IF((I196&lt;&gt;"")*(I200=""),IF((I196&lt;=$B$442)*((I197&gt;=$C$442)+(I197&lt;2/24)),1,0),0)</f>
        <v>0</v>
      </c>
      <c r="AJ198" s="6">
        <f>IF((J196&lt;&gt;"")*(J200=""),IF((J196&lt;=$B$442)*((J197&gt;=$C$442)+(J197&lt;2/24)),1,0),0)</f>
        <v>0</v>
      </c>
    </row>
    <row r="199" spans="1:36" ht="13.5" hidden="1" thickBot="1" x14ac:dyDescent="0.25">
      <c r="A199" s="39"/>
      <c r="B199" s="40"/>
      <c r="C199" s="15" t="s">
        <v>3</v>
      </c>
      <c r="D199" s="43"/>
      <c r="E199" s="43"/>
      <c r="F199" s="43"/>
      <c r="G199" s="43"/>
      <c r="H199" s="43"/>
      <c r="I199" s="43"/>
      <c r="J199" s="44"/>
      <c r="K199" s="18">
        <f>SUMIF(D200:J200,"",D199:J199)</f>
        <v>0</v>
      </c>
      <c r="L199" s="12">
        <f>SUM(D199:J199)</f>
        <v>0</v>
      </c>
      <c r="M199" s="24"/>
      <c r="N199" s="10">
        <f>IF(D200="",D199,0)</f>
        <v>0</v>
      </c>
      <c r="O199" s="10">
        <f>IF(E200="",E199,0)</f>
        <v>0</v>
      </c>
      <c r="P199" s="10">
        <f t="shared" ref="P199:T199" si="64">IF(F200="",F199,0)</f>
        <v>0</v>
      </c>
      <c r="Q199" s="10">
        <f t="shared" si="64"/>
        <v>0</v>
      </c>
      <c r="R199" s="10">
        <f t="shared" si="64"/>
        <v>0</v>
      </c>
      <c r="S199" s="10">
        <f t="shared" si="64"/>
        <v>0</v>
      </c>
      <c r="T199" s="10">
        <f t="shared" si="64"/>
        <v>0</v>
      </c>
      <c r="U199" s="10"/>
      <c r="V199" s="10">
        <f>D199</f>
        <v>0</v>
      </c>
      <c r="W199" s="10">
        <f>E199</f>
        <v>0</v>
      </c>
      <c r="X199" s="10">
        <f t="shared" ref="X199:AB199" si="65">F199</f>
        <v>0</v>
      </c>
      <c r="Y199" s="10">
        <f t="shared" si="65"/>
        <v>0</v>
      </c>
      <c r="Z199" s="10">
        <f t="shared" si="65"/>
        <v>0</v>
      </c>
      <c r="AA199" s="10">
        <f t="shared" si="65"/>
        <v>0</v>
      </c>
      <c r="AB199" s="10">
        <f t="shared" si="65"/>
        <v>0</v>
      </c>
      <c r="AD199" s="6">
        <f>IF((D196&lt;&gt;"")*(D200=""),IF((D196&lt;=$B$443)*((D197&gt;=$C$443)+(D197&lt;2/24)),1,0),0)</f>
        <v>0</v>
      </c>
      <c r="AE199" s="6">
        <f>IF((E196&lt;&gt;"")*(E200=""),IF((E196&lt;=$B$443)*((E197&gt;=$C$443)+(E197&lt;2/24)),1,0),0)</f>
        <v>0</v>
      </c>
      <c r="AF199" s="6">
        <f>IF((F196&lt;&gt;"")*(F200=""),IF((F196&lt;=$B$443)*((F197&gt;=$C$443)+(F197&lt;2/24)),1,0),0)</f>
        <v>0</v>
      </c>
      <c r="AG199" s="6">
        <f>IF((G196&lt;&gt;"")*(G200=""),IF((G196&lt;=$B$443)*((G197&gt;=$C$443)+(G197&lt;2/24)),1,0),0)</f>
        <v>0</v>
      </c>
      <c r="AH199" s="6">
        <f>IF((H196&lt;&gt;"")*(H200=""),IF((H196&lt;=$B$443)*((H197&gt;=$C$443)+(H197&lt;2/24)),1,0),0)</f>
        <v>0</v>
      </c>
      <c r="AI199" s="6">
        <f>IF((I196&lt;&gt;"")*(I200=""),IF((I196&lt;=$B$443)*((I197&gt;=$C$443)+(I197&lt;2/24)),1,0),0)</f>
        <v>0</v>
      </c>
      <c r="AJ199" s="6">
        <f>IF((J196&lt;&gt;"")*(J200=""),IF((J196&lt;=$B$443)*((J197&gt;=$C$443)+(J197&lt;2/24)),1,0),0)</f>
        <v>0</v>
      </c>
    </row>
    <row r="200" spans="1:36" ht="13.5" hidden="1" thickBot="1" x14ac:dyDescent="0.25">
      <c r="A200" s="39"/>
      <c r="B200" s="40"/>
      <c r="C200" s="32" t="s">
        <v>4</v>
      </c>
      <c r="D200" s="33"/>
      <c r="E200" s="33"/>
      <c r="F200" s="33"/>
      <c r="G200" s="33"/>
      <c r="H200" s="33"/>
      <c r="I200" s="33"/>
      <c r="J200" s="33"/>
      <c r="K200" s="17"/>
      <c r="L200" s="6"/>
      <c r="M200" s="25"/>
      <c r="N200" s="6"/>
      <c r="O200" s="6"/>
      <c r="P200" s="6"/>
      <c r="Q200" s="6"/>
      <c r="R200" s="6"/>
      <c r="S200" s="6"/>
      <c r="T200" s="6"/>
      <c r="U200" s="6"/>
      <c r="V200" s="20"/>
      <c r="W200" s="20"/>
      <c r="X200" s="20"/>
      <c r="Y200" s="20"/>
      <c r="Z200" s="20"/>
      <c r="AA200" s="20"/>
      <c r="AB200" s="20"/>
      <c r="AD200" s="6">
        <f>IF((D196&lt;&gt;"")*(D200=""),IF((D196&lt;=$B$444)*((D197&gt;=$C$444)+(D197&lt;2/24)),1,0),0)</f>
        <v>0</v>
      </c>
      <c r="AE200" s="6">
        <f>IF((E196&lt;&gt;"")*(E200=""),IF((E196&lt;=$B$444)*((E197&gt;=$C$444)+(E197&lt;2/24)),1,0),0)</f>
        <v>0</v>
      </c>
      <c r="AF200" s="6">
        <f>IF((F196&lt;&gt;"")*(F200=""),IF((F196&lt;=$B$444)*((F197&gt;=$C$444)+(F197&lt;2/24)),1,0),0)</f>
        <v>0</v>
      </c>
      <c r="AG200" s="6">
        <f>IF((G196&lt;&gt;"")*(G200=""),IF((G196&lt;=$B$444)*((G197&gt;=$C$444)+(G197&lt;2/24)),1,0),0)</f>
        <v>0</v>
      </c>
      <c r="AH200" s="6">
        <f>IF((H196&lt;&gt;"")*(H200=""),IF((H196&lt;=$B$444)*((H197&gt;=$C$444)+(H197&lt;2/24)),1,0),0)</f>
        <v>0</v>
      </c>
      <c r="AI200" s="6">
        <f>IF((I196&lt;&gt;"")*(I200=""),IF((I196&lt;=$B$444)*((I197&gt;=$C$444)+(I197&lt;2/24)),1,0),0)</f>
        <v>0</v>
      </c>
      <c r="AJ200" s="6">
        <f>IF((J196&lt;&gt;"")*(J200=""),IF((J196&lt;=$B$444)*((J197&gt;=$C$444)+(J197&lt;2/24)),1,0),0)</f>
        <v>0</v>
      </c>
    </row>
    <row r="201" spans="1:36" ht="13.5" hidden="1" thickBot="1" x14ac:dyDescent="0.25">
      <c r="A201" s="41"/>
      <c r="B201" s="42"/>
      <c r="C201" s="35" t="s">
        <v>28</v>
      </c>
      <c r="D201" s="36"/>
      <c r="E201" s="36"/>
      <c r="F201" s="36"/>
      <c r="G201" s="36"/>
      <c r="H201" s="36"/>
      <c r="I201" s="36"/>
      <c r="J201" s="36"/>
      <c r="K201" s="34"/>
      <c r="L201" s="6"/>
      <c r="M201" s="25"/>
      <c r="N201" s="6"/>
      <c r="O201" s="6"/>
      <c r="P201" s="6"/>
      <c r="Q201" s="6"/>
      <c r="R201" s="6"/>
      <c r="S201" s="6"/>
      <c r="T201" s="6"/>
      <c r="U201" s="6"/>
      <c r="V201" s="20"/>
      <c r="W201" s="20"/>
      <c r="X201" s="20"/>
      <c r="Y201" s="20"/>
      <c r="Z201" s="20"/>
      <c r="AA201" s="20"/>
      <c r="AB201" s="20"/>
      <c r="AD201" s="6"/>
      <c r="AE201" s="6"/>
      <c r="AF201" s="6"/>
      <c r="AG201" s="6"/>
      <c r="AH201" s="6"/>
      <c r="AI201" s="6"/>
      <c r="AJ201" s="6"/>
    </row>
    <row r="202" spans="1:36" ht="13.5" hidden="1" thickBot="1" x14ac:dyDescent="0.25">
      <c r="A202" s="37" t="s">
        <v>29</v>
      </c>
      <c r="B202" s="38" t="s">
        <v>30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  <c r="L202" s="6"/>
      <c r="M202" s="21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D202" s="6">
        <f>IF((D202&lt;&gt;"")*(D206=""),IF((D202&lt;=$B$440)*((D203&gt;=$C$440)+(D203&lt;2/24)),1,0),0)</f>
        <v>0</v>
      </c>
      <c r="AE202" s="6">
        <f>IF((E202&lt;&gt;"")*(E206=""),IF((E202&lt;=$B$440)*((E203&gt;=$C$440)+(E203&lt;2/24)),1,0),0)</f>
        <v>0</v>
      </c>
      <c r="AF202" s="6">
        <f>IF((F202&lt;&gt;"")*(F206=""),IF((F202&lt;=$B$440)*((F203&gt;=$C$440)+(F203&lt;2/24)),1,0),0)</f>
        <v>0</v>
      </c>
      <c r="AG202" s="6">
        <f>IF((G202&lt;&gt;"")*(G206=""),IF((G202&lt;=$B$440)*((G203&gt;=$C$440)+(G203&lt;2/24)),1,0),0)</f>
        <v>0</v>
      </c>
      <c r="AH202" s="6">
        <f>IF((H202&lt;&gt;"")*(H206=""),IF((H202&lt;=$B$440)*((H203&gt;=$C$440)+(H203&lt;2/24)),1,0),0)</f>
        <v>0</v>
      </c>
      <c r="AI202" s="6">
        <f>IF((I202&lt;&gt;"")*(I206=""),IF((I202&lt;=$B$440)*((I203&gt;=$C$440)+(I203&lt;2/24)),1,0),0)</f>
        <v>0</v>
      </c>
      <c r="AJ202" s="6">
        <f>IF((J202&lt;&gt;"")*(J206=""),IF((J202&lt;=$B$440)*((J203&gt;=$C$440)+(J203&lt;2/24)),1,0),0)</f>
        <v>0</v>
      </c>
    </row>
    <row r="203" spans="1:36" ht="13.5" hidden="1" thickBot="1" x14ac:dyDescent="0.25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  <c r="L203" s="6"/>
      <c r="M203" s="21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D203" s="6">
        <f>IF((D202&lt;&gt;"")*(D206=""),IF((D202&lt;=$B$441)*((D203&gt;=$C$441)+(D203&lt;2/24)),1,0),0)</f>
        <v>0</v>
      </c>
      <c r="AE203" s="6">
        <f>IF((E202&lt;&gt;"")*(E206=""),IF((E202&lt;=$B$441)*((E203&gt;=$C$441)+(E203&lt;2/24)),1,0),0)</f>
        <v>0</v>
      </c>
      <c r="AF203" s="6">
        <f>IF((F202&lt;&gt;"")*(F206=""),IF((F202&lt;=$B$441)*((F203&gt;=$C$441)+(F203&lt;2/24)),1,0),0)</f>
        <v>0</v>
      </c>
      <c r="AG203" s="6">
        <f>IF((G202&lt;&gt;"")*(G206=""),IF((G202&lt;=$B$441)*((G203&gt;=$C$441)+(G203&lt;2/24)),1,0),0)</f>
        <v>0</v>
      </c>
      <c r="AH203" s="6">
        <f>IF((H202&lt;&gt;"")*(H206=""),IF((H202&lt;=$B$441)*((H203&gt;=$C$441)+(H203&lt;2/24)),1,0),0)</f>
        <v>0</v>
      </c>
      <c r="AI203" s="6">
        <f>IF((I202&lt;&gt;"")*(I206=""),IF((I202&lt;=$B$441)*((I203&gt;=$C$441)+(I203&lt;2/24)),1,0),0)</f>
        <v>0</v>
      </c>
      <c r="AJ203" s="6">
        <f>IF((J202&lt;&gt;"")*(J206=""),IF((J202&lt;=$B$441)*((J203&gt;=$C$441)+(J203&lt;2/24)),1,0),0)</f>
        <v>0</v>
      </c>
    </row>
    <row r="204" spans="1:36" ht="13.5" hidden="1" thickBot="1" x14ac:dyDescent="0.25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  <c r="L204" s="6"/>
      <c r="M204" s="21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D204" s="6">
        <f>IF((D202&lt;&gt;"")*(D206=""),IF((D202&lt;=$B$442)*((D203&gt;=$C$442)+(D203&lt;2/24)),1,0),0)</f>
        <v>0</v>
      </c>
      <c r="AE204" s="6">
        <f>IF((E202&lt;&gt;"")*(E206=""),IF((E202&lt;=$B$442)*((E203&gt;=$C$442)+(E203&lt;2/24)),1,0),0)</f>
        <v>0</v>
      </c>
      <c r="AF204" s="6">
        <f>IF((F202&lt;&gt;"")*(F206=""),IF((F202&lt;=$B$442)*((F203&gt;=$C$442)+(F203&lt;2/24)),1,0),0)</f>
        <v>0</v>
      </c>
      <c r="AG204" s="6">
        <f>IF((G202&lt;&gt;"")*(G206=""),IF((G202&lt;=$B$442)*((G203&gt;=$C$442)+(G203&lt;2/24)),1,0),0)</f>
        <v>0</v>
      </c>
      <c r="AH204" s="6">
        <f>IF((H202&lt;&gt;"")*(H206=""),IF((H202&lt;=$B$442)*((H203&gt;=$C$442)+(H203&lt;2/24)),1,0),0)</f>
        <v>0</v>
      </c>
      <c r="AI204" s="6">
        <f>IF((I202&lt;&gt;"")*(I206=""),IF((I202&lt;=$B$442)*((I203&gt;=$C$442)+(I203&lt;2/24)),1,0),0)</f>
        <v>0</v>
      </c>
      <c r="AJ204" s="6">
        <f>IF((J202&lt;&gt;"")*(J206=""),IF((J202&lt;=$B$442)*((J203&gt;=$C$442)+(J203&lt;2/24)),1,0),0)</f>
        <v>0</v>
      </c>
    </row>
    <row r="205" spans="1:36" ht="13.5" hidden="1" thickBot="1" x14ac:dyDescent="0.25">
      <c r="A205" s="39"/>
      <c r="B205" s="40"/>
      <c r="C205" s="15" t="s">
        <v>3</v>
      </c>
      <c r="D205" s="43"/>
      <c r="E205" s="43"/>
      <c r="F205" s="43"/>
      <c r="G205" s="43"/>
      <c r="H205" s="43"/>
      <c r="I205" s="43"/>
      <c r="J205" s="44"/>
      <c r="K205" s="18">
        <f>SUMIF(D206:J206,"",D205:J205)</f>
        <v>0</v>
      </c>
      <c r="L205" s="12">
        <f>SUM(D205:J205)</f>
        <v>0</v>
      </c>
      <c r="M205" s="24"/>
      <c r="N205" s="10">
        <f>IF(D206="",D205,0)</f>
        <v>0</v>
      </c>
      <c r="O205" s="10">
        <f>IF(E206="",E205,0)</f>
        <v>0</v>
      </c>
      <c r="P205" s="10">
        <f t="shared" ref="P205:T205" si="66">IF(F206="",F205,0)</f>
        <v>0</v>
      </c>
      <c r="Q205" s="10">
        <f t="shared" si="66"/>
        <v>0</v>
      </c>
      <c r="R205" s="10">
        <f t="shared" si="66"/>
        <v>0</v>
      </c>
      <c r="S205" s="10">
        <f t="shared" si="66"/>
        <v>0</v>
      </c>
      <c r="T205" s="10">
        <f t="shared" si="66"/>
        <v>0</v>
      </c>
      <c r="U205" s="10"/>
      <c r="V205" s="10">
        <f>D205</f>
        <v>0</v>
      </c>
      <c r="W205" s="10">
        <f>E205</f>
        <v>0</v>
      </c>
      <c r="X205" s="10">
        <f t="shared" ref="X205:AB205" si="67">F205</f>
        <v>0</v>
      </c>
      <c r="Y205" s="10">
        <f t="shared" si="67"/>
        <v>0</v>
      </c>
      <c r="Z205" s="10">
        <f t="shared" si="67"/>
        <v>0</v>
      </c>
      <c r="AA205" s="10">
        <f t="shared" si="67"/>
        <v>0</v>
      </c>
      <c r="AB205" s="10">
        <f t="shared" si="67"/>
        <v>0</v>
      </c>
      <c r="AD205" s="6">
        <f>IF((D202&lt;&gt;"")*(D206=""),IF((D202&lt;=$B$443)*((D203&gt;=$C$443)+(D203&lt;2/24)),1,0),0)</f>
        <v>0</v>
      </c>
      <c r="AE205" s="6">
        <f>IF((E202&lt;&gt;"")*(E206=""),IF((E202&lt;=$B$443)*((E203&gt;=$C$443)+(E203&lt;2/24)),1,0),0)</f>
        <v>0</v>
      </c>
      <c r="AF205" s="6">
        <f>IF((F202&lt;&gt;"")*(F206=""),IF((F202&lt;=$B$443)*((F203&gt;=$C$443)+(F203&lt;2/24)),1,0),0)</f>
        <v>0</v>
      </c>
      <c r="AG205" s="6">
        <f>IF((G202&lt;&gt;"")*(G206=""),IF((G202&lt;=$B$443)*((G203&gt;=$C$443)+(G203&lt;2/24)),1,0),0)</f>
        <v>0</v>
      </c>
      <c r="AH205" s="6">
        <f>IF((H202&lt;&gt;"")*(H206=""),IF((H202&lt;=$B$443)*((H203&gt;=$C$443)+(H203&lt;2/24)),1,0),0)</f>
        <v>0</v>
      </c>
      <c r="AI205" s="6">
        <f>IF((I202&lt;&gt;"")*(I206=""),IF((I202&lt;=$B$443)*((I203&gt;=$C$443)+(I203&lt;2/24)),1,0),0)</f>
        <v>0</v>
      </c>
      <c r="AJ205" s="6">
        <f>IF((J202&lt;&gt;"")*(J206=""),IF((J202&lt;=$B$443)*((J203&gt;=$C$443)+(J203&lt;2/24)),1,0),0)</f>
        <v>0</v>
      </c>
    </row>
    <row r="206" spans="1:36" ht="13.5" hidden="1" thickBot="1" x14ac:dyDescent="0.25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  <c r="N206" s="6"/>
      <c r="O206" s="6"/>
      <c r="P206" s="6"/>
      <c r="Q206" s="6"/>
      <c r="R206" s="6"/>
      <c r="S206" s="6"/>
      <c r="T206" s="6"/>
      <c r="U206" s="6"/>
      <c r="V206" s="20"/>
      <c r="W206" s="20"/>
      <c r="X206" s="20"/>
      <c r="Y206" s="20"/>
      <c r="Z206" s="20"/>
      <c r="AA206" s="20"/>
      <c r="AB206" s="20"/>
      <c r="AD206" s="6">
        <f>IF((D202&lt;&gt;"")*(D206=""),IF((D202&lt;=$B$444)*((D203&gt;=$C$444)+(D203&lt;2/24)),1,0),0)</f>
        <v>0</v>
      </c>
      <c r="AE206" s="6">
        <f>IF((E202&lt;&gt;"")*(E206=""),IF((E202&lt;=$B$444)*((E203&gt;=$C$444)+(E203&lt;2/24)),1,0),0)</f>
        <v>0</v>
      </c>
      <c r="AF206" s="6">
        <f>IF((F202&lt;&gt;"")*(F206=""),IF((F202&lt;=$B$444)*((F203&gt;=$C$444)+(F203&lt;2/24)),1,0),0)</f>
        <v>0</v>
      </c>
      <c r="AG206" s="6">
        <f>IF((G202&lt;&gt;"")*(G206=""),IF((G202&lt;=$B$444)*((G203&gt;=$C$444)+(G203&lt;2/24)),1,0),0)</f>
        <v>0</v>
      </c>
      <c r="AH206" s="6">
        <f>IF((H202&lt;&gt;"")*(H206=""),IF((H202&lt;=$B$444)*((H203&gt;=$C$444)+(H203&lt;2/24)),1,0),0)</f>
        <v>0</v>
      </c>
      <c r="AI206" s="6">
        <f>IF((I202&lt;&gt;"")*(I206=""),IF((I202&lt;=$B$444)*((I203&gt;=$C$444)+(I203&lt;2/24)),1,0),0)</f>
        <v>0</v>
      </c>
      <c r="AJ206" s="6">
        <f>IF((J202&lt;&gt;"")*(J206=""),IF((J202&lt;=$B$444)*((J203&gt;=$C$444)+(J203&lt;2/24)),1,0),0)</f>
        <v>0</v>
      </c>
    </row>
    <row r="207" spans="1:36" ht="13.5" hidden="1" thickBot="1" x14ac:dyDescent="0.25">
      <c r="A207" s="41"/>
      <c r="B207" s="42"/>
      <c r="C207" s="35" t="s">
        <v>28</v>
      </c>
      <c r="D207" s="36"/>
      <c r="E207" s="36"/>
      <c r="F207" s="36"/>
      <c r="G207" s="36"/>
      <c r="H207" s="36"/>
      <c r="I207" s="36"/>
      <c r="J207" s="36"/>
      <c r="K207" s="34"/>
      <c r="L207" s="6"/>
      <c r="M207" s="25"/>
      <c r="N207" s="6"/>
      <c r="O207" s="6"/>
      <c r="P207" s="6"/>
      <c r="Q207" s="6"/>
      <c r="R207" s="6"/>
      <c r="S207" s="6"/>
      <c r="T207" s="6"/>
      <c r="U207" s="6"/>
      <c r="V207" s="20"/>
      <c r="W207" s="20"/>
      <c r="X207" s="20"/>
      <c r="Y207" s="20"/>
      <c r="Z207" s="20"/>
      <c r="AA207" s="20"/>
      <c r="AB207" s="20"/>
      <c r="AD207" s="6"/>
      <c r="AE207" s="6"/>
      <c r="AF207" s="6"/>
      <c r="AG207" s="6"/>
      <c r="AH207" s="6"/>
      <c r="AI207" s="6"/>
      <c r="AJ207" s="6"/>
    </row>
    <row r="208" spans="1:36" ht="13.5" hidden="1" thickBot="1" x14ac:dyDescent="0.25">
      <c r="A208" s="37" t="s">
        <v>29</v>
      </c>
      <c r="B208" s="38" t="s">
        <v>30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  <c r="L208" s="6"/>
      <c r="M208" s="21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D208" s="6">
        <f>IF((D208&lt;&gt;"")*(D212=""),IF((D208&lt;=$B$440)*((D209&gt;=$C$440)+(D209&lt;2/24)),1,0),0)</f>
        <v>0</v>
      </c>
      <c r="AE208" s="6">
        <f>IF((E208&lt;&gt;"")*(E212=""),IF((E208&lt;=$B$440)*((E209&gt;=$C$440)+(E209&lt;2/24)),1,0),0)</f>
        <v>0</v>
      </c>
      <c r="AF208" s="6">
        <f>IF((F208&lt;&gt;"")*(F212=""),IF((F208&lt;=$B$440)*((F209&gt;=$C$440)+(F209&lt;2/24)),1,0),0)</f>
        <v>0</v>
      </c>
      <c r="AG208" s="6">
        <f>IF((G208&lt;&gt;"")*(G212=""),IF((G208&lt;=$B$440)*((G209&gt;=$C$440)+(G209&lt;2/24)),1,0),0)</f>
        <v>0</v>
      </c>
      <c r="AH208" s="6">
        <f>IF((H208&lt;&gt;"")*(H212=""),IF((H208&lt;=$B$440)*((H209&gt;=$C$440)+(H209&lt;2/24)),1,0),0)</f>
        <v>0</v>
      </c>
      <c r="AI208" s="6">
        <f>IF((I208&lt;&gt;"")*(I212=""),IF((I208&lt;=$B$440)*((I209&gt;=$C$440)+(I209&lt;2/24)),1,0),0)</f>
        <v>0</v>
      </c>
      <c r="AJ208" s="6">
        <f>IF((J208&lt;&gt;"")*(J212=""),IF((J208&lt;=$B$440)*((J209&gt;=$C$440)+(J209&lt;2/24)),1,0),0)</f>
        <v>0</v>
      </c>
    </row>
    <row r="209" spans="1:36" ht="13.5" hidden="1" thickBot="1" x14ac:dyDescent="0.25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  <c r="L209" s="6"/>
      <c r="M209" s="21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D209" s="6">
        <f>IF((D208&lt;&gt;"")*(D212=""),IF((D208&lt;=$B$441)*((D209&gt;=$C$441)+(D209&lt;2/24)),1,0),0)</f>
        <v>0</v>
      </c>
      <c r="AE209" s="6">
        <f>IF((E208&lt;&gt;"")*(E212=""),IF((E208&lt;=$B$441)*((E209&gt;=$C$441)+(E209&lt;2/24)),1,0),0)</f>
        <v>0</v>
      </c>
      <c r="AF209" s="6">
        <f>IF((F208&lt;&gt;"")*(F212=""),IF((F208&lt;=$B$441)*((F209&gt;=$C$441)+(F209&lt;2/24)),1,0),0)</f>
        <v>0</v>
      </c>
      <c r="AG209" s="6">
        <f>IF((G208&lt;&gt;"")*(G212=""),IF((G208&lt;=$B$441)*((G209&gt;=$C$441)+(G209&lt;2/24)),1,0),0)</f>
        <v>0</v>
      </c>
      <c r="AH209" s="6">
        <f>IF((H208&lt;&gt;"")*(H212=""),IF((H208&lt;=$B$441)*((H209&gt;=$C$441)+(H209&lt;2/24)),1,0),0)</f>
        <v>0</v>
      </c>
      <c r="AI209" s="6">
        <f>IF((I208&lt;&gt;"")*(I212=""),IF((I208&lt;=$B$441)*((I209&gt;=$C$441)+(I209&lt;2/24)),1,0),0)</f>
        <v>0</v>
      </c>
      <c r="AJ209" s="6">
        <f>IF((J208&lt;&gt;"")*(J212=""),IF((J208&lt;=$B$441)*((J209&gt;=$C$441)+(J209&lt;2/24)),1,0),0)</f>
        <v>0</v>
      </c>
    </row>
    <row r="210" spans="1:36" ht="13.5" hidden="1" thickBot="1" x14ac:dyDescent="0.25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  <c r="L210" s="6"/>
      <c r="M210" s="21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D210" s="6">
        <f>IF((D208&lt;&gt;"")*(D212=""),IF((D208&lt;=$B$442)*((D209&gt;=$C$442)+(D209&lt;2/24)),1,0),0)</f>
        <v>0</v>
      </c>
      <c r="AE210" s="6">
        <f>IF((E208&lt;&gt;"")*(E212=""),IF((E208&lt;=$B$442)*((E209&gt;=$C$442)+(E209&lt;2/24)),1,0),0)</f>
        <v>0</v>
      </c>
      <c r="AF210" s="6">
        <f>IF((F208&lt;&gt;"")*(F212=""),IF((F208&lt;=$B$442)*((F209&gt;=$C$442)+(F209&lt;2/24)),1,0),0)</f>
        <v>0</v>
      </c>
      <c r="AG210" s="6">
        <f>IF((G208&lt;&gt;"")*(G212=""),IF((G208&lt;=$B$442)*((G209&gt;=$C$442)+(G209&lt;2/24)),1,0),0)</f>
        <v>0</v>
      </c>
      <c r="AH210" s="6">
        <f>IF((H208&lt;&gt;"")*(H212=""),IF((H208&lt;=$B$442)*((H209&gt;=$C$442)+(H209&lt;2/24)),1,0),0)</f>
        <v>0</v>
      </c>
      <c r="AI210" s="6">
        <f>IF((I208&lt;&gt;"")*(I212=""),IF((I208&lt;=$B$442)*((I209&gt;=$C$442)+(I209&lt;2/24)),1,0),0)</f>
        <v>0</v>
      </c>
      <c r="AJ210" s="6">
        <f>IF((J208&lt;&gt;"")*(J212=""),IF((J208&lt;=$B$442)*((J209&gt;=$C$442)+(J209&lt;2/24)),1,0),0)</f>
        <v>0</v>
      </c>
    </row>
    <row r="211" spans="1:36" ht="13.5" hidden="1" thickBot="1" x14ac:dyDescent="0.25">
      <c r="A211" s="39"/>
      <c r="B211" s="40"/>
      <c r="C211" s="15" t="s">
        <v>3</v>
      </c>
      <c r="D211" s="43"/>
      <c r="E211" s="43"/>
      <c r="F211" s="43"/>
      <c r="G211" s="43"/>
      <c r="H211" s="43"/>
      <c r="I211" s="43"/>
      <c r="J211" s="44"/>
      <c r="K211" s="18">
        <f>SUMIF(D212:J212,"",D211:J211)</f>
        <v>0</v>
      </c>
      <c r="L211" s="12">
        <f>SUM(D211:J211)</f>
        <v>0</v>
      </c>
      <c r="M211" s="24"/>
      <c r="N211" s="10">
        <f>IF(D212="",D211,0)</f>
        <v>0</v>
      </c>
      <c r="O211" s="10">
        <f>IF(E212="",E211,0)</f>
        <v>0</v>
      </c>
      <c r="P211" s="10">
        <f t="shared" ref="P211:T211" si="68">IF(F212="",F211,0)</f>
        <v>0</v>
      </c>
      <c r="Q211" s="10">
        <f t="shared" si="68"/>
        <v>0</v>
      </c>
      <c r="R211" s="10">
        <f t="shared" si="68"/>
        <v>0</v>
      </c>
      <c r="S211" s="10">
        <f t="shared" si="68"/>
        <v>0</v>
      </c>
      <c r="T211" s="10">
        <f t="shared" si="68"/>
        <v>0</v>
      </c>
      <c r="U211" s="10"/>
      <c r="V211" s="10">
        <f>D211</f>
        <v>0</v>
      </c>
      <c r="W211" s="10">
        <f>E211</f>
        <v>0</v>
      </c>
      <c r="X211" s="10">
        <f t="shared" ref="X211:AB211" si="69">F211</f>
        <v>0</v>
      </c>
      <c r="Y211" s="10">
        <f t="shared" si="69"/>
        <v>0</v>
      </c>
      <c r="Z211" s="10">
        <f t="shared" si="69"/>
        <v>0</v>
      </c>
      <c r="AA211" s="10">
        <f t="shared" si="69"/>
        <v>0</v>
      </c>
      <c r="AB211" s="10">
        <f t="shared" si="69"/>
        <v>0</v>
      </c>
      <c r="AD211" s="6">
        <f>IF((D208&lt;&gt;"")*(D212=""),IF((D208&lt;=$B$443)*((D209&gt;=$C$443)+(D209&lt;2/24)),1,0),0)</f>
        <v>0</v>
      </c>
      <c r="AE211" s="6">
        <f>IF((E208&lt;&gt;"")*(E212=""),IF((E208&lt;=$B$443)*((E209&gt;=$C$443)+(E209&lt;2/24)),1,0),0)</f>
        <v>0</v>
      </c>
      <c r="AF211" s="6">
        <f>IF((F208&lt;&gt;"")*(F212=""),IF((F208&lt;=$B$443)*((F209&gt;=$C$443)+(F209&lt;2/24)),1,0),0)</f>
        <v>0</v>
      </c>
      <c r="AG211" s="6">
        <f>IF((G208&lt;&gt;"")*(G212=""),IF((G208&lt;=$B$443)*((G209&gt;=$C$443)+(G209&lt;2/24)),1,0),0)</f>
        <v>0</v>
      </c>
      <c r="AH211" s="6">
        <f>IF((H208&lt;&gt;"")*(H212=""),IF((H208&lt;=$B$443)*((H209&gt;=$C$443)+(H209&lt;2/24)),1,0),0)</f>
        <v>0</v>
      </c>
      <c r="AI211" s="6">
        <f>IF((I208&lt;&gt;"")*(I212=""),IF((I208&lt;=$B$443)*((I209&gt;=$C$443)+(I209&lt;2/24)),1,0),0)</f>
        <v>0</v>
      </c>
      <c r="AJ211" s="6">
        <f>IF((J208&lt;&gt;"")*(J212=""),IF((J208&lt;=$B$443)*((J209&gt;=$C$443)+(J209&lt;2/24)),1,0),0)</f>
        <v>0</v>
      </c>
    </row>
    <row r="212" spans="1:36" ht="13.5" hidden="1" thickBot="1" x14ac:dyDescent="0.25">
      <c r="A212" s="39"/>
      <c r="B212" s="40"/>
      <c r="C212" s="32" t="s">
        <v>4</v>
      </c>
      <c r="D212" s="33"/>
      <c r="E212" s="33"/>
      <c r="F212" s="33"/>
      <c r="G212" s="33"/>
      <c r="H212" s="33"/>
      <c r="I212" s="33"/>
      <c r="J212" s="33"/>
      <c r="K212" s="17"/>
      <c r="L212" s="6"/>
      <c r="M212" s="25"/>
      <c r="N212" s="6"/>
      <c r="O212" s="6"/>
      <c r="P212" s="6"/>
      <c r="Q212" s="6"/>
      <c r="R212" s="6"/>
      <c r="S212" s="6"/>
      <c r="T212" s="6"/>
      <c r="U212" s="6"/>
      <c r="V212" s="20"/>
      <c r="W212" s="20"/>
      <c r="X212" s="20"/>
      <c r="Y212" s="20"/>
      <c r="Z212" s="20"/>
      <c r="AA212" s="20"/>
      <c r="AB212" s="20"/>
      <c r="AD212" s="6">
        <f>IF((D208&lt;&gt;"")*(D212=""),IF((D208&lt;=$B$444)*((D209&gt;=$C$444)+(D209&lt;2/24)),1,0),0)</f>
        <v>0</v>
      </c>
      <c r="AE212" s="6">
        <f>IF((E208&lt;&gt;"")*(E212=""),IF((E208&lt;=$B$444)*((E209&gt;=$C$444)+(E209&lt;2/24)),1,0),0)</f>
        <v>0</v>
      </c>
      <c r="AF212" s="6">
        <f>IF((F208&lt;&gt;"")*(F212=""),IF((F208&lt;=$B$444)*((F209&gt;=$C$444)+(F209&lt;2/24)),1,0),0)</f>
        <v>0</v>
      </c>
      <c r="AG212" s="6">
        <f>IF((G208&lt;&gt;"")*(G212=""),IF((G208&lt;=$B$444)*((G209&gt;=$C$444)+(G209&lt;2/24)),1,0),0)</f>
        <v>0</v>
      </c>
      <c r="AH212" s="6">
        <f>IF((H208&lt;&gt;"")*(H212=""),IF((H208&lt;=$B$444)*((H209&gt;=$C$444)+(H209&lt;2/24)),1,0),0)</f>
        <v>0</v>
      </c>
      <c r="AI212" s="6">
        <f>IF((I208&lt;&gt;"")*(I212=""),IF((I208&lt;=$B$444)*((I209&gt;=$C$444)+(I209&lt;2/24)),1,0),0)</f>
        <v>0</v>
      </c>
      <c r="AJ212" s="6">
        <f>IF((J208&lt;&gt;"")*(J212=""),IF((J208&lt;=$B$444)*((J209&gt;=$C$444)+(J209&lt;2/24)),1,0),0)</f>
        <v>0</v>
      </c>
    </row>
    <row r="213" spans="1:36" ht="13.5" hidden="1" thickBot="1" x14ac:dyDescent="0.25">
      <c r="A213" s="41"/>
      <c r="B213" s="42"/>
      <c r="C213" s="35" t="s">
        <v>28</v>
      </c>
      <c r="D213" s="36"/>
      <c r="E213" s="36"/>
      <c r="F213" s="36"/>
      <c r="G213" s="36"/>
      <c r="H213" s="36"/>
      <c r="I213" s="36"/>
      <c r="J213" s="36"/>
      <c r="K213" s="34"/>
      <c r="L213" s="6"/>
      <c r="M213" s="25"/>
      <c r="N213" s="6"/>
      <c r="O213" s="6"/>
      <c r="P213" s="6"/>
      <c r="Q213" s="6"/>
      <c r="R213" s="6"/>
      <c r="S213" s="6"/>
      <c r="T213" s="6"/>
      <c r="U213" s="6"/>
      <c r="V213" s="20"/>
      <c r="W213" s="20"/>
      <c r="X213" s="20"/>
      <c r="Y213" s="20"/>
      <c r="Z213" s="20"/>
      <c r="AA213" s="20"/>
      <c r="AB213" s="20"/>
      <c r="AD213" s="6"/>
      <c r="AE213" s="6"/>
      <c r="AF213" s="6"/>
      <c r="AG213" s="6"/>
      <c r="AH213" s="6"/>
      <c r="AI213" s="6"/>
      <c r="AJ213" s="6"/>
    </row>
    <row r="214" spans="1:36" ht="13.5" hidden="1" thickBot="1" x14ac:dyDescent="0.25">
      <c r="A214" s="37" t="s">
        <v>29</v>
      </c>
      <c r="B214" s="38" t="s">
        <v>30</v>
      </c>
      <c r="C214" s="14" t="s">
        <v>0</v>
      </c>
      <c r="D214" s="26"/>
      <c r="E214" s="26"/>
      <c r="F214" s="26"/>
      <c r="G214" s="26"/>
      <c r="H214" s="26"/>
      <c r="I214" s="26"/>
      <c r="J214" s="26"/>
      <c r="K214" s="16"/>
      <c r="L214" s="6"/>
      <c r="M214" s="21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D214" s="6">
        <f>IF((D214&lt;&gt;"")*(D218=""),IF((D214&lt;=$B$440)*((D215&gt;=$C$440)+(D215&lt;2/24)),1,0),0)</f>
        <v>0</v>
      </c>
      <c r="AE214" s="6">
        <f>IF((E214&lt;&gt;"")*(E218=""),IF((E214&lt;=$B$440)*((E215&gt;=$C$440)+(E215&lt;2/24)),1,0),0)</f>
        <v>0</v>
      </c>
      <c r="AF214" s="6">
        <f>IF((F214&lt;&gt;"")*(F218=""),IF((F214&lt;=$B$440)*((F215&gt;=$C$440)+(F215&lt;2/24)),1,0),0)</f>
        <v>0</v>
      </c>
      <c r="AG214" s="6">
        <f>IF((G214&lt;&gt;"")*(G218=""),IF((G214&lt;=$B$440)*((G215&gt;=$C$440)+(G215&lt;2/24)),1,0),0)</f>
        <v>0</v>
      </c>
      <c r="AH214" s="6">
        <f>IF((H214&lt;&gt;"")*(H218=""),IF((H214&lt;=$B$440)*((H215&gt;=$C$440)+(H215&lt;2/24)),1,0),0)</f>
        <v>0</v>
      </c>
      <c r="AI214" s="6">
        <f>IF((I214&lt;&gt;"")*(I218=""),IF((I214&lt;=$B$440)*((I215&gt;=$C$440)+(I215&lt;2/24)),1,0),0)</f>
        <v>0</v>
      </c>
      <c r="AJ214" s="6">
        <f>IF((J214&lt;&gt;"")*(J218=""),IF((J214&lt;=$B$440)*((J215&gt;=$C$440)+(J215&lt;2/24)),1,0),0)</f>
        <v>0</v>
      </c>
    </row>
    <row r="215" spans="1:36" ht="13.5" hidden="1" thickBot="1" x14ac:dyDescent="0.25">
      <c r="A215" s="39"/>
      <c r="B215" s="40"/>
      <c r="C215" s="15" t="s">
        <v>1</v>
      </c>
      <c r="D215" s="27"/>
      <c r="E215" s="27"/>
      <c r="F215" s="27"/>
      <c r="G215" s="27"/>
      <c r="H215" s="27"/>
      <c r="I215" s="27"/>
      <c r="J215" s="27"/>
      <c r="K215" s="17"/>
      <c r="L215" s="6"/>
      <c r="M215" s="21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D215" s="6">
        <f>IF((D214&lt;&gt;"")*(D218=""),IF((D214&lt;=$B$441)*((D215&gt;=$C$441)+(D215&lt;2/24)),1,0),0)</f>
        <v>0</v>
      </c>
      <c r="AE215" s="6">
        <f>IF((E214&lt;&gt;"")*(E218=""),IF((E214&lt;=$B$441)*((E215&gt;=$C$441)+(E215&lt;2/24)),1,0),0)</f>
        <v>0</v>
      </c>
      <c r="AF215" s="6">
        <f>IF((F214&lt;&gt;"")*(F218=""),IF((F214&lt;=$B$441)*((F215&gt;=$C$441)+(F215&lt;2/24)),1,0),0)</f>
        <v>0</v>
      </c>
      <c r="AG215" s="6">
        <f>IF((G214&lt;&gt;"")*(G218=""),IF((G214&lt;=$B$441)*((G215&gt;=$C$441)+(G215&lt;2/24)),1,0),0)</f>
        <v>0</v>
      </c>
      <c r="AH215" s="6">
        <f>IF((H214&lt;&gt;"")*(H218=""),IF((H214&lt;=$B$441)*((H215&gt;=$C$441)+(H215&lt;2/24)),1,0),0)</f>
        <v>0</v>
      </c>
      <c r="AI215" s="6">
        <f>IF((I214&lt;&gt;"")*(I218=""),IF((I214&lt;=$B$441)*((I215&gt;=$C$441)+(I215&lt;2/24)),1,0),0)</f>
        <v>0</v>
      </c>
      <c r="AJ215" s="6">
        <f>IF((J214&lt;&gt;"")*(J218=""),IF((J214&lt;=$B$441)*((J215&gt;=$C$441)+(J215&lt;2/24)),1,0),0)</f>
        <v>0</v>
      </c>
    </row>
    <row r="216" spans="1:36" ht="13.5" hidden="1" thickBot="1" x14ac:dyDescent="0.25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  <c r="L216" s="6"/>
      <c r="M216" s="21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D216" s="6">
        <f>IF((D214&lt;&gt;"")*(D218=""),IF((D214&lt;=$B$442)*((D215&gt;=$C$442)+(D215&lt;2/24)),1,0),0)</f>
        <v>0</v>
      </c>
      <c r="AE216" s="6">
        <f>IF((E214&lt;&gt;"")*(E218=""),IF((E214&lt;=$B$442)*((E215&gt;=$C$442)+(E215&lt;2/24)),1,0),0)</f>
        <v>0</v>
      </c>
      <c r="AF216" s="6">
        <f>IF((F214&lt;&gt;"")*(F218=""),IF((F214&lt;=$B$442)*((F215&gt;=$C$442)+(F215&lt;2/24)),1,0),0)</f>
        <v>0</v>
      </c>
      <c r="AG216" s="6">
        <f>IF((G214&lt;&gt;"")*(G218=""),IF((G214&lt;=$B$442)*((G215&gt;=$C$442)+(G215&lt;2/24)),1,0),0)</f>
        <v>0</v>
      </c>
      <c r="AH216" s="6">
        <f>IF((H214&lt;&gt;"")*(H218=""),IF((H214&lt;=$B$442)*((H215&gt;=$C$442)+(H215&lt;2/24)),1,0),0)</f>
        <v>0</v>
      </c>
      <c r="AI216" s="6">
        <f>IF((I214&lt;&gt;"")*(I218=""),IF((I214&lt;=$B$442)*((I215&gt;=$C$442)+(I215&lt;2/24)),1,0),0)</f>
        <v>0</v>
      </c>
      <c r="AJ216" s="6">
        <f>IF((J214&lt;&gt;"")*(J218=""),IF((J214&lt;=$B$442)*((J215&gt;=$C$442)+(J215&lt;2/24)),1,0),0)</f>
        <v>0</v>
      </c>
    </row>
    <row r="217" spans="1:36" ht="13.5" hidden="1" thickBot="1" x14ac:dyDescent="0.25">
      <c r="A217" s="39"/>
      <c r="B217" s="40"/>
      <c r="C217" s="15" t="s">
        <v>3</v>
      </c>
      <c r="D217" s="43"/>
      <c r="E217" s="43"/>
      <c r="F217" s="43"/>
      <c r="G217" s="43"/>
      <c r="H217" s="43"/>
      <c r="I217" s="43"/>
      <c r="J217" s="44"/>
      <c r="K217" s="18">
        <f>SUMIF(D218:J218,"",D217:J217)</f>
        <v>0</v>
      </c>
      <c r="L217" s="12">
        <f>SUM(D217:J217)</f>
        <v>0</v>
      </c>
      <c r="M217" s="24"/>
      <c r="N217" s="10">
        <f>IF(D218="",D217,0)</f>
        <v>0</v>
      </c>
      <c r="O217" s="10">
        <f>IF(E218="",E217,0)</f>
        <v>0</v>
      </c>
      <c r="P217" s="10">
        <f t="shared" ref="P217:T217" si="70">IF(F218="",F217,0)</f>
        <v>0</v>
      </c>
      <c r="Q217" s="10">
        <f t="shared" si="70"/>
        <v>0</v>
      </c>
      <c r="R217" s="10">
        <f t="shared" si="70"/>
        <v>0</v>
      </c>
      <c r="S217" s="10">
        <f t="shared" si="70"/>
        <v>0</v>
      </c>
      <c r="T217" s="10">
        <f t="shared" si="70"/>
        <v>0</v>
      </c>
      <c r="U217" s="10"/>
      <c r="V217" s="10">
        <f>D217</f>
        <v>0</v>
      </c>
      <c r="W217" s="10">
        <f>E217</f>
        <v>0</v>
      </c>
      <c r="X217" s="10">
        <f t="shared" ref="X217:AB217" si="71">F217</f>
        <v>0</v>
      </c>
      <c r="Y217" s="10">
        <f t="shared" si="71"/>
        <v>0</v>
      </c>
      <c r="Z217" s="10">
        <f t="shared" si="71"/>
        <v>0</v>
      </c>
      <c r="AA217" s="10">
        <f t="shared" si="71"/>
        <v>0</v>
      </c>
      <c r="AB217" s="10">
        <f t="shared" si="71"/>
        <v>0</v>
      </c>
      <c r="AD217" s="6">
        <f>IF((D214&lt;&gt;"")*(D218=""),IF((D214&lt;=$B$443)*((D215&gt;=$C$443)+(D215&lt;2/24)),1,0),0)</f>
        <v>0</v>
      </c>
      <c r="AE217" s="6">
        <f>IF((E214&lt;&gt;"")*(E218=""),IF((E214&lt;=$B$443)*((E215&gt;=$C$443)+(E215&lt;2/24)),1,0),0)</f>
        <v>0</v>
      </c>
      <c r="AF217" s="6">
        <f>IF((F214&lt;&gt;"")*(F218=""),IF((F214&lt;=$B$443)*((F215&gt;=$C$443)+(F215&lt;2/24)),1,0),0)</f>
        <v>0</v>
      </c>
      <c r="AG217" s="6">
        <f>IF((G214&lt;&gt;"")*(G218=""),IF((G214&lt;=$B$443)*((G215&gt;=$C$443)+(G215&lt;2/24)),1,0),0)</f>
        <v>0</v>
      </c>
      <c r="AH217" s="6">
        <f>IF((H214&lt;&gt;"")*(H218=""),IF((H214&lt;=$B$443)*((H215&gt;=$C$443)+(H215&lt;2/24)),1,0),0)</f>
        <v>0</v>
      </c>
      <c r="AI217" s="6">
        <f>IF((I214&lt;&gt;"")*(I218=""),IF((I214&lt;=$B$443)*((I215&gt;=$C$443)+(I215&lt;2/24)),1,0),0)</f>
        <v>0</v>
      </c>
      <c r="AJ217" s="6">
        <f>IF((J214&lt;&gt;"")*(J218=""),IF((J214&lt;=$B$443)*((J215&gt;=$C$443)+(J215&lt;2/24)),1,0),0)</f>
        <v>0</v>
      </c>
    </row>
    <row r="218" spans="1:36" ht="13.5" hidden="1" thickBot="1" x14ac:dyDescent="0.25">
      <c r="A218" s="39"/>
      <c r="B218" s="40"/>
      <c r="C218" s="32" t="s">
        <v>4</v>
      </c>
      <c r="D218" s="33"/>
      <c r="E218" s="33"/>
      <c r="F218" s="33"/>
      <c r="G218" s="33"/>
      <c r="H218" s="33"/>
      <c r="I218" s="33"/>
      <c r="J218" s="33"/>
      <c r="K218" s="17"/>
      <c r="L218" s="6"/>
      <c r="M218" s="25"/>
      <c r="N218" s="6"/>
      <c r="O218" s="6"/>
      <c r="P218" s="6"/>
      <c r="Q218" s="6"/>
      <c r="R218" s="6"/>
      <c r="S218" s="6"/>
      <c r="T218" s="6"/>
      <c r="U218" s="6"/>
      <c r="V218" s="20"/>
      <c r="W218" s="20"/>
      <c r="X218" s="20"/>
      <c r="Y218" s="20"/>
      <c r="Z218" s="20"/>
      <c r="AA218" s="20"/>
      <c r="AB218" s="20"/>
      <c r="AD218" s="6">
        <f>IF((D214&lt;&gt;"")*(D218=""),IF((D214&lt;=$B$444)*((D215&gt;=$C$444)+(D215&lt;2/24)),1,0),0)</f>
        <v>0</v>
      </c>
      <c r="AE218" s="6">
        <f>IF((E214&lt;&gt;"")*(E218=""),IF((E214&lt;=$B$444)*((E215&gt;=$C$444)+(E215&lt;2/24)),1,0),0)</f>
        <v>0</v>
      </c>
      <c r="AF218" s="6">
        <f>IF((F214&lt;&gt;"")*(F218=""),IF((F214&lt;=$B$444)*((F215&gt;=$C$444)+(F215&lt;2/24)),1,0),0)</f>
        <v>0</v>
      </c>
      <c r="AG218" s="6">
        <f>IF((G214&lt;&gt;"")*(G218=""),IF((G214&lt;=$B$444)*((G215&gt;=$C$444)+(G215&lt;2/24)),1,0),0)</f>
        <v>0</v>
      </c>
      <c r="AH218" s="6">
        <f>IF((H214&lt;&gt;"")*(H218=""),IF((H214&lt;=$B$444)*((H215&gt;=$C$444)+(H215&lt;2/24)),1,0),0)</f>
        <v>0</v>
      </c>
      <c r="AI218" s="6">
        <f>IF((I214&lt;&gt;"")*(I218=""),IF((I214&lt;=$B$444)*((I215&gt;=$C$444)+(I215&lt;2/24)),1,0),0)</f>
        <v>0</v>
      </c>
      <c r="AJ218" s="6">
        <f>IF((J214&lt;&gt;"")*(J218=""),IF((J214&lt;=$B$444)*((J215&gt;=$C$444)+(J215&lt;2/24)),1,0),0)</f>
        <v>0</v>
      </c>
    </row>
    <row r="219" spans="1:36" ht="13.5" hidden="1" thickBot="1" x14ac:dyDescent="0.25">
      <c r="A219" s="41"/>
      <c r="B219" s="42"/>
      <c r="C219" s="35" t="s">
        <v>28</v>
      </c>
      <c r="D219" s="36"/>
      <c r="E219" s="36"/>
      <c r="F219" s="36"/>
      <c r="G219" s="36"/>
      <c r="H219" s="36"/>
      <c r="I219" s="36"/>
      <c r="J219" s="36"/>
      <c r="K219" s="34"/>
      <c r="L219" s="6"/>
      <c r="M219" s="25"/>
      <c r="N219" s="6"/>
      <c r="O219" s="6"/>
      <c r="P219" s="6"/>
      <c r="Q219" s="6"/>
      <c r="R219" s="6"/>
      <c r="S219" s="6"/>
      <c r="T219" s="6"/>
      <c r="U219" s="6"/>
      <c r="V219" s="20"/>
      <c r="W219" s="20"/>
      <c r="X219" s="20"/>
      <c r="Y219" s="20"/>
      <c r="Z219" s="20"/>
      <c r="AA219" s="20"/>
      <c r="AB219" s="20"/>
      <c r="AD219" s="6"/>
      <c r="AE219" s="6"/>
      <c r="AF219" s="6"/>
      <c r="AG219" s="6"/>
      <c r="AH219" s="6"/>
      <c r="AI219" s="6"/>
      <c r="AJ219" s="6"/>
    </row>
    <row r="220" spans="1:36" ht="13.5" hidden="1" thickBot="1" x14ac:dyDescent="0.25">
      <c r="A220" s="37" t="s">
        <v>29</v>
      </c>
      <c r="B220" s="38" t="s">
        <v>30</v>
      </c>
      <c r="C220" s="14" t="s">
        <v>0</v>
      </c>
      <c r="D220" s="26"/>
      <c r="E220" s="26"/>
      <c r="F220" s="26"/>
      <c r="G220" s="26"/>
      <c r="H220" s="26"/>
      <c r="I220" s="26"/>
      <c r="J220" s="26"/>
      <c r="K220" s="16"/>
      <c r="L220" s="6"/>
      <c r="M220" s="21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D220" s="6">
        <f>IF((D220&lt;&gt;"")*(D224=""),IF((D220&lt;=$B$440)*((D221&gt;=$C$440)+(D221&lt;2/24)),1,0),0)</f>
        <v>0</v>
      </c>
      <c r="AE220" s="6">
        <f>IF((E220&lt;&gt;"")*(E224=""),IF((E220&lt;=$B$440)*((E221&gt;=$C$440)+(E221&lt;2/24)),1,0),0)</f>
        <v>0</v>
      </c>
      <c r="AF220" s="6">
        <f>IF((F220&lt;&gt;"")*(F224=""),IF((F220&lt;=$B$440)*((F221&gt;=$C$440)+(F221&lt;2/24)),1,0),0)</f>
        <v>0</v>
      </c>
      <c r="AG220" s="6">
        <f>IF((G220&lt;&gt;"")*(G224=""),IF((G220&lt;=$B$440)*((G221&gt;=$C$440)+(G221&lt;2/24)),1,0),0)</f>
        <v>0</v>
      </c>
      <c r="AH220" s="6">
        <f>IF((H220&lt;&gt;"")*(H224=""),IF((H220&lt;=$B$440)*((H221&gt;=$C$440)+(H221&lt;2/24)),1,0),0)</f>
        <v>0</v>
      </c>
      <c r="AI220" s="6">
        <f>IF((I220&lt;&gt;"")*(I224=""),IF((I220&lt;=$B$440)*((I221&gt;=$C$440)+(I221&lt;2/24)),1,0),0)</f>
        <v>0</v>
      </c>
      <c r="AJ220" s="6">
        <f>IF((J220&lt;&gt;"")*(J224=""),IF((J220&lt;=$B$440)*((J221&gt;=$C$440)+(J221&lt;2/24)),1,0),0)</f>
        <v>0</v>
      </c>
    </row>
    <row r="221" spans="1:36" ht="13.5" hidden="1" thickBot="1" x14ac:dyDescent="0.25">
      <c r="A221" s="39"/>
      <c r="B221" s="40"/>
      <c r="C221" s="15" t="s">
        <v>1</v>
      </c>
      <c r="D221" s="27"/>
      <c r="E221" s="27"/>
      <c r="F221" s="27"/>
      <c r="G221" s="27"/>
      <c r="H221" s="27"/>
      <c r="I221" s="27"/>
      <c r="J221" s="27"/>
      <c r="K221" s="17"/>
      <c r="L221" s="6"/>
      <c r="M221" s="21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D221" s="6">
        <f>IF((D220&lt;&gt;"")*(D224=""),IF((D220&lt;=$B$441)*((D221&gt;=$C$441)+(D221&lt;2/24)),1,0),0)</f>
        <v>0</v>
      </c>
      <c r="AE221" s="6">
        <f>IF((E220&lt;&gt;"")*(E224=""),IF((E220&lt;=$B$441)*((E221&gt;=$C$441)+(E221&lt;2/24)),1,0),0)</f>
        <v>0</v>
      </c>
      <c r="AF221" s="6">
        <f>IF((F220&lt;&gt;"")*(F224=""),IF((F220&lt;=$B$441)*((F221&gt;=$C$441)+(F221&lt;2/24)),1,0),0)</f>
        <v>0</v>
      </c>
      <c r="AG221" s="6">
        <f>IF((G220&lt;&gt;"")*(G224=""),IF((G220&lt;=$B$441)*((G221&gt;=$C$441)+(G221&lt;2/24)),1,0),0)</f>
        <v>0</v>
      </c>
      <c r="AH221" s="6">
        <f>IF((H220&lt;&gt;"")*(H224=""),IF((H220&lt;=$B$441)*((H221&gt;=$C$441)+(H221&lt;2/24)),1,0),0)</f>
        <v>0</v>
      </c>
      <c r="AI221" s="6">
        <f>IF((I220&lt;&gt;"")*(I224=""),IF((I220&lt;=$B$441)*((I221&gt;=$C$441)+(I221&lt;2/24)),1,0),0)</f>
        <v>0</v>
      </c>
      <c r="AJ221" s="6">
        <f>IF((J220&lt;&gt;"")*(J224=""),IF((J220&lt;=$B$441)*((J221&gt;=$C$441)+(J221&lt;2/24)),1,0),0)</f>
        <v>0</v>
      </c>
    </row>
    <row r="222" spans="1:36" ht="13.5" hidden="1" thickBot="1" x14ac:dyDescent="0.25">
      <c r="A222" s="39"/>
      <c r="B222" s="40"/>
      <c r="C222" s="15" t="s">
        <v>2</v>
      </c>
      <c r="D222" s="4"/>
      <c r="E222" s="4"/>
      <c r="F222" s="4"/>
      <c r="G222" s="4"/>
      <c r="H222" s="4"/>
      <c r="I222" s="4"/>
      <c r="J222" s="4"/>
      <c r="K222" s="17"/>
      <c r="L222" s="6"/>
      <c r="M222" s="21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D222" s="6">
        <f>IF((D220&lt;&gt;"")*(D224=""),IF((D220&lt;=$B$442)*((D221&gt;=$C$442)+(D221&lt;2/24)),1,0),0)</f>
        <v>0</v>
      </c>
      <c r="AE222" s="6">
        <f>IF((E220&lt;&gt;"")*(E224=""),IF((E220&lt;=$B$442)*((E221&gt;=$C$442)+(E221&lt;2/24)),1,0),0)</f>
        <v>0</v>
      </c>
      <c r="AF222" s="6">
        <f>IF((F220&lt;&gt;"")*(F224=""),IF((F220&lt;=$B$442)*((F221&gt;=$C$442)+(F221&lt;2/24)),1,0),0)</f>
        <v>0</v>
      </c>
      <c r="AG222" s="6">
        <f>IF((G220&lt;&gt;"")*(G224=""),IF((G220&lt;=$B$442)*((G221&gt;=$C$442)+(G221&lt;2/24)),1,0),0)</f>
        <v>0</v>
      </c>
      <c r="AH222" s="6">
        <f>IF((H220&lt;&gt;"")*(H224=""),IF((H220&lt;=$B$442)*((H221&gt;=$C$442)+(H221&lt;2/24)),1,0),0)</f>
        <v>0</v>
      </c>
      <c r="AI222" s="6">
        <f>IF((I220&lt;&gt;"")*(I224=""),IF((I220&lt;=$B$442)*((I221&gt;=$C$442)+(I221&lt;2/24)),1,0),0)</f>
        <v>0</v>
      </c>
      <c r="AJ222" s="6">
        <f>IF((J220&lt;&gt;"")*(J224=""),IF((J220&lt;=$B$442)*((J221&gt;=$C$442)+(J221&lt;2/24)),1,0),0)</f>
        <v>0</v>
      </c>
    </row>
    <row r="223" spans="1:36" ht="13.5" hidden="1" thickBot="1" x14ac:dyDescent="0.25">
      <c r="A223" s="39"/>
      <c r="B223" s="40"/>
      <c r="C223" s="15" t="s">
        <v>3</v>
      </c>
      <c r="D223" s="43"/>
      <c r="E223" s="43"/>
      <c r="F223" s="43"/>
      <c r="G223" s="43"/>
      <c r="H223" s="43"/>
      <c r="I223" s="43"/>
      <c r="J223" s="44"/>
      <c r="K223" s="18">
        <f>SUMIF(D224:J224,"",D223:J223)</f>
        <v>0</v>
      </c>
      <c r="L223" s="12">
        <f>SUM(D223:J223)</f>
        <v>0</v>
      </c>
      <c r="M223" s="24"/>
      <c r="N223" s="10">
        <f>IF(D224="",D223,0)</f>
        <v>0</v>
      </c>
      <c r="O223" s="10">
        <f>IF(E224="",E223,0)</f>
        <v>0</v>
      </c>
      <c r="P223" s="10">
        <f t="shared" ref="P223:T223" si="72">IF(F224="",F223,0)</f>
        <v>0</v>
      </c>
      <c r="Q223" s="10">
        <f t="shared" si="72"/>
        <v>0</v>
      </c>
      <c r="R223" s="10">
        <f t="shared" si="72"/>
        <v>0</v>
      </c>
      <c r="S223" s="10">
        <f t="shared" si="72"/>
        <v>0</v>
      </c>
      <c r="T223" s="10">
        <f t="shared" si="72"/>
        <v>0</v>
      </c>
      <c r="U223" s="10"/>
      <c r="V223" s="10">
        <f>D223</f>
        <v>0</v>
      </c>
      <c r="W223" s="10">
        <f>E223</f>
        <v>0</v>
      </c>
      <c r="X223" s="10">
        <f t="shared" ref="X223:AB223" si="73">F223</f>
        <v>0</v>
      </c>
      <c r="Y223" s="10">
        <f t="shared" si="73"/>
        <v>0</v>
      </c>
      <c r="Z223" s="10">
        <f t="shared" si="73"/>
        <v>0</v>
      </c>
      <c r="AA223" s="10">
        <f t="shared" si="73"/>
        <v>0</v>
      </c>
      <c r="AB223" s="10">
        <f t="shared" si="73"/>
        <v>0</v>
      </c>
      <c r="AD223" s="6">
        <f>IF((D220&lt;&gt;"")*(D224=""),IF((D220&lt;=$B$443)*((D221&gt;=$C$443)+(D221&lt;2/24)),1,0),0)</f>
        <v>0</v>
      </c>
      <c r="AE223" s="6">
        <f>IF((E220&lt;&gt;"")*(E224=""),IF((E220&lt;=$B$443)*((E221&gt;=$C$443)+(E221&lt;2/24)),1,0),0)</f>
        <v>0</v>
      </c>
      <c r="AF223" s="6">
        <f>IF((F220&lt;&gt;"")*(F224=""),IF((F220&lt;=$B$443)*((F221&gt;=$C$443)+(F221&lt;2/24)),1,0),0)</f>
        <v>0</v>
      </c>
      <c r="AG223" s="6">
        <f>IF((G220&lt;&gt;"")*(G224=""),IF((G220&lt;=$B$443)*((G221&gt;=$C$443)+(G221&lt;2/24)),1,0),0)</f>
        <v>0</v>
      </c>
      <c r="AH223" s="6">
        <f>IF((H220&lt;&gt;"")*(H224=""),IF((H220&lt;=$B$443)*((H221&gt;=$C$443)+(H221&lt;2/24)),1,0),0)</f>
        <v>0</v>
      </c>
      <c r="AI223" s="6">
        <f>IF((I220&lt;&gt;"")*(I224=""),IF((I220&lt;=$B$443)*((I221&gt;=$C$443)+(I221&lt;2/24)),1,0),0)</f>
        <v>0</v>
      </c>
      <c r="AJ223" s="6">
        <f>IF((J220&lt;&gt;"")*(J224=""),IF((J220&lt;=$B$443)*((J221&gt;=$C$443)+(J221&lt;2/24)),1,0),0)</f>
        <v>0</v>
      </c>
    </row>
    <row r="224" spans="1:36" ht="13.5" hidden="1" thickBot="1" x14ac:dyDescent="0.25">
      <c r="A224" s="39"/>
      <c r="B224" s="40"/>
      <c r="C224" s="32" t="s">
        <v>4</v>
      </c>
      <c r="D224" s="33"/>
      <c r="E224" s="33"/>
      <c r="F224" s="33"/>
      <c r="G224" s="33"/>
      <c r="H224" s="33"/>
      <c r="I224" s="33"/>
      <c r="J224" s="33"/>
      <c r="K224" s="17"/>
      <c r="L224" s="6"/>
      <c r="M224" s="25"/>
      <c r="N224" s="6"/>
      <c r="O224" s="6"/>
      <c r="P224" s="6"/>
      <c r="Q224" s="6"/>
      <c r="R224" s="6"/>
      <c r="S224" s="6"/>
      <c r="T224" s="6"/>
      <c r="U224" s="6"/>
      <c r="V224" s="20"/>
      <c r="W224" s="20"/>
      <c r="X224" s="20"/>
      <c r="Y224" s="20"/>
      <c r="Z224" s="20"/>
      <c r="AA224" s="20"/>
      <c r="AB224" s="20"/>
      <c r="AD224" s="6">
        <f>IF((D220&lt;&gt;"")*(D224=""),IF((D220&lt;=$B$444)*((D221&gt;=$C$444)+(D221&lt;2/24)),1,0),0)</f>
        <v>0</v>
      </c>
      <c r="AE224" s="6">
        <f>IF((E220&lt;&gt;"")*(E224=""),IF((E220&lt;=$B$444)*((E221&gt;=$C$444)+(E221&lt;2/24)),1,0),0)</f>
        <v>0</v>
      </c>
      <c r="AF224" s="6">
        <f>IF((F220&lt;&gt;"")*(F224=""),IF((F220&lt;=$B$444)*((F221&gt;=$C$444)+(F221&lt;2/24)),1,0),0)</f>
        <v>0</v>
      </c>
      <c r="AG224" s="6">
        <f>IF((G220&lt;&gt;"")*(G224=""),IF((G220&lt;=$B$444)*((G221&gt;=$C$444)+(G221&lt;2/24)),1,0),0)</f>
        <v>0</v>
      </c>
      <c r="AH224" s="6">
        <f>IF((H220&lt;&gt;"")*(H224=""),IF((H220&lt;=$B$444)*((H221&gt;=$C$444)+(H221&lt;2/24)),1,0),0)</f>
        <v>0</v>
      </c>
      <c r="AI224" s="6">
        <f>IF((I220&lt;&gt;"")*(I224=""),IF((I220&lt;=$B$444)*((I221&gt;=$C$444)+(I221&lt;2/24)),1,0),0)</f>
        <v>0</v>
      </c>
      <c r="AJ224" s="6">
        <f>IF((J220&lt;&gt;"")*(J224=""),IF((J220&lt;=$B$444)*((J221&gt;=$C$444)+(J221&lt;2/24)),1,0),0)</f>
        <v>0</v>
      </c>
    </row>
    <row r="225" spans="1:36" ht="13.5" hidden="1" thickBot="1" x14ac:dyDescent="0.25">
      <c r="A225" s="41"/>
      <c r="B225" s="42"/>
      <c r="C225" s="35" t="s">
        <v>28</v>
      </c>
      <c r="D225" s="36"/>
      <c r="E225" s="36"/>
      <c r="F225" s="36"/>
      <c r="G225" s="36"/>
      <c r="H225" s="36"/>
      <c r="I225" s="36"/>
      <c r="J225" s="36"/>
      <c r="K225" s="34"/>
      <c r="L225" s="6"/>
      <c r="M225" s="25"/>
      <c r="N225" s="6"/>
      <c r="O225" s="6"/>
      <c r="P225" s="6"/>
      <c r="Q225" s="6"/>
      <c r="R225" s="6"/>
      <c r="S225" s="6"/>
      <c r="T225" s="6"/>
      <c r="U225" s="6"/>
      <c r="V225" s="20"/>
      <c r="W225" s="20"/>
      <c r="X225" s="20"/>
      <c r="Y225" s="20"/>
      <c r="Z225" s="20"/>
      <c r="AA225" s="20"/>
      <c r="AB225" s="20"/>
      <c r="AD225" s="6"/>
      <c r="AE225" s="6"/>
      <c r="AF225" s="6"/>
      <c r="AG225" s="6"/>
      <c r="AH225" s="6"/>
      <c r="AI225" s="6"/>
      <c r="AJ225" s="6"/>
    </row>
    <row r="226" spans="1:36" x14ac:dyDescent="0.2">
      <c r="A226" s="37" t="s">
        <v>88</v>
      </c>
      <c r="B226" s="38" t="s">
        <v>47</v>
      </c>
      <c r="C226" s="14" t="s">
        <v>0</v>
      </c>
      <c r="D226" s="26">
        <v>0.54166666666666663</v>
      </c>
      <c r="E226" s="26">
        <v>0.54166666666666663</v>
      </c>
      <c r="F226" s="26">
        <v>0.77083333333333337</v>
      </c>
      <c r="G226" s="26"/>
      <c r="H226" s="26"/>
      <c r="I226" s="26"/>
      <c r="J226" s="26"/>
      <c r="K226" s="16"/>
      <c r="L226" s="6"/>
      <c r="M226" s="21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D226" s="6" t="e">
        <f>IF((D226&lt;&gt;"")*(D230=""),IF((D226&lt;=#REF!)*((D227&gt;=#REF!)+(D227&lt;2/24)),1,0),0)</f>
        <v>#REF!</v>
      </c>
      <c r="AE226" s="6" t="e">
        <f>IF((E226&lt;&gt;"")*(E230=""),IF((E226&lt;=#REF!)*((E227&gt;=#REF!)+(E227&lt;2/24)),1,0),0)</f>
        <v>#REF!</v>
      </c>
      <c r="AF226" s="6" t="e">
        <f>IF((F226&lt;&gt;"")*(F230=""),IF((F226&lt;=#REF!)*((F227&gt;=#REF!)+(F227&lt;2/24)),1,0),0)</f>
        <v>#REF!</v>
      </c>
      <c r="AG226" s="6">
        <f>IF((G226&lt;&gt;"")*(G230=""),IF((G226&lt;=#REF!)*((G227&gt;=#REF!)+(G227&lt;2/24)),1,0),0)</f>
        <v>0</v>
      </c>
      <c r="AH226" s="6">
        <f>IF((H226&lt;&gt;"")*(H230=""),IF((H226&lt;=#REF!)*((H227&gt;=#REF!)+(H227&lt;2/24)),1,0),0)</f>
        <v>0</v>
      </c>
      <c r="AI226" s="6">
        <f>IF((I226&lt;&gt;"")*(I230=""),IF((I226&lt;=#REF!)*((I227&gt;=#REF!)+(I227&lt;2/24)),1,0),0)</f>
        <v>0</v>
      </c>
      <c r="AJ226" s="6">
        <f>IF((J226&lt;&gt;"")*(J230=""),IF((J226&lt;=#REF!)*((J227&gt;=#REF!)+(J227&lt;2/24)),1,0),0)</f>
        <v>0</v>
      </c>
    </row>
    <row r="227" spans="1:36" x14ac:dyDescent="0.2">
      <c r="A227" s="39"/>
      <c r="B227" s="40"/>
      <c r="C227" s="15" t="s">
        <v>1</v>
      </c>
      <c r="D227" s="27">
        <v>0.95833333333333337</v>
      </c>
      <c r="E227" s="27">
        <v>0.95833333333333337</v>
      </c>
      <c r="F227" s="27">
        <v>0.95833333333333337</v>
      </c>
      <c r="G227" s="27"/>
      <c r="H227" s="27"/>
      <c r="I227" s="27"/>
      <c r="J227" s="27"/>
      <c r="K227" s="17"/>
      <c r="L227" s="6"/>
      <c r="M227" s="21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D227" s="6" t="e">
        <f>IF((D226&lt;&gt;"")*(D230=""),IF((D226&lt;=#REF!)*((D227&gt;=#REF!)+(D227&lt;2/24)),1,0),0)</f>
        <v>#REF!</v>
      </c>
      <c r="AE227" s="6" t="e">
        <f>IF((E226&lt;&gt;"")*(E230=""),IF((E226&lt;=#REF!)*((E227&gt;=#REF!)+(E227&lt;2/24)),1,0),0)</f>
        <v>#REF!</v>
      </c>
      <c r="AF227" s="6" t="e">
        <f>IF((F226&lt;&gt;"")*(F230=""),IF((F226&lt;=#REF!)*((F227&gt;=#REF!)+(F227&lt;2/24)),1,0),0)</f>
        <v>#REF!</v>
      </c>
      <c r="AG227" s="6">
        <f>IF((G226&lt;&gt;"")*(G230=""),IF((G226&lt;=#REF!)*((G227&gt;=#REF!)+(G227&lt;2/24)),1,0),0)</f>
        <v>0</v>
      </c>
      <c r="AH227" s="6">
        <f>IF((H226&lt;&gt;"")*(H230=""),IF((H226&lt;=#REF!)*((H227&gt;=#REF!)+(H227&lt;2/24)),1,0),0)</f>
        <v>0</v>
      </c>
      <c r="AI227" s="6">
        <f>IF((I226&lt;&gt;"")*(I230=""),IF((I226&lt;=#REF!)*((I227&gt;=#REF!)+(I227&lt;2/24)),1,0),0)</f>
        <v>0</v>
      </c>
      <c r="AJ227" s="6">
        <f>IF((J226&lt;&gt;"")*(J230=""),IF((J226&lt;=#REF!)*((J227&gt;=#REF!)+(J227&lt;2/24)),1,0),0)</f>
        <v>0</v>
      </c>
    </row>
    <row r="228" spans="1:36" x14ac:dyDescent="0.2">
      <c r="A228" s="39"/>
      <c r="B228" s="40"/>
      <c r="C228" s="15" t="s">
        <v>2</v>
      </c>
      <c r="D228" s="4">
        <v>4.1666666666666664E-2</v>
      </c>
      <c r="E228" s="4">
        <v>4.1666666666666664E-2</v>
      </c>
      <c r="F228" s="4"/>
      <c r="G228" s="4"/>
      <c r="H228" s="4"/>
      <c r="I228" s="4"/>
      <c r="J228" s="4"/>
      <c r="K228" s="17"/>
      <c r="L228" s="6"/>
      <c r="M228" s="21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D228" s="6" t="e">
        <f>IF((D226&lt;&gt;"")*(D230=""),IF((D226&lt;=#REF!)*((D227&gt;=#REF!)+(D227&lt;2/24)),1,0),0)</f>
        <v>#REF!</v>
      </c>
      <c r="AE228" s="6" t="e">
        <f>IF((E226&lt;&gt;"")*(E230=""),IF((E226&lt;=#REF!)*((E227&gt;=#REF!)+(E227&lt;2/24)),1,0),0)</f>
        <v>#REF!</v>
      </c>
      <c r="AF228" s="6" t="e">
        <f>IF((F226&lt;&gt;"")*(F230=""),IF((F226&lt;=#REF!)*((F227&gt;=#REF!)+(F227&lt;2/24)),1,0),0)</f>
        <v>#REF!</v>
      </c>
      <c r="AG228" s="6">
        <f>IF((G226&lt;&gt;"")*(G230=""),IF((G226&lt;=#REF!)*((G227&gt;=#REF!)+(G227&lt;2/24)),1,0),0)</f>
        <v>0</v>
      </c>
      <c r="AH228" s="6">
        <f>IF((H226&lt;&gt;"")*(H230=""),IF((H226&lt;=#REF!)*((H227&gt;=#REF!)+(H227&lt;2/24)),1,0),0)</f>
        <v>0</v>
      </c>
      <c r="AI228" s="6">
        <f>IF((I226&lt;&gt;"")*(I230=""),IF((I226&lt;=#REF!)*((I227&gt;=#REF!)+(I227&lt;2/24)),1,0),0)</f>
        <v>0</v>
      </c>
      <c r="AJ228" s="6">
        <f>IF((J226&lt;&gt;"")*(J230=""),IF((J226&lt;=#REF!)*((J227&gt;=#REF!)+(J227&lt;2/24)),1,0),0)</f>
        <v>0</v>
      </c>
    </row>
    <row r="229" spans="1:36" x14ac:dyDescent="0.2">
      <c r="A229" s="39"/>
      <c r="B229" s="40"/>
      <c r="C229" s="15" t="s">
        <v>3</v>
      </c>
      <c r="D229" s="43">
        <f t="shared" ref="D229:H229" si="74">IF(D226="","",IF(D227&gt;D226,(D227-D226-D228)*24,(1-D226-D228+D227)*24))</f>
        <v>9.0000000000000018</v>
      </c>
      <c r="E229" s="43">
        <f t="shared" si="74"/>
        <v>9.0000000000000018</v>
      </c>
      <c r="F229" s="43">
        <f t="shared" si="74"/>
        <v>4.5</v>
      </c>
      <c r="G229" s="43" t="str">
        <f t="shared" si="74"/>
        <v/>
      </c>
      <c r="H229" s="43" t="str">
        <f t="shared" si="74"/>
        <v/>
      </c>
      <c r="I229" s="43" t="str">
        <f>IF(I226="","",IF(I227&gt;I226,(I227-I226-I228)*24,(1-I226-I228+I227)*24))</f>
        <v/>
      </c>
      <c r="J229" s="43" t="str">
        <f>IF(J226="","",IF(J227&gt;J226,(J227-J226-J228)*24,(1-J226-J228+J227)*24))</f>
        <v/>
      </c>
      <c r="K229" s="18">
        <f>SUMIF(D230:J230,"",D229:J229)</f>
        <v>22.500000000000004</v>
      </c>
      <c r="L229" s="12">
        <f>SUM(D229:J229)</f>
        <v>22.500000000000004</v>
      </c>
      <c r="M229" s="24"/>
      <c r="N229" s="10">
        <f>IF(D230="",D229,0)</f>
        <v>9.0000000000000018</v>
      </c>
      <c r="O229" s="10">
        <f>IF(E230="",E229,0)</f>
        <v>9.0000000000000018</v>
      </c>
      <c r="P229" s="10">
        <f t="shared" ref="P229" si="75">IF(F230="",F229,0)</f>
        <v>4.5</v>
      </c>
      <c r="Q229" s="10" t="str">
        <f t="shared" ref="Q229" si="76">IF(G230="",G229,0)</f>
        <v/>
      </c>
      <c r="R229" s="10" t="str">
        <f t="shared" ref="R229" si="77">IF(H230="",H229,0)</f>
        <v/>
      </c>
      <c r="S229" s="10" t="str">
        <f t="shared" ref="S229" si="78">IF(I230="",I229,0)</f>
        <v/>
      </c>
      <c r="T229" s="10" t="str">
        <f>IF(J230="",J229,0)</f>
        <v/>
      </c>
      <c r="U229" s="10"/>
      <c r="V229" s="10">
        <f>D229</f>
        <v>9.0000000000000018</v>
      </c>
      <c r="W229" s="10">
        <f>E229</f>
        <v>9.0000000000000018</v>
      </c>
      <c r="X229" s="10">
        <f t="shared" ref="X229" si="79">F229</f>
        <v>4.5</v>
      </c>
      <c r="Y229" s="10" t="str">
        <f t="shared" ref="Y229" si="80">G229</f>
        <v/>
      </c>
      <c r="Z229" s="10" t="str">
        <f t="shared" ref="Z229" si="81">H229</f>
        <v/>
      </c>
      <c r="AA229" s="10" t="str">
        <f t="shared" ref="AA229" si="82">I229</f>
        <v/>
      </c>
      <c r="AB229" s="10" t="str">
        <f>J229</f>
        <v/>
      </c>
      <c r="AD229" s="6" t="e">
        <f>IF((D226&lt;&gt;"")*(D230=""),IF((D226&lt;=#REF!)*((D227&gt;=#REF!)+(D227&lt;2/24)),1,0),0)</f>
        <v>#REF!</v>
      </c>
      <c r="AE229" s="6" t="e">
        <f>IF((E226&lt;&gt;"")*(E230=""),IF((E226&lt;=#REF!)*((E227&gt;=#REF!)+(E227&lt;2/24)),1,0),0)</f>
        <v>#REF!</v>
      </c>
      <c r="AF229" s="6" t="e">
        <f>IF((F226&lt;&gt;"")*(F230=""),IF((F226&lt;=#REF!)*((F227&gt;=#REF!)+(F227&lt;2/24)),1,0),0)</f>
        <v>#REF!</v>
      </c>
      <c r="AG229" s="6">
        <f>IF((G226&lt;&gt;"")*(G230=""),IF((G226&lt;=#REF!)*((G227&gt;=#REF!)+(G227&lt;2/24)),1,0),0)</f>
        <v>0</v>
      </c>
      <c r="AH229" s="6">
        <f>IF((H226&lt;&gt;"")*(H230=""),IF((H226&lt;=#REF!)*((H227&gt;=#REF!)+(H227&lt;2/24)),1,0),0)</f>
        <v>0</v>
      </c>
      <c r="AI229" s="6">
        <f>IF((I226&lt;&gt;"")*(I230=""),IF((I226&lt;=#REF!)*((I227&gt;=#REF!)+(I227&lt;2/24)),1,0),0)</f>
        <v>0</v>
      </c>
      <c r="AJ229" s="6">
        <f>IF((J226&lt;&gt;"")*(J230=""),IF((J226&lt;=#REF!)*((J227&gt;=#REF!)+(J227&lt;2/24)),1,0),0)</f>
        <v>0</v>
      </c>
    </row>
    <row r="230" spans="1:36" x14ac:dyDescent="0.2">
      <c r="A230" s="39"/>
      <c r="B230" s="40"/>
      <c r="C230" s="32" t="s">
        <v>4</v>
      </c>
      <c r="D230" s="33"/>
      <c r="E230" s="33"/>
      <c r="F230" s="33"/>
      <c r="G230" s="33"/>
      <c r="H230" s="33"/>
      <c r="I230" s="33"/>
      <c r="J230" s="33"/>
      <c r="K230" s="17"/>
      <c r="L230" s="6"/>
      <c r="M230" s="25"/>
      <c r="N230" s="6"/>
      <c r="O230" s="6"/>
      <c r="P230" s="6"/>
      <c r="Q230" s="6"/>
      <c r="R230" s="6"/>
      <c r="S230" s="6"/>
      <c r="T230" s="6"/>
      <c r="U230" s="6"/>
      <c r="V230" s="20"/>
      <c r="W230" s="20"/>
      <c r="X230" s="20"/>
      <c r="Y230" s="20"/>
      <c r="Z230" s="20"/>
      <c r="AA230" s="20"/>
      <c r="AB230" s="20"/>
      <c r="AD230" s="6" t="e">
        <f>IF((D226&lt;&gt;"")*(D230=""),IF((D226&lt;=#REF!)*((D227&gt;=#REF!)+(D227&lt;2/24)),1,0),0)</f>
        <v>#REF!</v>
      </c>
      <c r="AE230" s="6" t="e">
        <f>IF((E226&lt;&gt;"")*(E230=""),IF((E226&lt;=#REF!)*((E227&gt;=#REF!)+(E227&lt;2/24)),1,0),0)</f>
        <v>#REF!</v>
      </c>
      <c r="AF230" s="6" t="e">
        <f>IF((F226&lt;&gt;"")*(F230=""),IF((F226&lt;=#REF!)*((F227&gt;=#REF!)+(F227&lt;2/24)),1,0),0)</f>
        <v>#REF!</v>
      </c>
      <c r="AG230" s="6">
        <f>IF((G226&lt;&gt;"")*(G230=""),IF((G226&lt;=#REF!)*((G227&gt;=#REF!)+(G227&lt;2/24)),1,0),0)</f>
        <v>0</v>
      </c>
      <c r="AH230" s="6">
        <f>IF((H226&lt;&gt;"")*(H230=""),IF((H226&lt;=#REF!)*((H227&gt;=#REF!)+(H227&lt;2/24)),1,0),0)</f>
        <v>0</v>
      </c>
      <c r="AI230" s="6">
        <f>IF((I226&lt;&gt;"")*(I230=""),IF((I226&lt;=#REF!)*((I227&gt;=#REF!)+(I227&lt;2/24)),1,0),0)</f>
        <v>0</v>
      </c>
      <c r="AJ230" s="6">
        <f>IF((J226&lt;&gt;"")*(J230=""),IF((J226&lt;=#REF!)*((J227&gt;=#REF!)+(J227&lt;2/24)),1,0),0)</f>
        <v>0</v>
      </c>
    </row>
    <row r="231" spans="1:36" ht="13.5" thickBot="1" x14ac:dyDescent="0.25">
      <c r="A231" s="41"/>
      <c r="B231" s="42"/>
      <c r="C231" s="35" t="s">
        <v>28</v>
      </c>
      <c r="D231" s="36"/>
      <c r="E231" s="36"/>
      <c r="F231" s="36"/>
      <c r="G231" s="36"/>
      <c r="H231" s="36"/>
      <c r="I231" s="36"/>
      <c r="J231" s="36"/>
      <c r="K231" s="34"/>
      <c r="L231" s="6"/>
      <c r="M231" s="25"/>
      <c r="N231" s="6"/>
      <c r="O231" s="6"/>
      <c r="P231" s="6"/>
      <c r="Q231" s="6"/>
      <c r="R231" s="6"/>
      <c r="S231" s="6"/>
      <c r="T231" s="6"/>
      <c r="U231" s="6"/>
      <c r="V231" s="20"/>
      <c r="W231" s="20"/>
      <c r="X231" s="20"/>
      <c r="Y231" s="20"/>
      <c r="Z231" s="20"/>
      <c r="AA231" s="20"/>
      <c r="AB231" s="20"/>
      <c r="AD231" s="6"/>
      <c r="AE231" s="6"/>
      <c r="AF231" s="6"/>
      <c r="AG231" s="6"/>
      <c r="AH231" s="6"/>
      <c r="AI231" s="6"/>
      <c r="AJ231" s="6"/>
    </row>
    <row r="232" spans="1:36" x14ac:dyDescent="0.2">
      <c r="A232" s="37" t="s">
        <v>89</v>
      </c>
      <c r="B232" s="38" t="s">
        <v>90</v>
      </c>
      <c r="C232" s="14" t="s">
        <v>0</v>
      </c>
      <c r="D232" s="26"/>
      <c r="E232" s="26"/>
      <c r="F232" s="26">
        <v>0.54166666666666663</v>
      </c>
      <c r="G232" s="26"/>
      <c r="H232" s="26"/>
      <c r="I232" s="26"/>
      <c r="J232" s="26"/>
      <c r="K232" s="16"/>
      <c r="L232" s="6"/>
      <c r="M232" s="21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D232" s="6">
        <f>IF((D232&lt;&gt;"")*(D236=""),IF((D232&lt;=#REF!)*((D233&gt;=#REF!)+(D233&lt;2/24)),1,0),0)</f>
        <v>0</v>
      </c>
      <c r="AE232" s="6">
        <f>IF((E232&lt;&gt;"")*(E236=""),IF((E232&lt;=#REF!)*((E233&gt;=#REF!)+(E233&lt;2/24)),1,0),0)</f>
        <v>0</v>
      </c>
      <c r="AF232" s="6" t="e">
        <f>IF((F232&lt;&gt;"")*(F236=""),IF((F232&lt;=#REF!)*((F233&gt;=#REF!)+(F233&lt;2/24)),1,0),0)</f>
        <v>#REF!</v>
      </c>
      <c r="AG232" s="6">
        <f>IF((G232&lt;&gt;"")*(G236=""),IF((G232&lt;=#REF!)*((G233&gt;=#REF!)+(G233&lt;2/24)),1,0),0)</f>
        <v>0</v>
      </c>
      <c r="AH232" s="6">
        <f>IF((H232&lt;&gt;"")*(H236=""),IF((H232&lt;=#REF!)*((H233&gt;=#REF!)+(H233&lt;2/24)),1,0),0)</f>
        <v>0</v>
      </c>
      <c r="AI232" s="6">
        <f>IF((I232&lt;&gt;"")*(I236=""),IF((I232&lt;=#REF!)*((I233&gt;=#REF!)+(I233&lt;2/24)),1,0),0)</f>
        <v>0</v>
      </c>
      <c r="AJ232" s="6">
        <f>IF((J232&lt;&gt;"")*(J236=""),IF((J232&lt;=#REF!)*((J233&gt;=#REF!)+(J233&lt;2/24)),1,0),0)</f>
        <v>0</v>
      </c>
    </row>
    <row r="233" spans="1:36" x14ac:dyDescent="0.2">
      <c r="A233" s="39"/>
      <c r="B233" s="40"/>
      <c r="C233" s="15" t="s">
        <v>1</v>
      </c>
      <c r="D233" s="27"/>
      <c r="E233" s="27"/>
      <c r="F233" s="27">
        <v>0.75</v>
      </c>
      <c r="G233" s="27"/>
      <c r="H233" s="27"/>
      <c r="I233" s="27"/>
      <c r="J233" s="27"/>
      <c r="K233" s="17"/>
      <c r="L233" s="6"/>
      <c r="M233" s="21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D233" s="6">
        <f>IF((D232&lt;&gt;"")*(D236=""),IF((D232&lt;=#REF!)*((D233&gt;=#REF!)+(D233&lt;2/24)),1,0),0)</f>
        <v>0</v>
      </c>
      <c r="AE233" s="6">
        <f>IF((E232&lt;&gt;"")*(E236=""),IF((E232&lt;=#REF!)*((E233&gt;=#REF!)+(E233&lt;2/24)),1,0),0)</f>
        <v>0</v>
      </c>
      <c r="AF233" s="6" t="e">
        <f>IF((F232&lt;&gt;"")*(F236=""),IF((F232&lt;=#REF!)*((F233&gt;=#REF!)+(F233&lt;2/24)),1,0),0)</f>
        <v>#REF!</v>
      </c>
      <c r="AG233" s="6">
        <f>IF((G232&lt;&gt;"")*(G236=""),IF((G232&lt;=#REF!)*((G233&gt;=#REF!)+(G233&lt;2/24)),1,0),0)</f>
        <v>0</v>
      </c>
      <c r="AH233" s="6">
        <f>IF((H232&lt;&gt;"")*(H236=""),IF((H232&lt;=#REF!)*((H233&gt;=#REF!)+(H233&lt;2/24)),1,0),0)</f>
        <v>0</v>
      </c>
      <c r="AI233" s="6">
        <f>IF((I232&lt;&gt;"")*(I236=""),IF((I232&lt;=#REF!)*((I233&gt;=#REF!)+(I233&lt;2/24)),1,0),0)</f>
        <v>0</v>
      </c>
      <c r="AJ233" s="6">
        <f>IF((J232&lt;&gt;"")*(J236=""),IF((J232&lt;=#REF!)*((J233&gt;=#REF!)+(J233&lt;2/24)),1,0),0)</f>
        <v>0</v>
      </c>
    </row>
    <row r="234" spans="1:36" x14ac:dyDescent="0.2">
      <c r="A234" s="39"/>
      <c r="B234" s="40"/>
      <c r="C234" s="15" t="s">
        <v>2</v>
      </c>
      <c r="D234" s="4"/>
      <c r="E234" s="4"/>
      <c r="F234" s="4"/>
      <c r="G234" s="4"/>
      <c r="H234" s="4"/>
      <c r="I234" s="4"/>
      <c r="J234" s="4"/>
      <c r="K234" s="17"/>
      <c r="L234" s="6"/>
      <c r="M234" s="21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D234" s="6">
        <f>IF((D232&lt;&gt;"")*(D236=""),IF((D232&lt;=#REF!)*((D233&gt;=#REF!)+(D233&lt;2/24)),1,0),0)</f>
        <v>0</v>
      </c>
      <c r="AE234" s="6">
        <f>IF((E232&lt;&gt;"")*(E236=""),IF((E232&lt;=#REF!)*((E233&gt;=#REF!)+(E233&lt;2/24)),1,0),0)</f>
        <v>0</v>
      </c>
      <c r="AF234" s="6" t="e">
        <f>IF((F232&lt;&gt;"")*(F236=""),IF((F232&lt;=#REF!)*((F233&gt;=#REF!)+(F233&lt;2/24)),1,0),0)</f>
        <v>#REF!</v>
      </c>
      <c r="AG234" s="6">
        <f>IF((G232&lt;&gt;"")*(G236=""),IF((G232&lt;=#REF!)*((G233&gt;=#REF!)+(G233&lt;2/24)),1,0),0)</f>
        <v>0</v>
      </c>
      <c r="AH234" s="6">
        <f>IF((H232&lt;&gt;"")*(H236=""),IF((H232&lt;=#REF!)*((H233&gt;=#REF!)+(H233&lt;2/24)),1,0),0)</f>
        <v>0</v>
      </c>
      <c r="AI234" s="6">
        <f>IF((I232&lt;&gt;"")*(I236=""),IF((I232&lt;=#REF!)*((I233&gt;=#REF!)+(I233&lt;2/24)),1,0),0)</f>
        <v>0</v>
      </c>
      <c r="AJ234" s="6">
        <f>IF((J232&lt;&gt;"")*(J236=""),IF((J232&lt;=#REF!)*((J233&gt;=#REF!)+(J233&lt;2/24)),1,0),0)</f>
        <v>0</v>
      </c>
    </row>
    <row r="235" spans="1:36" x14ac:dyDescent="0.2">
      <c r="A235" s="39"/>
      <c r="B235" s="40"/>
      <c r="C235" s="15" t="s">
        <v>3</v>
      </c>
      <c r="D235" s="43" t="str">
        <f t="shared" ref="D235:H235" si="83">IF(D232="","",IF(D233&gt;D232,(D233-D232-D234)*24,(1-D232-D234+D233)*24))</f>
        <v/>
      </c>
      <c r="E235" s="43" t="str">
        <f t="shared" si="83"/>
        <v/>
      </c>
      <c r="F235" s="43">
        <f t="shared" si="83"/>
        <v>5.0000000000000009</v>
      </c>
      <c r="G235" s="43" t="str">
        <f t="shared" si="83"/>
        <v/>
      </c>
      <c r="H235" s="43" t="str">
        <f t="shared" si="83"/>
        <v/>
      </c>
      <c r="I235" s="43" t="str">
        <f>IF(I232="","",IF(I233&gt;I232,(I233-I232-I234)*24,(1-I232-I234+I233)*24))</f>
        <v/>
      </c>
      <c r="J235" s="43" t="str">
        <f>IF(J232="","",IF(J233&gt;J232,(J233-J232-J234)*24,(1-J232-J234+J233)*24))</f>
        <v/>
      </c>
      <c r="K235" s="18">
        <f>SUMIF(D236:J236,"",D235:J235)</f>
        <v>5.0000000000000009</v>
      </c>
      <c r="L235" s="12">
        <f>SUM(D235:J235)</f>
        <v>5.0000000000000009</v>
      </c>
      <c r="M235" s="24"/>
      <c r="N235" s="10" t="str">
        <f>IF(D236="",D235,0)</f>
        <v/>
      </c>
      <c r="O235" s="10" t="str">
        <f>IF(E236="",E235,0)</f>
        <v/>
      </c>
      <c r="P235" s="10">
        <f t="shared" ref="P235" si="84">IF(F236="",F235,0)</f>
        <v>5.0000000000000009</v>
      </c>
      <c r="Q235" s="10" t="str">
        <f t="shared" ref="Q235" si="85">IF(G236="",G235,0)</f>
        <v/>
      </c>
      <c r="R235" s="10" t="str">
        <f t="shared" ref="R235" si="86">IF(H236="",H235,0)</f>
        <v/>
      </c>
      <c r="S235" s="10" t="str">
        <f t="shared" ref="S235" si="87">IF(I236="",I235,0)</f>
        <v/>
      </c>
      <c r="T235" s="10" t="str">
        <f>IF(J236="",J235,0)</f>
        <v/>
      </c>
      <c r="U235" s="10"/>
      <c r="V235" s="10" t="str">
        <f>D235</f>
        <v/>
      </c>
      <c r="W235" s="10" t="str">
        <f>E235</f>
        <v/>
      </c>
      <c r="X235" s="10">
        <f t="shared" ref="X235" si="88">F235</f>
        <v>5.0000000000000009</v>
      </c>
      <c r="Y235" s="10" t="str">
        <f t="shared" ref="Y235" si="89">G235</f>
        <v/>
      </c>
      <c r="Z235" s="10" t="str">
        <f t="shared" ref="Z235" si="90">H235</f>
        <v/>
      </c>
      <c r="AA235" s="10" t="str">
        <f t="shared" ref="AA235" si="91">I235</f>
        <v/>
      </c>
      <c r="AB235" s="10" t="str">
        <f>J235</f>
        <v/>
      </c>
      <c r="AD235" s="6">
        <f>IF((D232&lt;&gt;"")*(D236=""),IF((D232&lt;=#REF!)*((D233&gt;=#REF!)+(D233&lt;2/24)),1,0),0)</f>
        <v>0</v>
      </c>
      <c r="AE235" s="6">
        <f>IF((E232&lt;&gt;"")*(E236=""),IF((E232&lt;=#REF!)*((E233&gt;=#REF!)+(E233&lt;2/24)),1,0),0)</f>
        <v>0</v>
      </c>
      <c r="AF235" s="6" t="e">
        <f>IF((F232&lt;&gt;"")*(F236=""),IF((F232&lt;=#REF!)*((F233&gt;=#REF!)+(F233&lt;2/24)),1,0),0)</f>
        <v>#REF!</v>
      </c>
      <c r="AG235" s="6">
        <f>IF((G232&lt;&gt;"")*(G236=""),IF((G232&lt;=#REF!)*((G233&gt;=#REF!)+(G233&lt;2/24)),1,0),0)</f>
        <v>0</v>
      </c>
      <c r="AH235" s="6">
        <f>IF((H232&lt;&gt;"")*(H236=""),IF((H232&lt;=#REF!)*((H233&gt;=#REF!)+(H233&lt;2/24)),1,0),0)</f>
        <v>0</v>
      </c>
      <c r="AI235" s="6">
        <f>IF((I232&lt;&gt;"")*(I236=""),IF((I232&lt;=#REF!)*((I233&gt;=#REF!)+(I233&lt;2/24)),1,0),0)</f>
        <v>0</v>
      </c>
      <c r="AJ235" s="6">
        <f>IF((J232&lt;&gt;"")*(J236=""),IF((J232&lt;=#REF!)*((J233&gt;=#REF!)+(J233&lt;2/24)),1,0),0)</f>
        <v>0</v>
      </c>
    </row>
    <row r="236" spans="1:36" x14ac:dyDescent="0.2">
      <c r="A236" s="39"/>
      <c r="B236" s="40"/>
      <c r="C236" s="32" t="s">
        <v>4</v>
      </c>
      <c r="D236" s="33"/>
      <c r="E236" s="33"/>
      <c r="F236" s="33"/>
      <c r="G236" s="33"/>
      <c r="H236" s="33"/>
      <c r="I236" s="33"/>
      <c r="J236" s="33"/>
      <c r="K236" s="17"/>
      <c r="L236" s="6"/>
      <c r="M236" s="25"/>
      <c r="N236" s="6"/>
      <c r="O236" s="6"/>
      <c r="P236" s="6"/>
      <c r="Q236" s="6"/>
      <c r="R236" s="6"/>
      <c r="S236" s="6"/>
      <c r="T236" s="6"/>
      <c r="U236" s="6"/>
      <c r="V236" s="20"/>
      <c r="W236" s="20"/>
      <c r="X236" s="20"/>
      <c r="Y236" s="20"/>
      <c r="Z236" s="20"/>
      <c r="AA236" s="20"/>
      <c r="AB236" s="20"/>
      <c r="AD236" s="6">
        <f>IF((D232&lt;&gt;"")*(D236=""),IF((D232&lt;=#REF!)*((D233&gt;=#REF!)+(D233&lt;2/24)),1,0),0)</f>
        <v>0</v>
      </c>
      <c r="AE236" s="6">
        <f>IF((E232&lt;&gt;"")*(E236=""),IF((E232&lt;=#REF!)*((E233&gt;=#REF!)+(E233&lt;2/24)),1,0),0)</f>
        <v>0</v>
      </c>
      <c r="AF236" s="6" t="e">
        <f>IF((F232&lt;&gt;"")*(F236=""),IF((F232&lt;=#REF!)*((F233&gt;=#REF!)+(F233&lt;2/24)),1,0),0)</f>
        <v>#REF!</v>
      </c>
      <c r="AG236" s="6">
        <f>IF((G232&lt;&gt;"")*(G236=""),IF((G232&lt;=#REF!)*((G233&gt;=#REF!)+(G233&lt;2/24)),1,0),0)</f>
        <v>0</v>
      </c>
      <c r="AH236" s="6">
        <f>IF((H232&lt;&gt;"")*(H236=""),IF((H232&lt;=#REF!)*((H233&gt;=#REF!)+(H233&lt;2/24)),1,0),0)</f>
        <v>0</v>
      </c>
      <c r="AI236" s="6">
        <f>IF((I232&lt;&gt;"")*(I236=""),IF((I232&lt;=#REF!)*((I233&gt;=#REF!)+(I233&lt;2/24)),1,0),0)</f>
        <v>0</v>
      </c>
      <c r="AJ236" s="6">
        <f>IF((J232&lt;&gt;"")*(J236=""),IF((J232&lt;=#REF!)*((J233&gt;=#REF!)+(J233&lt;2/24)),1,0),0)</f>
        <v>0</v>
      </c>
    </row>
    <row r="237" spans="1:36" ht="13.5" thickBot="1" x14ac:dyDescent="0.25">
      <c r="A237" s="41"/>
      <c r="B237" s="42"/>
      <c r="C237" s="35" t="s">
        <v>28</v>
      </c>
      <c r="D237" s="36"/>
      <c r="E237" s="36"/>
      <c r="F237" s="36"/>
      <c r="G237" s="36"/>
      <c r="H237" s="36"/>
      <c r="I237" s="36"/>
      <c r="J237" s="36"/>
      <c r="K237" s="34"/>
      <c r="L237" s="6"/>
      <c r="M237" s="25"/>
      <c r="N237" s="6"/>
      <c r="O237" s="6"/>
      <c r="P237" s="6"/>
      <c r="Q237" s="6"/>
      <c r="R237" s="6"/>
      <c r="S237" s="6"/>
      <c r="T237" s="6"/>
      <c r="U237" s="6"/>
      <c r="V237" s="20"/>
      <c r="W237" s="20"/>
      <c r="X237" s="20"/>
      <c r="Y237" s="20"/>
      <c r="Z237" s="20"/>
      <c r="AA237" s="20"/>
      <c r="AB237" s="20"/>
      <c r="AD237" s="6"/>
      <c r="AE237" s="6"/>
      <c r="AF237" s="6"/>
      <c r="AG237" s="6"/>
      <c r="AH237" s="6"/>
      <c r="AI237" s="6"/>
      <c r="AJ237" s="6"/>
    </row>
    <row r="238" spans="1:36" x14ac:dyDescent="0.2">
      <c r="A238" s="37" t="s">
        <v>97</v>
      </c>
      <c r="B238" s="38" t="s">
        <v>98</v>
      </c>
      <c r="C238" s="14" t="s">
        <v>0</v>
      </c>
      <c r="D238" s="26"/>
      <c r="E238" s="26"/>
      <c r="F238" s="26">
        <v>0.77083333333333337</v>
      </c>
      <c r="G238" s="26"/>
      <c r="H238" s="26"/>
      <c r="I238" s="26"/>
      <c r="J238" s="26"/>
      <c r="K238" s="16"/>
      <c r="L238" s="6"/>
      <c r="M238" s="21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D238" s="6">
        <f>IF((D238&lt;&gt;"")*(D242=""),IF((D238&lt;=#REF!)*((D239&gt;=#REF!)+(D239&lt;2/24)),1,0),0)</f>
        <v>0</v>
      </c>
      <c r="AE238" s="6">
        <f>IF((E238&lt;&gt;"")*(E242=""),IF((E238&lt;=#REF!)*((E239&gt;=#REF!)+(E239&lt;2/24)),1,0),0)</f>
        <v>0</v>
      </c>
      <c r="AF238" s="6" t="e">
        <f>IF((F238&lt;&gt;"")*(F242=""),IF((F238&lt;=#REF!)*((F239&gt;=#REF!)+(F239&lt;2/24)),1,0),0)</f>
        <v>#REF!</v>
      </c>
      <c r="AG238" s="6">
        <f>IF((G238&lt;&gt;"")*(G242=""),IF((G238&lt;=#REF!)*((G239&gt;=#REF!)+(G239&lt;2/24)),1,0),0)</f>
        <v>0</v>
      </c>
      <c r="AH238" s="6">
        <f>IF((H238&lt;&gt;"")*(H242=""),IF((H238&lt;=#REF!)*((H239&gt;=#REF!)+(H239&lt;2/24)),1,0),0)</f>
        <v>0</v>
      </c>
      <c r="AI238" s="6">
        <f>IF((I238&lt;&gt;"")*(I242=""),IF((I238&lt;=#REF!)*((I239&gt;=#REF!)+(I239&lt;2/24)),1,0),0)</f>
        <v>0</v>
      </c>
      <c r="AJ238" s="6">
        <f>IF((J238&lt;&gt;"")*(J242=""),IF((J238&lt;=#REF!)*((J239&gt;=#REF!)+(J239&lt;2/24)),1,0),0)</f>
        <v>0</v>
      </c>
    </row>
    <row r="239" spans="1:36" x14ac:dyDescent="0.2">
      <c r="A239" s="39"/>
      <c r="B239" s="40"/>
      <c r="C239" s="15" t="s">
        <v>1</v>
      </c>
      <c r="D239" s="27"/>
      <c r="E239" s="27"/>
      <c r="F239" s="27">
        <v>0.95833333333333337</v>
      </c>
      <c r="G239" s="27"/>
      <c r="H239" s="27"/>
      <c r="I239" s="27"/>
      <c r="J239" s="27"/>
      <c r="K239" s="17"/>
      <c r="L239" s="6"/>
      <c r="M239" s="21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D239" s="6">
        <f>IF((D238&lt;&gt;"")*(D242=""),IF((D238&lt;=#REF!)*((D239&gt;=#REF!)+(D239&lt;2/24)),1,0),0)</f>
        <v>0</v>
      </c>
      <c r="AE239" s="6">
        <f>IF((E238&lt;&gt;"")*(E242=""),IF((E238&lt;=#REF!)*((E239&gt;=#REF!)+(E239&lt;2/24)),1,0),0)</f>
        <v>0</v>
      </c>
      <c r="AF239" s="6" t="e">
        <f>IF((F238&lt;&gt;"")*(F242=""),IF((F238&lt;=#REF!)*((F239&gt;=#REF!)+(F239&lt;2/24)),1,0),0)</f>
        <v>#REF!</v>
      </c>
      <c r="AG239" s="6">
        <f>IF((G238&lt;&gt;"")*(G242=""),IF((G238&lt;=#REF!)*((G239&gt;=#REF!)+(G239&lt;2/24)),1,0),0)</f>
        <v>0</v>
      </c>
      <c r="AH239" s="6">
        <f>IF((H238&lt;&gt;"")*(H242=""),IF((H238&lt;=#REF!)*((H239&gt;=#REF!)+(H239&lt;2/24)),1,0),0)</f>
        <v>0</v>
      </c>
      <c r="AI239" s="6">
        <f>IF((I238&lt;&gt;"")*(I242=""),IF((I238&lt;=#REF!)*((I239&gt;=#REF!)+(I239&lt;2/24)),1,0),0)</f>
        <v>0</v>
      </c>
      <c r="AJ239" s="6">
        <f>IF((J238&lt;&gt;"")*(J242=""),IF((J238&lt;=#REF!)*((J239&gt;=#REF!)+(J239&lt;2/24)),1,0),0)</f>
        <v>0</v>
      </c>
    </row>
    <row r="240" spans="1:36" x14ac:dyDescent="0.2">
      <c r="A240" s="39"/>
      <c r="B240" s="40"/>
      <c r="C240" s="15" t="s">
        <v>2</v>
      </c>
      <c r="D240" s="4"/>
      <c r="E240" s="4"/>
      <c r="F240" s="4"/>
      <c r="G240" s="4"/>
      <c r="H240" s="4"/>
      <c r="I240" s="4"/>
      <c r="J240" s="4"/>
      <c r="K240" s="17"/>
      <c r="L240" s="6"/>
      <c r="M240" s="21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D240" s="6">
        <f>IF((D238&lt;&gt;"")*(D242=""),IF((D238&lt;=#REF!)*((D239&gt;=#REF!)+(D239&lt;2/24)),1,0),0)</f>
        <v>0</v>
      </c>
      <c r="AE240" s="6">
        <f>IF((E238&lt;&gt;"")*(E242=""),IF((E238&lt;=#REF!)*((E239&gt;=#REF!)+(E239&lt;2/24)),1,0),0)</f>
        <v>0</v>
      </c>
      <c r="AF240" s="6" t="e">
        <f>IF((F238&lt;&gt;"")*(F242=""),IF((F238&lt;=#REF!)*((F239&gt;=#REF!)+(F239&lt;2/24)),1,0),0)</f>
        <v>#REF!</v>
      </c>
      <c r="AG240" s="6">
        <f>IF((G238&lt;&gt;"")*(G242=""),IF((G238&lt;=#REF!)*((G239&gt;=#REF!)+(G239&lt;2/24)),1,0),0)</f>
        <v>0</v>
      </c>
      <c r="AH240" s="6">
        <f>IF((H238&lt;&gt;"")*(H242=""),IF((H238&lt;=#REF!)*((H239&gt;=#REF!)+(H239&lt;2/24)),1,0),0)</f>
        <v>0</v>
      </c>
      <c r="AI240" s="6">
        <f>IF((I238&lt;&gt;"")*(I242=""),IF((I238&lt;=#REF!)*((I239&gt;=#REF!)+(I239&lt;2/24)),1,0),0)</f>
        <v>0</v>
      </c>
      <c r="AJ240" s="6">
        <f>IF((J238&lt;&gt;"")*(J242=""),IF((J238&lt;=#REF!)*((J239&gt;=#REF!)+(J239&lt;2/24)),1,0),0)</f>
        <v>0</v>
      </c>
    </row>
    <row r="241" spans="1:36" x14ac:dyDescent="0.2">
      <c r="A241" s="39"/>
      <c r="B241" s="40"/>
      <c r="C241" s="15" t="s">
        <v>3</v>
      </c>
      <c r="D241" s="43" t="str">
        <f t="shared" ref="D241:H241" si="92">IF(D238="","",IF(D239&gt;D238,(D239-D238-D240)*24,(1-D238-D240+D239)*24))</f>
        <v/>
      </c>
      <c r="E241" s="43" t="str">
        <f t="shared" si="92"/>
        <v/>
      </c>
      <c r="F241" s="43">
        <f t="shared" si="92"/>
        <v>4.5</v>
      </c>
      <c r="G241" s="43" t="str">
        <f t="shared" si="92"/>
        <v/>
      </c>
      <c r="H241" s="43" t="str">
        <f t="shared" si="92"/>
        <v/>
      </c>
      <c r="I241" s="43" t="str">
        <f>IF(I238="","",IF(I239&gt;I238,(I239-I238-I240)*24,(1-I238-I240+I239)*24))</f>
        <v/>
      </c>
      <c r="J241" s="43" t="str">
        <f>IF(J238="","",IF(J239&gt;J238,(J239-J238-J240)*24,(1-J238-J240+J239)*24))</f>
        <v/>
      </c>
      <c r="K241" s="18">
        <f>SUMIF(D242:J242,"",D241:J241)</f>
        <v>4.5</v>
      </c>
      <c r="L241" s="12">
        <f>SUM(D241:J241)</f>
        <v>4.5</v>
      </c>
      <c r="M241" s="24"/>
      <c r="N241" s="10" t="str">
        <f>IF(D242="",D241,0)</f>
        <v/>
      </c>
      <c r="O241" s="10" t="str">
        <f>IF(E242="",E241,0)</f>
        <v/>
      </c>
      <c r="P241" s="10">
        <f t="shared" ref="P241" si="93">IF(F242="",F241,0)</f>
        <v>4.5</v>
      </c>
      <c r="Q241" s="10" t="str">
        <f t="shared" ref="Q241" si="94">IF(G242="",G241,0)</f>
        <v/>
      </c>
      <c r="R241" s="10" t="str">
        <f t="shared" ref="R241" si="95">IF(H242="",H241,0)</f>
        <v/>
      </c>
      <c r="S241" s="10" t="str">
        <f t="shared" ref="S241" si="96">IF(I242="",I241,0)</f>
        <v/>
      </c>
      <c r="T241" s="10" t="str">
        <f>IF(J242="",J241,0)</f>
        <v/>
      </c>
      <c r="U241" s="10"/>
      <c r="V241" s="10" t="str">
        <f>D241</f>
        <v/>
      </c>
      <c r="W241" s="10" t="str">
        <f>E241</f>
        <v/>
      </c>
      <c r="X241" s="10">
        <f t="shared" ref="X241" si="97">F241</f>
        <v>4.5</v>
      </c>
      <c r="Y241" s="10" t="str">
        <f t="shared" ref="Y241" si="98">G241</f>
        <v/>
      </c>
      <c r="Z241" s="10" t="str">
        <f t="shared" ref="Z241" si="99">H241</f>
        <v/>
      </c>
      <c r="AA241" s="10" t="str">
        <f t="shared" ref="AA241" si="100">I241</f>
        <v/>
      </c>
      <c r="AB241" s="10" t="str">
        <f>J241</f>
        <v/>
      </c>
      <c r="AD241" s="6">
        <f>IF((D238&lt;&gt;"")*(D242=""),IF((D238&lt;=#REF!)*((D239&gt;=#REF!)+(D239&lt;2/24)),1,0),0)</f>
        <v>0</v>
      </c>
      <c r="AE241" s="6">
        <f>IF((E238&lt;&gt;"")*(E242=""),IF((E238&lt;=#REF!)*((E239&gt;=#REF!)+(E239&lt;2/24)),1,0),0)</f>
        <v>0</v>
      </c>
      <c r="AF241" s="6" t="e">
        <f>IF((F238&lt;&gt;"")*(F242=""),IF((F238&lt;=#REF!)*((F239&gt;=#REF!)+(F239&lt;2/24)),1,0),0)</f>
        <v>#REF!</v>
      </c>
      <c r="AG241" s="6">
        <f>IF((G238&lt;&gt;"")*(G242=""),IF((G238&lt;=#REF!)*((G239&gt;=#REF!)+(G239&lt;2/24)),1,0),0)</f>
        <v>0</v>
      </c>
      <c r="AH241" s="6">
        <f>IF((H238&lt;&gt;"")*(H242=""),IF((H238&lt;=#REF!)*((H239&gt;=#REF!)+(H239&lt;2/24)),1,0),0)</f>
        <v>0</v>
      </c>
      <c r="AI241" s="6">
        <f>IF((I238&lt;&gt;"")*(I242=""),IF((I238&lt;=#REF!)*((I239&gt;=#REF!)+(I239&lt;2/24)),1,0),0)</f>
        <v>0</v>
      </c>
      <c r="AJ241" s="6">
        <f>IF((J238&lt;&gt;"")*(J242=""),IF((J238&lt;=#REF!)*((J239&gt;=#REF!)+(J239&lt;2/24)),1,0),0)</f>
        <v>0</v>
      </c>
    </row>
    <row r="242" spans="1:36" x14ac:dyDescent="0.2">
      <c r="A242" s="39"/>
      <c r="B242" s="40"/>
      <c r="C242" s="32" t="s">
        <v>4</v>
      </c>
      <c r="D242" s="33"/>
      <c r="E242" s="33"/>
      <c r="F242" s="33"/>
      <c r="G242" s="33"/>
      <c r="H242" s="33"/>
      <c r="I242" s="33"/>
      <c r="J242" s="33"/>
      <c r="K242" s="17"/>
      <c r="L242" s="6"/>
      <c r="M242" s="25"/>
      <c r="N242" s="6"/>
      <c r="O242" s="6"/>
      <c r="P242" s="6"/>
      <c r="Q242" s="6"/>
      <c r="R242" s="6"/>
      <c r="S242" s="6"/>
      <c r="T242" s="6"/>
      <c r="U242" s="6"/>
      <c r="V242" s="20"/>
      <c r="W242" s="20"/>
      <c r="X242" s="20"/>
      <c r="Y242" s="20"/>
      <c r="Z242" s="20"/>
      <c r="AA242" s="20"/>
      <c r="AB242" s="20"/>
      <c r="AD242" s="6">
        <f>IF((D238&lt;&gt;"")*(D242=""),IF((D238&lt;=#REF!)*((D239&gt;=#REF!)+(D239&lt;2/24)),1,0),0)</f>
        <v>0</v>
      </c>
      <c r="AE242" s="6">
        <f>IF((E238&lt;&gt;"")*(E242=""),IF((E238&lt;=#REF!)*((E239&gt;=#REF!)+(E239&lt;2/24)),1,0),0)</f>
        <v>0</v>
      </c>
      <c r="AF242" s="6" t="e">
        <f>IF((F238&lt;&gt;"")*(F242=""),IF((F238&lt;=#REF!)*((F239&gt;=#REF!)+(F239&lt;2/24)),1,0),0)</f>
        <v>#REF!</v>
      </c>
      <c r="AG242" s="6">
        <f>IF((G238&lt;&gt;"")*(G242=""),IF((G238&lt;=#REF!)*((G239&gt;=#REF!)+(G239&lt;2/24)),1,0),0)</f>
        <v>0</v>
      </c>
      <c r="AH242" s="6">
        <f>IF((H238&lt;&gt;"")*(H242=""),IF((H238&lt;=#REF!)*((H239&gt;=#REF!)+(H239&lt;2/24)),1,0),0)</f>
        <v>0</v>
      </c>
      <c r="AI242" s="6">
        <f>IF((I238&lt;&gt;"")*(I242=""),IF((I238&lt;=#REF!)*((I239&gt;=#REF!)+(I239&lt;2/24)),1,0),0)</f>
        <v>0</v>
      </c>
      <c r="AJ242" s="6">
        <f>IF((J238&lt;&gt;"")*(J242=""),IF((J238&lt;=#REF!)*((J239&gt;=#REF!)+(J239&lt;2/24)),1,0),0)</f>
        <v>0</v>
      </c>
    </row>
    <row r="243" spans="1:36" ht="13.5" thickBot="1" x14ac:dyDescent="0.25">
      <c r="A243" s="41"/>
      <c r="B243" s="42"/>
      <c r="C243" s="35" t="s">
        <v>28</v>
      </c>
      <c r="D243" s="36"/>
      <c r="E243" s="36"/>
      <c r="F243" s="36"/>
      <c r="G243" s="36"/>
      <c r="H243" s="36"/>
      <c r="I243" s="36"/>
      <c r="J243" s="36"/>
      <c r="K243" s="34"/>
      <c r="L243" s="6"/>
      <c r="M243" s="25"/>
      <c r="N243" s="6"/>
      <c r="O243" s="6"/>
      <c r="P243" s="6"/>
      <c r="Q243" s="6"/>
      <c r="R243" s="6"/>
      <c r="S243" s="6"/>
      <c r="T243" s="6"/>
      <c r="U243" s="6"/>
      <c r="V243" s="20"/>
      <c r="W243" s="20"/>
      <c r="X243" s="20"/>
      <c r="Y243" s="20"/>
      <c r="Z243" s="20"/>
      <c r="AA243" s="20"/>
      <c r="AB243" s="20"/>
      <c r="AD243" s="6"/>
      <c r="AE243" s="6"/>
      <c r="AF243" s="6"/>
      <c r="AG243" s="6"/>
      <c r="AH243" s="6"/>
      <c r="AI243" s="6"/>
      <c r="AJ243" s="6"/>
    </row>
    <row r="244" spans="1:36" x14ac:dyDescent="0.2">
      <c r="A244" s="37" t="s">
        <v>128</v>
      </c>
      <c r="B244" s="38" t="s">
        <v>37</v>
      </c>
      <c r="C244" s="14" t="s">
        <v>0</v>
      </c>
      <c r="D244" s="45">
        <v>0.77083333333333337</v>
      </c>
      <c r="E244" s="26"/>
      <c r="F244" s="45"/>
      <c r="G244" s="26">
        <v>0.77083333333333337</v>
      </c>
      <c r="H244" s="26"/>
      <c r="I244" s="26"/>
      <c r="J244" s="26"/>
      <c r="K244" s="16"/>
      <c r="L244" s="6"/>
      <c r="M244" s="21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D244" s="6">
        <f>IF((D244&lt;&gt;"")*(D248=""),IF((D244&lt;=$B$440)*((D245&gt;=$C$440)+(D245&lt;2/24)),1,0),0)</f>
        <v>0</v>
      </c>
      <c r="AE244" s="6">
        <f>IF((E244&lt;&gt;"")*(E248=""),IF((E244&lt;=$B$440)*((E245&gt;=$C$440)+(E245&lt;2/24)),1,0),0)</f>
        <v>0</v>
      </c>
      <c r="AF244" s="6">
        <f>IF((F244&lt;&gt;"")*(F248=""),IF((F244&lt;=$B$440)*((F245&gt;=$C$440)+(F245&lt;2/24)),1,0),0)</f>
        <v>0</v>
      </c>
      <c r="AG244" s="6">
        <f>IF((G244&lt;&gt;"")*(G248=""),IF((G244&lt;=$B$440)*((G245&gt;=$C$440)+(G245&lt;2/24)),1,0),0)</f>
        <v>0</v>
      </c>
      <c r="AH244" s="6">
        <f>IF((H244&lt;&gt;"")*(H248=""),IF((H244&lt;=$B$440)*((H245&gt;=$C$440)+(H245&lt;2/24)),1,0),0)</f>
        <v>0</v>
      </c>
      <c r="AI244" s="6">
        <f>IF((I244&lt;&gt;"")*(I248=""),IF((I244&lt;=$B$440)*((I245&gt;=$C$440)+(I245&lt;2/24)),1,0),0)</f>
        <v>0</v>
      </c>
      <c r="AJ244" s="6">
        <f>IF((J244&lt;&gt;"")*(J248=""),IF((J244&lt;=$B$440)*((J245&gt;=$C$440)+(J245&lt;2/24)),1,0),0)</f>
        <v>0</v>
      </c>
    </row>
    <row r="245" spans="1:36" x14ac:dyDescent="0.2">
      <c r="A245" s="39"/>
      <c r="B245" s="40"/>
      <c r="C245" s="15" t="s">
        <v>1</v>
      </c>
      <c r="D245" s="3">
        <v>0.95833333333333337</v>
      </c>
      <c r="E245" s="27"/>
      <c r="F245" s="3"/>
      <c r="G245" s="27">
        <v>0.95833333333333337</v>
      </c>
      <c r="H245" s="27"/>
      <c r="I245" s="27"/>
      <c r="J245" s="27"/>
      <c r="K245" s="17"/>
      <c r="L245" s="6"/>
      <c r="M245" s="21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D245" s="6">
        <f>IF((D244&lt;&gt;"")*(D248=""),IF((D244&lt;=$B$441)*((D245&gt;=$C$441)+(D245&lt;2/24)),1,0),0)</f>
        <v>0</v>
      </c>
      <c r="AE245" s="6">
        <f>IF((E244&lt;&gt;"")*(E248=""),IF((E244&lt;=$B$441)*((E245&gt;=$C$441)+(E245&lt;2/24)),1,0),0)</f>
        <v>0</v>
      </c>
      <c r="AF245" s="6">
        <f>IF((F244&lt;&gt;"")*(F248=""),IF((F244&lt;=$B$441)*((F245&gt;=$C$441)+(F245&lt;2/24)),1,0),0)</f>
        <v>0</v>
      </c>
      <c r="AG245" s="6">
        <f>IF((G244&lt;&gt;"")*(G248=""),IF((G244&lt;=$B$441)*((G245&gt;=$C$441)+(G245&lt;2/24)),1,0),0)</f>
        <v>0</v>
      </c>
      <c r="AH245" s="6">
        <f>IF((H244&lt;&gt;"")*(H248=""),IF((H244&lt;=$B$441)*((H245&gt;=$C$441)+(H245&lt;2/24)),1,0),0)</f>
        <v>0</v>
      </c>
      <c r="AI245" s="6">
        <f>IF((I244&lt;&gt;"")*(I248=""),IF((I244&lt;=$B$441)*((I245&gt;=$C$441)+(I245&lt;2/24)),1,0),0)</f>
        <v>0</v>
      </c>
      <c r="AJ245" s="6">
        <f>IF((J244&lt;&gt;"")*(J248=""),IF((J244&lt;=$B$441)*((J245&gt;=$C$441)+(J245&lt;2/24)),1,0),0)</f>
        <v>0</v>
      </c>
    </row>
    <row r="246" spans="1:36" x14ac:dyDescent="0.2">
      <c r="A246" s="39"/>
      <c r="B246" s="40"/>
      <c r="C246" s="15" t="s">
        <v>2</v>
      </c>
      <c r="D246" s="4"/>
      <c r="E246" s="4"/>
      <c r="F246" s="4"/>
      <c r="G246" s="4"/>
      <c r="H246" s="4"/>
      <c r="I246" s="4"/>
      <c r="J246" s="4"/>
      <c r="K246" s="17"/>
      <c r="L246" s="6"/>
      <c r="M246" s="21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D246" s="6">
        <f>IF((D244&lt;&gt;"")*(D248=""),IF((D244&lt;=$B$442)*((D245&gt;=$C$442)+(D245&lt;2/24)),1,0),0)</f>
        <v>0</v>
      </c>
      <c r="AE246" s="6">
        <f>IF((E244&lt;&gt;"")*(E248=""),IF((E244&lt;=$B$442)*((E245&gt;=$C$442)+(E245&lt;2/24)),1,0),0)</f>
        <v>0</v>
      </c>
      <c r="AF246" s="6">
        <f>IF((F244&lt;&gt;"")*(F248=""),IF((F244&lt;=$B$442)*((F245&gt;=$C$442)+(F245&lt;2/24)),1,0),0)</f>
        <v>0</v>
      </c>
      <c r="AG246" s="6">
        <f>IF((G244&lt;&gt;"")*(G248=""),IF((G244&lt;=$B$442)*((G245&gt;=$C$442)+(G245&lt;2/24)),1,0),0)</f>
        <v>0</v>
      </c>
      <c r="AH246" s="6">
        <f>IF((H244&lt;&gt;"")*(H248=""),IF((H244&lt;=$B$442)*((H245&gt;=$C$442)+(H245&lt;2/24)),1,0),0)</f>
        <v>0</v>
      </c>
      <c r="AI246" s="6">
        <f>IF((I244&lt;&gt;"")*(I248=""),IF((I244&lt;=$B$442)*((I245&gt;=$C$442)+(I245&lt;2/24)),1,0),0)</f>
        <v>0</v>
      </c>
      <c r="AJ246" s="6">
        <f>IF((J244&lt;&gt;"")*(J248=""),IF((J244&lt;=$B$442)*((J245&gt;=$C$442)+(J245&lt;2/24)),1,0),0)</f>
        <v>0</v>
      </c>
    </row>
    <row r="247" spans="1:36" x14ac:dyDescent="0.2">
      <c r="A247" s="39"/>
      <c r="B247" s="40"/>
      <c r="C247" s="15" t="s">
        <v>3</v>
      </c>
      <c r="D247" s="19">
        <v>4.5</v>
      </c>
      <c r="E247" s="43"/>
      <c r="F247" s="55"/>
      <c r="G247" s="43">
        <v>4.5</v>
      </c>
      <c r="H247" s="43"/>
      <c r="I247" s="43"/>
      <c r="J247" s="44"/>
      <c r="K247" s="18">
        <f>SUMIF(D248:J248,"",D247:J247)</f>
        <v>9</v>
      </c>
      <c r="L247" s="12">
        <f>SUM(D247:J247)</f>
        <v>9</v>
      </c>
      <c r="M247" s="24"/>
      <c r="N247" s="10">
        <f t="shared" ref="N247" si="101">IF(D248="",D247,0)</f>
        <v>4.5</v>
      </c>
      <c r="O247" s="10">
        <f t="shared" ref="O247" si="102">IF(E248="",E247,0)</f>
        <v>0</v>
      </c>
      <c r="P247" s="10">
        <f t="shared" ref="P247" si="103">IF(F248="",F247,0)</f>
        <v>0</v>
      </c>
      <c r="Q247" s="10">
        <f t="shared" ref="Q247" si="104">IF(G248="",G247,0)</f>
        <v>4.5</v>
      </c>
      <c r="R247" s="10">
        <f t="shared" ref="R247" si="105">IF(H248="",H247,0)</f>
        <v>0</v>
      </c>
      <c r="S247" s="10">
        <f t="shared" ref="S247" si="106">IF(I248="",I247,0)</f>
        <v>0</v>
      </c>
      <c r="T247" s="10">
        <f t="shared" ref="T247" si="107">IF(J248="",J247,0)</f>
        <v>0</v>
      </c>
      <c r="U247" s="10"/>
      <c r="V247" s="10">
        <f t="shared" ref="V247" si="108">D247</f>
        <v>4.5</v>
      </c>
      <c r="W247" s="10">
        <f t="shared" ref="W247" si="109">E247</f>
        <v>0</v>
      </c>
      <c r="X247" s="10">
        <f t="shared" ref="X247" si="110">F247</f>
        <v>0</v>
      </c>
      <c r="Y247" s="10">
        <f t="shared" ref="Y247" si="111">G247</f>
        <v>4.5</v>
      </c>
      <c r="Z247" s="10">
        <f t="shared" ref="Z247" si="112">H247</f>
        <v>0</v>
      </c>
      <c r="AA247" s="10">
        <f t="shared" ref="AA247" si="113">I247</f>
        <v>0</v>
      </c>
      <c r="AB247" s="10">
        <f t="shared" ref="AB247" si="114">J247</f>
        <v>0</v>
      </c>
      <c r="AD247" s="6">
        <f>IF((D244&lt;&gt;"")*(D248=""),IF((D244&lt;=$B$443)*((D245&gt;=$C$443)+(D245&lt;2/24)),1,0),0)</f>
        <v>1</v>
      </c>
      <c r="AE247" s="6">
        <f>IF((E244&lt;&gt;"")*(E248=""),IF((E244&lt;=$B$443)*((E245&gt;=$C$443)+(E245&lt;2/24)),1,0),0)</f>
        <v>0</v>
      </c>
      <c r="AF247" s="6">
        <f>IF((F244&lt;&gt;"")*(F248=""),IF((F244&lt;=$B$443)*((F245&gt;=$C$443)+(F245&lt;2/24)),1,0),0)</f>
        <v>0</v>
      </c>
      <c r="AG247" s="6">
        <f>IF((G244&lt;&gt;"")*(G248=""),IF((G244&lt;=$B$443)*((G245&gt;=$C$443)+(G245&lt;2/24)),1,0),0)</f>
        <v>1</v>
      </c>
      <c r="AH247" s="6">
        <f>IF((H244&lt;&gt;"")*(H248=""),IF((H244&lt;=$B$443)*((H245&gt;=$C$443)+(H245&lt;2/24)),1,0),0)</f>
        <v>0</v>
      </c>
      <c r="AI247" s="6">
        <f>IF((I244&lt;&gt;"")*(I248=""),IF((I244&lt;=$B$443)*((I245&gt;=$C$443)+(I245&lt;2/24)),1,0),0)</f>
        <v>0</v>
      </c>
      <c r="AJ247" s="6">
        <f>IF((J244&lt;&gt;"")*(J248=""),IF((J244&lt;=$B$443)*((J245&gt;=$C$443)+(J245&lt;2/24)),1,0),0)</f>
        <v>0</v>
      </c>
    </row>
    <row r="248" spans="1:36" x14ac:dyDescent="0.2">
      <c r="A248" s="39"/>
      <c r="B248" s="40"/>
      <c r="C248" s="32" t="s">
        <v>4</v>
      </c>
      <c r="D248" s="56"/>
      <c r="E248" s="33"/>
      <c r="F248" s="33"/>
      <c r="G248" s="33"/>
      <c r="H248" s="33"/>
      <c r="I248" s="33"/>
      <c r="J248" s="33"/>
      <c r="K248" s="17"/>
      <c r="L248" s="6"/>
      <c r="M248" s="25"/>
      <c r="N248" s="6"/>
      <c r="O248" s="6"/>
      <c r="P248" s="6"/>
      <c r="Q248" s="6"/>
      <c r="R248" s="6"/>
      <c r="S248" s="6"/>
      <c r="T248" s="6"/>
      <c r="U248" s="6"/>
      <c r="V248" s="20"/>
      <c r="W248" s="20"/>
      <c r="X248" s="20"/>
      <c r="Y248" s="20"/>
      <c r="Z248" s="20"/>
      <c r="AA248" s="20"/>
      <c r="AB248" s="20"/>
      <c r="AD248" s="6">
        <f>IF((D244&lt;&gt;"")*(D248=""),IF((D244&lt;=$B$444)*((D245&gt;=$C$444)+(D245&lt;2/24)),1,0),0)</f>
        <v>1</v>
      </c>
      <c r="AE248" s="6">
        <f>IF((E244&lt;&gt;"")*(E248=""),IF((E244&lt;=$B$444)*((E245&gt;=$C$444)+(E245&lt;2/24)),1,0),0)</f>
        <v>0</v>
      </c>
      <c r="AF248" s="6">
        <f>IF((F244&lt;&gt;"")*(F248=""),IF((F244&lt;=$B$444)*((F245&gt;=$C$444)+(F245&lt;2/24)),1,0),0)</f>
        <v>0</v>
      </c>
      <c r="AG248" s="6">
        <f>IF((G244&lt;&gt;"")*(G248=""),IF((G244&lt;=$B$444)*((G245&gt;=$C$444)+(G245&lt;2/24)),1,0),0)</f>
        <v>1</v>
      </c>
      <c r="AH248" s="6">
        <f>IF((H244&lt;&gt;"")*(H248=""),IF((H244&lt;=$B$444)*((H245&gt;=$C$444)+(H245&lt;2/24)),1,0),0)</f>
        <v>0</v>
      </c>
      <c r="AI248" s="6">
        <f>IF((I244&lt;&gt;"")*(I248=""),IF((I244&lt;=$B$444)*((I245&gt;=$C$444)+(I245&lt;2/24)),1,0),0)</f>
        <v>0</v>
      </c>
      <c r="AJ248" s="6">
        <f>IF((J244&lt;&gt;"")*(J248=""),IF((J244&lt;=$B$444)*((J245&gt;=$C$444)+(J245&lt;2/24)),1,0),0)</f>
        <v>0</v>
      </c>
    </row>
    <row r="249" spans="1:36" ht="13.5" thickBot="1" x14ac:dyDescent="0.25">
      <c r="A249" s="41"/>
      <c r="B249" s="42"/>
      <c r="C249" s="35" t="s">
        <v>28</v>
      </c>
      <c r="D249" s="36"/>
      <c r="E249" s="36"/>
      <c r="F249" s="36"/>
      <c r="G249" s="36"/>
      <c r="H249" s="36"/>
      <c r="I249" s="36"/>
      <c r="J249" s="36"/>
      <c r="K249" s="34"/>
      <c r="L249" s="6"/>
      <c r="M249" s="25"/>
      <c r="N249" s="6"/>
      <c r="O249" s="6"/>
      <c r="P249" s="6"/>
      <c r="Q249" s="6"/>
      <c r="R249" s="6"/>
      <c r="S249" s="6"/>
      <c r="T249" s="6"/>
      <c r="U249" s="6"/>
      <c r="V249" s="20"/>
      <c r="W249" s="20"/>
      <c r="X249" s="20"/>
      <c r="Y249" s="20"/>
      <c r="Z249" s="20"/>
      <c r="AA249" s="20"/>
      <c r="AB249" s="20"/>
      <c r="AD249" s="6"/>
      <c r="AE249" s="6"/>
      <c r="AF249" s="6"/>
      <c r="AG249" s="6"/>
      <c r="AH249" s="6"/>
      <c r="AI249" s="6"/>
      <c r="AJ249" s="6"/>
    </row>
    <row r="250" spans="1:36" x14ac:dyDescent="0.2">
      <c r="A250" s="37" t="s">
        <v>65</v>
      </c>
      <c r="B250" s="38" t="s">
        <v>66</v>
      </c>
      <c r="C250" s="14" t="s">
        <v>0</v>
      </c>
      <c r="D250" s="26"/>
      <c r="E250" s="26"/>
      <c r="F250" s="26"/>
      <c r="G250" s="26">
        <v>0.54166666666666663</v>
      </c>
      <c r="H250" s="26"/>
      <c r="I250" s="26"/>
      <c r="J250" s="26"/>
      <c r="K250" s="16"/>
      <c r="L250" s="6"/>
      <c r="M250" s="21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D250" s="6">
        <f>IF((D250&lt;&gt;"")*(D254=""),IF((D250&lt;=#REF!)*((D251&gt;=#REF!)+(D251&lt;2/24)),1,0),0)</f>
        <v>0</v>
      </c>
      <c r="AE250" s="6">
        <f>IF((E250&lt;&gt;"")*(E254=""),IF((E250&lt;=#REF!)*((E251&gt;=#REF!)+(E251&lt;2/24)),1,0),0)</f>
        <v>0</v>
      </c>
      <c r="AF250" s="6">
        <f>IF((F250&lt;&gt;"")*(F254=""),IF((F250&lt;=#REF!)*((F251&gt;=#REF!)+(F251&lt;2/24)),1,0),0)</f>
        <v>0</v>
      </c>
      <c r="AG250" s="6" t="e">
        <f>IF((G250&lt;&gt;"")*(G254=""),IF((G250&lt;=#REF!)*((G251&gt;=#REF!)+(G251&lt;2/24)),1,0),0)</f>
        <v>#REF!</v>
      </c>
      <c r="AH250" s="6">
        <f>IF((H250&lt;&gt;"")*(H254=""),IF((H250&lt;=#REF!)*((H251&gt;=#REF!)+(H251&lt;2/24)),1,0),0)</f>
        <v>0</v>
      </c>
      <c r="AI250" s="6">
        <f>IF((I250&lt;&gt;"")*(I254=""),IF((I250&lt;=#REF!)*((I251&gt;=#REF!)+(I251&lt;2/24)),1,0),0)</f>
        <v>0</v>
      </c>
      <c r="AJ250" s="6">
        <f>IF((J250&lt;&gt;"")*(J254=""),IF((J250&lt;=#REF!)*((J251&gt;=#REF!)+(J251&lt;2/24)),1,0),0)</f>
        <v>0</v>
      </c>
    </row>
    <row r="251" spans="1:36" x14ac:dyDescent="0.2">
      <c r="A251" s="39"/>
      <c r="B251" s="40"/>
      <c r="C251" s="15" t="s">
        <v>1</v>
      </c>
      <c r="D251" s="27"/>
      <c r="E251" s="27"/>
      <c r="F251" s="27"/>
      <c r="G251" s="27">
        <v>0.95833333333333337</v>
      </c>
      <c r="H251" s="27"/>
      <c r="I251" s="27"/>
      <c r="J251" s="27"/>
      <c r="K251" s="17"/>
      <c r="L251" s="6"/>
      <c r="M251" s="21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D251" s="6">
        <f>IF((D250&lt;&gt;"")*(D254=""),IF((D250&lt;=#REF!)*((D251&gt;=#REF!)+(D251&lt;2/24)),1,0),0)</f>
        <v>0</v>
      </c>
      <c r="AE251" s="6">
        <f>IF((E250&lt;&gt;"")*(E254=""),IF((E250&lt;=#REF!)*((E251&gt;=#REF!)+(E251&lt;2/24)),1,0),0)</f>
        <v>0</v>
      </c>
      <c r="AF251" s="6">
        <f>IF((F250&lt;&gt;"")*(F254=""),IF((F250&lt;=#REF!)*((F251&gt;=#REF!)+(F251&lt;2/24)),1,0),0)</f>
        <v>0</v>
      </c>
      <c r="AG251" s="6" t="e">
        <f>IF((G250&lt;&gt;"")*(G254=""),IF((G250&lt;=#REF!)*((G251&gt;=#REF!)+(G251&lt;2/24)),1,0),0)</f>
        <v>#REF!</v>
      </c>
      <c r="AH251" s="6">
        <f>IF((H250&lt;&gt;"")*(H254=""),IF((H250&lt;=#REF!)*((H251&gt;=#REF!)+(H251&lt;2/24)),1,0),0)</f>
        <v>0</v>
      </c>
      <c r="AI251" s="6">
        <f>IF((I250&lt;&gt;"")*(I254=""),IF((I250&lt;=#REF!)*((I251&gt;=#REF!)+(I251&lt;2/24)),1,0),0)</f>
        <v>0</v>
      </c>
      <c r="AJ251" s="6">
        <f>IF((J250&lt;&gt;"")*(J254=""),IF((J250&lt;=#REF!)*((J251&gt;=#REF!)+(J251&lt;2/24)),1,0),0)</f>
        <v>0</v>
      </c>
    </row>
    <row r="252" spans="1:36" x14ac:dyDescent="0.2">
      <c r="A252" s="39"/>
      <c r="B252" s="40"/>
      <c r="C252" s="15" t="s">
        <v>2</v>
      </c>
      <c r="D252" s="4"/>
      <c r="E252" s="4"/>
      <c r="F252" s="4"/>
      <c r="G252" s="4">
        <v>4.1666666666666664E-2</v>
      </c>
      <c r="H252" s="4"/>
      <c r="I252" s="4"/>
      <c r="J252" s="4"/>
      <c r="K252" s="17"/>
      <c r="L252" s="6"/>
      <c r="M252" s="21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D252" s="6">
        <f>IF((D250&lt;&gt;"")*(D254=""),IF((D250&lt;=#REF!)*((D251&gt;=#REF!)+(D251&lt;2/24)),1,0),0)</f>
        <v>0</v>
      </c>
      <c r="AE252" s="6">
        <f>IF((E250&lt;&gt;"")*(E254=""),IF((E250&lt;=#REF!)*((E251&gt;=#REF!)+(E251&lt;2/24)),1,0),0)</f>
        <v>0</v>
      </c>
      <c r="AF252" s="6">
        <f>IF((F250&lt;&gt;"")*(F254=""),IF((F250&lt;=#REF!)*((F251&gt;=#REF!)+(F251&lt;2/24)),1,0),0)</f>
        <v>0</v>
      </c>
      <c r="AG252" s="6" t="e">
        <f>IF((G250&lt;&gt;"")*(G254=""),IF((G250&lt;=#REF!)*((G251&gt;=#REF!)+(G251&lt;2/24)),1,0),0)</f>
        <v>#REF!</v>
      </c>
      <c r="AH252" s="6">
        <f>IF((H250&lt;&gt;"")*(H254=""),IF((H250&lt;=#REF!)*((H251&gt;=#REF!)+(H251&lt;2/24)),1,0),0)</f>
        <v>0</v>
      </c>
      <c r="AI252" s="6">
        <f>IF((I250&lt;&gt;"")*(I254=""),IF((I250&lt;=#REF!)*((I251&gt;=#REF!)+(I251&lt;2/24)),1,0),0)</f>
        <v>0</v>
      </c>
      <c r="AJ252" s="6">
        <f>IF((J250&lt;&gt;"")*(J254=""),IF((J250&lt;=#REF!)*((J251&gt;=#REF!)+(J251&lt;2/24)),1,0),0)</f>
        <v>0</v>
      </c>
    </row>
    <row r="253" spans="1:36" x14ac:dyDescent="0.2">
      <c r="A253" s="39"/>
      <c r="B253" s="40"/>
      <c r="C253" s="15" t="s">
        <v>3</v>
      </c>
      <c r="D253" s="43" t="str">
        <f t="shared" ref="D253:H253" si="115">IF(D250="","",IF(D251&gt;D250,(D251-D250-D252)*24,(1-D250-D252+D251)*24))</f>
        <v/>
      </c>
      <c r="E253" s="43" t="str">
        <f t="shared" si="115"/>
        <v/>
      </c>
      <c r="F253" s="43" t="str">
        <f t="shared" si="115"/>
        <v/>
      </c>
      <c r="G253" s="43">
        <f t="shared" si="115"/>
        <v>9.0000000000000018</v>
      </c>
      <c r="H253" s="43" t="str">
        <f t="shared" si="115"/>
        <v/>
      </c>
      <c r="I253" s="43" t="str">
        <f>IF(I250="","",IF(I251&gt;I250,(I251-I250-I252)*24,(1-I250-I252+I251)*24))</f>
        <v/>
      </c>
      <c r="J253" s="43" t="str">
        <f>IF(J250="","",IF(J251&gt;J250,(J251-J250-J252)*24,(1-J250-J252+J251)*24))</f>
        <v/>
      </c>
      <c r="K253" s="18">
        <f>SUMIF(D254:J254,"",D253:J253)</f>
        <v>9.0000000000000018</v>
      </c>
      <c r="L253" s="12">
        <f>SUM(D253:J253)</f>
        <v>9.0000000000000018</v>
      </c>
      <c r="M253" s="24"/>
      <c r="N253" s="10" t="str">
        <f>IF(D254="",D253,0)</f>
        <v/>
      </c>
      <c r="O253" s="10" t="str">
        <f>IF(E254="",E253,0)</f>
        <v/>
      </c>
      <c r="P253" s="10" t="str">
        <f t="shared" ref="P253" si="116">IF(F254="",F253,0)</f>
        <v/>
      </c>
      <c r="Q253" s="10">
        <f t="shared" ref="Q253" si="117">IF(G254="",G253,0)</f>
        <v>9.0000000000000018</v>
      </c>
      <c r="R253" s="10" t="str">
        <f t="shared" ref="R253" si="118">IF(H254="",H253,0)</f>
        <v/>
      </c>
      <c r="S253" s="10" t="str">
        <f t="shared" ref="S253" si="119">IF(I254="",I253,0)</f>
        <v/>
      </c>
      <c r="T253" s="10" t="str">
        <f>IF(J254="",J253,0)</f>
        <v/>
      </c>
      <c r="U253" s="10"/>
      <c r="V253" s="10" t="str">
        <f>D253</f>
        <v/>
      </c>
      <c r="W253" s="10" t="str">
        <f>E253</f>
        <v/>
      </c>
      <c r="X253" s="10" t="str">
        <f t="shared" ref="X253" si="120">F253</f>
        <v/>
      </c>
      <c r="Y253" s="10">
        <f t="shared" ref="Y253" si="121">G253</f>
        <v>9.0000000000000018</v>
      </c>
      <c r="Z253" s="10" t="str">
        <f t="shared" ref="Z253" si="122">H253</f>
        <v/>
      </c>
      <c r="AA253" s="10" t="str">
        <f t="shared" ref="AA253" si="123">I253</f>
        <v/>
      </c>
      <c r="AB253" s="10" t="str">
        <f>J253</f>
        <v/>
      </c>
      <c r="AD253" s="6">
        <f>IF((D250&lt;&gt;"")*(D254=""),IF((D250&lt;=#REF!)*((D251&gt;=#REF!)+(D251&lt;2/24)),1,0),0)</f>
        <v>0</v>
      </c>
      <c r="AE253" s="6">
        <f>IF((E250&lt;&gt;"")*(E254=""),IF((E250&lt;=#REF!)*((E251&gt;=#REF!)+(E251&lt;2/24)),1,0),0)</f>
        <v>0</v>
      </c>
      <c r="AF253" s="6">
        <f>IF((F250&lt;&gt;"")*(F254=""),IF((F250&lt;=#REF!)*((F251&gt;=#REF!)+(F251&lt;2/24)),1,0),0)</f>
        <v>0</v>
      </c>
      <c r="AG253" s="6" t="e">
        <f>IF((G250&lt;&gt;"")*(G254=""),IF((G250&lt;=#REF!)*((G251&gt;=#REF!)+(G251&lt;2/24)),1,0),0)</f>
        <v>#REF!</v>
      </c>
      <c r="AH253" s="6">
        <f>IF((H250&lt;&gt;"")*(H254=""),IF((H250&lt;=#REF!)*((H251&gt;=#REF!)+(H251&lt;2/24)),1,0),0)</f>
        <v>0</v>
      </c>
      <c r="AI253" s="6">
        <f>IF((I250&lt;&gt;"")*(I254=""),IF((I250&lt;=#REF!)*((I251&gt;=#REF!)+(I251&lt;2/24)),1,0),0)</f>
        <v>0</v>
      </c>
      <c r="AJ253" s="6">
        <f>IF((J250&lt;&gt;"")*(J254=""),IF((J250&lt;=#REF!)*((J251&gt;=#REF!)+(J251&lt;2/24)),1,0),0)</f>
        <v>0</v>
      </c>
    </row>
    <row r="254" spans="1:36" x14ac:dyDescent="0.2">
      <c r="A254" s="39"/>
      <c r="B254" s="40"/>
      <c r="C254" s="32" t="s">
        <v>4</v>
      </c>
      <c r="D254" s="33"/>
      <c r="E254" s="33"/>
      <c r="F254" s="33"/>
      <c r="G254" s="33"/>
      <c r="H254" s="33"/>
      <c r="I254" s="33"/>
      <c r="J254" s="33"/>
      <c r="K254" s="17"/>
      <c r="L254" s="6"/>
      <c r="M254" s="25"/>
      <c r="N254" s="6"/>
      <c r="O254" s="6"/>
      <c r="P254" s="6"/>
      <c r="Q254" s="6"/>
      <c r="R254" s="6"/>
      <c r="S254" s="6"/>
      <c r="T254" s="6"/>
      <c r="U254" s="6"/>
      <c r="V254" s="20"/>
      <c r="W254" s="20"/>
      <c r="X254" s="20"/>
      <c r="Y254" s="20"/>
      <c r="Z254" s="20"/>
      <c r="AA254" s="20"/>
      <c r="AB254" s="20"/>
      <c r="AD254" s="6">
        <f>IF((D250&lt;&gt;"")*(D254=""),IF((D250&lt;=#REF!)*((D251&gt;=#REF!)+(D251&lt;2/24)),1,0),0)</f>
        <v>0</v>
      </c>
      <c r="AE254" s="6">
        <f>IF((E250&lt;&gt;"")*(E254=""),IF((E250&lt;=#REF!)*((E251&gt;=#REF!)+(E251&lt;2/24)),1,0),0)</f>
        <v>0</v>
      </c>
      <c r="AF254" s="6">
        <f>IF((F250&lt;&gt;"")*(F254=""),IF((F250&lt;=#REF!)*((F251&gt;=#REF!)+(F251&lt;2/24)),1,0),0)</f>
        <v>0</v>
      </c>
      <c r="AG254" s="6" t="e">
        <f>IF((G250&lt;&gt;"")*(G254=""),IF((G250&lt;=#REF!)*((G251&gt;=#REF!)+(G251&lt;2/24)),1,0),0)</f>
        <v>#REF!</v>
      </c>
      <c r="AH254" s="6">
        <f>IF((H250&lt;&gt;"")*(H254=""),IF((H250&lt;=#REF!)*((H251&gt;=#REF!)+(H251&lt;2/24)),1,0),0)</f>
        <v>0</v>
      </c>
      <c r="AI254" s="6">
        <f>IF((I250&lt;&gt;"")*(I254=""),IF((I250&lt;=#REF!)*((I251&gt;=#REF!)+(I251&lt;2/24)),1,0),0)</f>
        <v>0</v>
      </c>
      <c r="AJ254" s="6">
        <f>IF((J250&lt;&gt;"")*(J254=""),IF((J250&lt;=#REF!)*((J251&gt;=#REF!)+(J251&lt;2/24)),1,0),0)</f>
        <v>0</v>
      </c>
    </row>
    <row r="255" spans="1:36" ht="13.5" thickBot="1" x14ac:dyDescent="0.25">
      <c r="A255" s="41"/>
      <c r="B255" s="42"/>
      <c r="C255" s="35" t="s">
        <v>28</v>
      </c>
      <c r="D255" s="36"/>
      <c r="E255" s="36"/>
      <c r="F255" s="36"/>
      <c r="G255" s="36" t="s">
        <v>160</v>
      </c>
      <c r="H255" s="36"/>
      <c r="I255" s="36"/>
      <c r="J255" s="36"/>
      <c r="K255" s="34"/>
      <c r="L255" s="6"/>
      <c r="M255" s="25"/>
      <c r="N255" s="6"/>
      <c r="O255" s="6"/>
      <c r="P255" s="6"/>
      <c r="Q255" s="6"/>
      <c r="R255" s="6"/>
      <c r="S255" s="6"/>
      <c r="T255" s="6"/>
      <c r="U255" s="6"/>
      <c r="V255" s="20"/>
      <c r="W255" s="20"/>
      <c r="X255" s="20"/>
      <c r="Y255" s="20"/>
      <c r="Z255" s="20"/>
      <c r="AA255" s="20"/>
      <c r="AB255" s="20"/>
      <c r="AD255" s="6"/>
      <c r="AE255" s="6"/>
      <c r="AF255" s="6"/>
      <c r="AG255" s="6"/>
      <c r="AH255" s="6"/>
      <c r="AI255" s="6"/>
      <c r="AJ255" s="6"/>
    </row>
    <row r="256" spans="1:36" x14ac:dyDescent="0.2">
      <c r="A256" s="37" t="s">
        <v>79</v>
      </c>
      <c r="B256" s="38" t="s">
        <v>55</v>
      </c>
      <c r="C256" s="14" t="s">
        <v>0</v>
      </c>
      <c r="D256" s="26"/>
      <c r="E256" s="26"/>
      <c r="F256" s="26"/>
      <c r="G256" s="26"/>
      <c r="H256" s="26"/>
      <c r="I256" s="26"/>
      <c r="J256" s="26"/>
      <c r="K256" s="16"/>
      <c r="L256" s="6"/>
      <c r="M256" s="21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D256" s="6">
        <f>IF((D256&lt;&gt;"")*(D260=""),IF((D256&lt;=#REF!)*((D257&gt;=#REF!)+(D257&lt;2/24)),1,0),0)</f>
        <v>0</v>
      </c>
      <c r="AE256" s="6">
        <f>IF((E256&lt;&gt;"")*(E260=""),IF((E256&lt;=#REF!)*((E257&gt;=#REF!)+(E257&lt;2/24)),1,0),0)</f>
        <v>0</v>
      </c>
      <c r="AF256" s="6">
        <f>IF((F256&lt;&gt;"")*(F260=""),IF((F256&lt;=#REF!)*((F257&gt;=#REF!)+(F257&lt;2/24)),1,0),0)</f>
        <v>0</v>
      </c>
      <c r="AG256" s="6">
        <f>IF((G256&lt;&gt;"")*(G260=""),IF((G256&lt;=#REF!)*((G257&gt;=#REF!)+(G257&lt;2/24)),1,0),0)</f>
        <v>0</v>
      </c>
      <c r="AH256" s="6">
        <f>IF((H256&lt;&gt;"")*(H260=""),IF((H256&lt;=#REF!)*((H257&gt;=#REF!)+(H257&lt;2/24)),1,0),0)</f>
        <v>0</v>
      </c>
      <c r="AI256" s="6">
        <f>IF((I256&lt;&gt;"")*(I260=""),IF((I256&lt;=#REF!)*((I257&gt;=#REF!)+(I257&lt;2/24)),1,0),0)</f>
        <v>0</v>
      </c>
      <c r="AJ256" s="6">
        <f>IF((J256&lt;&gt;"")*(J260=""),IF((J256&lt;=#REF!)*((J257&gt;=#REF!)+(J257&lt;2/24)),1,0),0)</f>
        <v>0</v>
      </c>
    </row>
    <row r="257" spans="1:36" x14ac:dyDescent="0.2">
      <c r="A257" s="39"/>
      <c r="B257" s="40"/>
      <c r="C257" s="15" t="s">
        <v>1</v>
      </c>
      <c r="D257" s="27"/>
      <c r="E257" s="27"/>
      <c r="F257" s="27"/>
      <c r="G257" s="27"/>
      <c r="H257" s="27"/>
      <c r="I257" s="27"/>
      <c r="J257" s="27"/>
      <c r="K257" s="17"/>
      <c r="L257" s="6"/>
      <c r="M257" s="21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D257" s="6">
        <f>IF((D256&lt;&gt;"")*(D260=""),IF((D256&lt;=#REF!)*((D257&gt;=#REF!)+(D257&lt;2/24)),1,0),0)</f>
        <v>0</v>
      </c>
      <c r="AE257" s="6">
        <f>IF((E256&lt;&gt;"")*(E260=""),IF((E256&lt;=#REF!)*((E257&gt;=#REF!)+(E257&lt;2/24)),1,0),0)</f>
        <v>0</v>
      </c>
      <c r="AF257" s="6">
        <f>IF((F256&lt;&gt;"")*(F260=""),IF((F256&lt;=#REF!)*((F257&gt;=#REF!)+(F257&lt;2/24)),1,0),0)</f>
        <v>0</v>
      </c>
      <c r="AG257" s="6">
        <f>IF((G256&lt;&gt;"")*(G260=""),IF((G256&lt;=#REF!)*((G257&gt;=#REF!)+(G257&lt;2/24)),1,0),0)</f>
        <v>0</v>
      </c>
      <c r="AH257" s="6">
        <f>IF((H256&lt;&gt;"")*(H260=""),IF((H256&lt;=#REF!)*((H257&gt;=#REF!)+(H257&lt;2/24)),1,0),0)</f>
        <v>0</v>
      </c>
      <c r="AI257" s="6">
        <f>IF((I256&lt;&gt;"")*(I260=""),IF((I256&lt;=#REF!)*((I257&gt;=#REF!)+(I257&lt;2/24)),1,0),0)</f>
        <v>0</v>
      </c>
      <c r="AJ257" s="6">
        <f>IF((J256&lt;&gt;"")*(J260=""),IF((J256&lt;=#REF!)*((J257&gt;=#REF!)+(J257&lt;2/24)),1,0),0)</f>
        <v>0</v>
      </c>
    </row>
    <row r="258" spans="1:36" x14ac:dyDescent="0.2">
      <c r="A258" s="39"/>
      <c r="B258" s="40"/>
      <c r="C258" s="15" t="s">
        <v>2</v>
      </c>
      <c r="D258" s="4"/>
      <c r="E258" s="4"/>
      <c r="F258" s="4"/>
      <c r="G258" s="4"/>
      <c r="H258" s="4"/>
      <c r="I258" s="4"/>
      <c r="J258" s="4"/>
      <c r="K258" s="17"/>
      <c r="L258" s="6"/>
      <c r="M258" s="21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D258" s="6">
        <f>IF((D256&lt;&gt;"")*(D260=""),IF((D256&lt;=#REF!)*((D257&gt;=#REF!)+(D257&lt;2/24)),1,0),0)</f>
        <v>0</v>
      </c>
      <c r="AE258" s="6">
        <f>IF((E256&lt;&gt;"")*(E260=""),IF((E256&lt;=#REF!)*((E257&gt;=#REF!)+(E257&lt;2/24)),1,0),0)</f>
        <v>0</v>
      </c>
      <c r="AF258" s="6">
        <f>IF((F256&lt;&gt;"")*(F260=""),IF((F256&lt;=#REF!)*((F257&gt;=#REF!)+(F257&lt;2/24)),1,0),0)</f>
        <v>0</v>
      </c>
      <c r="AG258" s="6">
        <f>IF((G256&lt;&gt;"")*(G260=""),IF((G256&lt;=#REF!)*((G257&gt;=#REF!)+(G257&lt;2/24)),1,0),0)</f>
        <v>0</v>
      </c>
      <c r="AH258" s="6">
        <f>IF((H256&lt;&gt;"")*(H260=""),IF((H256&lt;=#REF!)*((H257&gt;=#REF!)+(H257&lt;2/24)),1,0),0)</f>
        <v>0</v>
      </c>
      <c r="AI258" s="6">
        <f>IF((I256&lt;&gt;"")*(I260=""),IF((I256&lt;=#REF!)*((I257&gt;=#REF!)+(I257&lt;2/24)),1,0),0)</f>
        <v>0</v>
      </c>
      <c r="AJ258" s="6">
        <f>IF((J256&lt;&gt;"")*(J260=""),IF((J256&lt;=#REF!)*((J257&gt;=#REF!)+(J257&lt;2/24)),1,0),0)</f>
        <v>0</v>
      </c>
    </row>
    <row r="259" spans="1:36" x14ac:dyDescent="0.2">
      <c r="A259" s="39"/>
      <c r="B259" s="40"/>
      <c r="C259" s="15" t="s">
        <v>3</v>
      </c>
      <c r="D259" s="43" t="str">
        <f t="shared" ref="D259:H259" si="124">IF(D256="","",IF(D257&gt;D256,(D257-D256-D258)*24,(1-D256-D258+D257)*24))</f>
        <v/>
      </c>
      <c r="E259" s="43" t="str">
        <f t="shared" si="124"/>
        <v/>
      </c>
      <c r="F259" s="43" t="str">
        <f t="shared" si="124"/>
        <v/>
      </c>
      <c r="G259" s="43" t="str">
        <f t="shared" si="124"/>
        <v/>
      </c>
      <c r="H259" s="43" t="str">
        <f t="shared" si="124"/>
        <v/>
      </c>
      <c r="I259" s="43" t="str">
        <f>IF(I256="","",IF(I257&gt;I256,(I257-I256-I258)*24,(1-I256-I258+I257)*24))</f>
        <v/>
      </c>
      <c r="J259" s="43" t="str">
        <f>IF(J256="","",IF(J257&gt;J256,(J257-J256-J258)*24,(1-J256-J258+J257)*24))</f>
        <v/>
      </c>
      <c r="K259" s="18">
        <f>SUMIF(D260:J260,"",D259:J259)</f>
        <v>0</v>
      </c>
      <c r="L259" s="12">
        <f>SUM(D259:J259)</f>
        <v>0</v>
      </c>
      <c r="M259" s="24"/>
      <c r="N259" s="10" t="str">
        <f>IF(D260="",D259,0)</f>
        <v/>
      </c>
      <c r="O259" s="10" t="str">
        <f>IF(E260="",E259,0)</f>
        <v/>
      </c>
      <c r="P259" s="10" t="str">
        <f t="shared" ref="P259" si="125">IF(F260="",F259,0)</f>
        <v/>
      </c>
      <c r="Q259" s="10" t="str">
        <f t="shared" ref="Q259" si="126">IF(G260="",G259,0)</f>
        <v/>
      </c>
      <c r="R259" s="10" t="str">
        <f t="shared" ref="R259" si="127">IF(H260="",H259,0)</f>
        <v/>
      </c>
      <c r="S259" s="10" t="str">
        <f t="shared" ref="S259" si="128">IF(I260="",I259,0)</f>
        <v/>
      </c>
      <c r="T259" s="10" t="str">
        <f>IF(J260="",J259,0)</f>
        <v/>
      </c>
      <c r="U259" s="10"/>
      <c r="V259" s="10" t="str">
        <f>D259</f>
        <v/>
      </c>
      <c r="W259" s="10" t="str">
        <f>E259</f>
        <v/>
      </c>
      <c r="X259" s="10" t="str">
        <f t="shared" ref="X259" si="129">F259</f>
        <v/>
      </c>
      <c r="Y259" s="10" t="str">
        <f t="shared" ref="Y259" si="130">G259</f>
        <v/>
      </c>
      <c r="Z259" s="10" t="str">
        <f t="shared" ref="Z259" si="131">H259</f>
        <v/>
      </c>
      <c r="AA259" s="10" t="str">
        <f t="shared" ref="AA259" si="132">I259</f>
        <v/>
      </c>
      <c r="AB259" s="10" t="str">
        <f>J259</f>
        <v/>
      </c>
      <c r="AD259" s="6">
        <f>IF((D256&lt;&gt;"")*(D260=""),IF((D256&lt;=#REF!)*((D257&gt;=#REF!)+(D257&lt;2/24)),1,0),0)</f>
        <v>0</v>
      </c>
      <c r="AE259" s="6">
        <f>IF((E256&lt;&gt;"")*(E260=""),IF((E256&lt;=#REF!)*((E257&gt;=#REF!)+(E257&lt;2/24)),1,0),0)</f>
        <v>0</v>
      </c>
      <c r="AF259" s="6">
        <f>IF((F256&lt;&gt;"")*(F260=""),IF((F256&lt;=#REF!)*((F257&gt;=#REF!)+(F257&lt;2/24)),1,0),0)</f>
        <v>0</v>
      </c>
      <c r="AG259" s="6">
        <f>IF((G256&lt;&gt;"")*(G260=""),IF((G256&lt;=#REF!)*((G257&gt;=#REF!)+(G257&lt;2/24)),1,0),0)</f>
        <v>0</v>
      </c>
      <c r="AH259" s="6">
        <f>IF((H256&lt;&gt;"")*(H260=""),IF((H256&lt;=#REF!)*((H257&gt;=#REF!)+(H257&lt;2/24)),1,0),0)</f>
        <v>0</v>
      </c>
      <c r="AI259" s="6">
        <f>IF((I256&lt;&gt;"")*(I260=""),IF((I256&lt;=#REF!)*((I257&gt;=#REF!)+(I257&lt;2/24)),1,0),0)</f>
        <v>0</v>
      </c>
      <c r="AJ259" s="6">
        <f>IF((J256&lt;&gt;"")*(J260=""),IF((J256&lt;=#REF!)*((J257&gt;=#REF!)+(J257&lt;2/24)),1,0),0)</f>
        <v>0</v>
      </c>
    </row>
    <row r="260" spans="1:36" x14ac:dyDescent="0.2">
      <c r="A260" s="39"/>
      <c r="B260" s="40"/>
      <c r="C260" s="32" t="s">
        <v>4</v>
      </c>
      <c r="D260" s="33"/>
      <c r="E260" s="33"/>
      <c r="F260" s="33"/>
      <c r="G260" s="33"/>
      <c r="H260" s="33"/>
      <c r="I260" s="33"/>
      <c r="J260" s="33"/>
      <c r="K260" s="17"/>
      <c r="L260" s="6"/>
      <c r="M260" s="25"/>
      <c r="N260" s="6"/>
      <c r="O260" s="6"/>
      <c r="P260" s="6"/>
      <c r="Q260" s="6"/>
      <c r="R260" s="6"/>
      <c r="S260" s="6"/>
      <c r="T260" s="6"/>
      <c r="U260" s="6"/>
      <c r="V260" s="20"/>
      <c r="W260" s="20"/>
      <c r="X260" s="20"/>
      <c r="Y260" s="20"/>
      <c r="Z260" s="20"/>
      <c r="AA260" s="20"/>
      <c r="AB260" s="20"/>
      <c r="AD260" s="6">
        <f>IF((D256&lt;&gt;"")*(D260=""),IF((D256&lt;=#REF!)*((D257&gt;=#REF!)+(D257&lt;2/24)),1,0),0)</f>
        <v>0</v>
      </c>
      <c r="AE260" s="6">
        <f>IF((E256&lt;&gt;"")*(E260=""),IF((E256&lt;=#REF!)*((E257&gt;=#REF!)+(E257&lt;2/24)),1,0),0)</f>
        <v>0</v>
      </c>
      <c r="AF260" s="6">
        <f>IF((F256&lt;&gt;"")*(F260=""),IF((F256&lt;=#REF!)*((F257&gt;=#REF!)+(F257&lt;2/24)),1,0),0)</f>
        <v>0</v>
      </c>
      <c r="AG260" s="6">
        <f>IF((G256&lt;&gt;"")*(G260=""),IF((G256&lt;=#REF!)*((G257&gt;=#REF!)+(G257&lt;2/24)),1,0),0)</f>
        <v>0</v>
      </c>
      <c r="AH260" s="6">
        <f>IF((H256&lt;&gt;"")*(H260=""),IF((H256&lt;=#REF!)*((H257&gt;=#REF!)+(H257&lt;2/24)),1,0),0)</f>
        <v>0</v>
      </c>
      <c r="AI260" s="6">
        <f>IF((I256&lt;&gt;"")*(I260=""),IF((I256&lt;=#REF!)*((I257&gt;=#REF!)+(I257&lt;2/24)),1,0),0)</f>
        <v>0</v>
      </c>
      <c r="AJ260" s="6">
        <f>IF((J256&lt;&gt;"")*(J260=""),IF((J256&lt;=#REF!)*((J257&gt;=#REF!)+(J257&lt;2/24)),1,0),0)</f>
        <v>0</v>
      </c>
    </row>
    <row r="261" spans="1:36" ht="13.5" thickBot="1" x14ac:dyDescent="0.25">
      <c r="A261" s="41"/>
      <c r="B261" s="42"/>
      <c r="C261" s="35" t="s">
        <v>28</v>
      </c>
      <c r="D261" s="36"/>
      <c r="E261" s="36"/>
      <c r="F261" s="36"/>
      <c r="G261" s="36"/>
      <c r="H261" s="36"/>
      <c r="I261" s="36"/>
      <c r="J261" s="36"/>
      <c r="K261" s="34"/>
      <c r="L261" s="6"/>
      <c r="M261" s="25"/>
      <c r="N261" s="6"/>
      <c r="O261" s="6"/>
      <c r="P261" s="6"/>
      <c r="Q261" s="6"/>
      <c r="R261" s="6"/>
      <c r="S261" s="6"/>
      <c r="T261" s="6"/>
      <c r="U261" s="6"/>
      <c r="V261" s="20"/>
      <c r="W261" s="20"/>
      <c r="X261" s="20"/>
      <c r="Y261" s="20"/>
      <c r="Z261" s="20"/>
      <c r="AA261" s="20"/>
      <c r="AB261" s="20"/>
      <c r="AD261" s="6"/>
      <c r="AE261" s="6"/>
      <c r="AF261" s="6"/>
      <c r="AG261" s="6"/>
      <c r="AH261" s="6"/>
      <c r="AI261" s="6"/>
      <c r="AJ261" s="6"/>
    </row>
    <row r="262" spans="1:36" x14ac:dyDescent="0.2">
      <c r="A262" s="37" t="s">
        <v>80</v>
      </c>
      <c r="B262" s="38" t="s">
        <v>81</v>
      </c>
      <c r="C262" s="14" t="s">
        <v>0</v>
      </c>
      <c r="D262" s="26"/>
      <c r="E262" s="26"/>
      <c r="F262" s="26"/>
      <c r="G262" s="26"/>
      <c r="H262" s="26"/>
      <c r="I262" s="26"/>
      <c r="J262" s="26"/>
      <c r="K262" s="16"/>
      <c r="L262" s="6"/>
      <c r="M262" s="21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D262" s="6">
        <f>IF((D262&lt;&gt;"")*(D266=""),IF((D262&lt;=$B$440)*((D263&gt;=$C$440)+(D263&lt;2/24)),1,0),0)</f>
        <v>0</v>
      </c>
      <c r="AE262" s="6">
        <f>IF((E262&lt;&gt;"")*(E266=""),IF((E262&lt;=$B$440)*((E263&gt;=$C$440)+(E263&lt;2/24)),1,0),0)</f>
        <v>0</v>
      </c>
      <c r="AF262" s="6">
        <f>IF((F262&lt;&gt;"")*(F266=""),IF((F262&lt;=$B$440)*((F263&gt;=$C$440)+(F263&lt;2/24)),1,0),0)</f>
        <v>0</v>
      </c>
      <c r="AG262" s="6">
        <f>IF((G262&lt;&gt;"")*(G266=""),IF((G262&lt;=$B$440)*((G263&gt;=$C$440)+(G263&lt;2/24)),1,0),0)</f>
        <v>0</v>
      </c>
      <c r="AH262" s="6">
        <f>IF((H262&lt;&gt;"")*(H266=""),IF((H262&lt;=$B$440)*((H263&gt;=$C$440)+(H263&lt;2/24)),1,0),0)</f>
        <v>0</v>
      </c>
      <c r="AI262" s="6">
        <f>IF((I262&lt;&gt;"")*(I266=""),IF((I262&lt;=$B$440)*((I263&gt;=$C$440)+(I263&lt;2/24)),1,0),0)</f>
        <v>0</v>
      </c>
      <c r="AJ262" s="6">
        <f>IF((J262&lt;&gt;"")*(J266=""),IF((J262&lt;=$B$440)*((J263&gt;=$C$440)+(J263&lt;2/24)),1,0),0)</f>
        <v>0</v>
      </c>
    </row>
    <row r="263" spans="1:36" x14ac:dyDescent="0.2">
      <c r="A263" s="39"/>
      <c r="B263" s="40"/>
      <c r="C263" s="15" t="s">
        <v>1</v>
      </c>
      <c r="D263" s="27"/>
      <c r="E263" s="27"/>
      <c r="F263" s="27"/>
      <c r="G263" s="27"/>
      <c r="H263" s="27"/>
      <c r="I263" s="27"/>
      <c r="J263" s="27"/>
      <c r="K263" s="17"/>
      <c r="L263" s="6"/>
      <c r="M263" s="21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D263" s="6">
        <f>IF((D262&lt;&gt;"")*(D266=""),IF((D262&lt;=$B$441)*((D263&gt;=$C$441)+(D263&lt;2/24)),1,0),0)</f>
        <v>0</v>
      </c>
      <c r="AE263" s="6">
        <f>IF((E262&lt;&gt;"")*(E266=""),IF((E262&lt;=$B$441)*((E263&gt;=$C$441)+(E263&lt;2/24)),1,0),0)</f>
        <v>0</v>
      </c>
      <c r="AF263" s="6">
        <f>IF((F262&lt;&gt;"")*(F266=""),IF((F262&lt;=$B$441)*((F263&gt;=$C$441)+(F263&lt;2/24)),1,0),0)</f>
        <v>0</v>
      </c>
      <c r="AG263" s="6">
        <f>IF((G262&lt;&gt;"")*(G266=""),IF((G262&lt;=$B$441)*((G263&gt;=$C$441)+(G263&lt;2/24)),1,0),0)</f>
        <v>0</v>
      </c>
      <c r="AH263" s="6">
        <f>IF((H262&lt;&gt;"")*(H266=""),IF((H262&lt;=$B$441)*((H263&gt;=$C$441)+(H263&lt;2/24)),1,0),0)</f>
        <v>0</v>
      </c>
      <c r="AI263" s="6">
        <f>IF((I262&lt;&gt;"")*(I266=""),IF((I262&lt;=$B$441)*((I263&gt;=$C$441)+(I263&lt;2/24)),1,0),0)</f>
        <v>0</v>
      </c>
      <c r="AJ263" s="6">
        <f>IF((J262&lt;&gt;"")*(J266=""),IF((J262&lt;=$B$441)*((J263&gt;=$C$441)+(J263&lt;2/24)),1,0),0)</f>
        <v>0</v>
      </c>
    </row>
    <row r="264" spans="1:36" x14ac:dyDescent="0.2">
      <c r="A264" s="39"/>
      <c r="B264" s="40"/>
      <c r="C264" s="15" t="s">
        <v>2</v>
      </c>
      <c r="D264" s="4"/>
      <c r="E264" s="4"/>
      <c r="F264" s="4"/>
      <c r="G264" s="4"/>
      <c r="H264" s="4"/>
      <c r="I264" s="4"/>
      <c r="J264" s="4"/>
      <c r="K264" s="17"/>
      <c r="L264" s="6"/>
      <c r="M264" s="21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D264" s="6">
        <f>IF((D262&lt;&gt;"")*(D266=""),IF((D262&lt;=$B$442)*((D263&gt;=$C$442)+(D263&lt;2/24)),1,0),0)</f>
        <v>0</v>
      </c>
      <c r="AE264" s="6">
        <f>IF((E262&lt;&gt;"")*(E266=""),IF((E262&lt;=$B$442)*((E263&gt;=$C$442)+(E263&lt;2/24)),1,0),0)</f>
        <v>0</v>
      </c>
      <c r="AF264" s="6">
        <f>IF((F262&lt;&gt;"")*(F266=""),IF((F262&lt;=$B$442)*((F263&gt;=$C$442)+(F263&lt;2/24)),1,0),0)</f>
        <v>0</v>
      </c>
      <c r="AG264" s="6">
        <f>IF((G262&lt;&gt;"")*(G266=""),IF((G262&lt;=$B$442)*((G263&gt;=$C$442)+(G263&lt;2/24)),1,0),0)</f>
        <v>0</v>
      </c>
      <c r="AH264" s="6">
        <f>IF((H262&lt;&gt;"")*(H266=""),IF((H262&lt;=$B$442)*((H263&gt;=$C$442)+(H263&lt;2/24)),1,0),0)</f>
        <v>0</v>
      </c>
      <c r="AI264" s="6">
        <f>IF((I262&lt;&gt;"")*(I266=""),IF((I262&lt;=$B$442)*((I263&gt;=$C$442)+(I263&lt;2/24)),1,0),0)</f>
        <v>0</v>
      </c>
      <c r="AJ264" s="6">
        <f>IF((J262&lt;&gt;"")*(J266=""),IF((J262&lt;=$B$442)*((J263&gt;=$C$442)+(J263&lt;2/24)),1,0),0)</f>
        <v>0</v>
      </c>
    </row>
    <row r="265" spans="1:36" x14ac:dyDescent="0.2">
      <c r="A265" s="39"/>
      <c r="B265" s="40"/>
      <c r="C265" s="15" t="s">
        <v>3</v>
      </c>
      <c r="D265" s="43" t="str">
        <f t="shared" ref="D265:J265" si="133">IF(D262="","",IF(D263&gt;D262,(D263-D262-D264)*24,(1-D262-D264+D263)*24))</f>
        <v/>
      </c>
      <c r="E265" s="43" t="str">
        <f t="shared" si="133"/>
        <v/>
      </c>
      <c r="F265" s="43" t="str">
        <f t="shared" si="133"/>
        <v/>
      </c>
      <c r="G265" s="43" t="str">
        <f t="shared" si="133"/>
        <v/>
      </c>
      <c r="H265" s="43" t="str">
        <f t="shared" si="133"/>
        <v/>
      </c>
      <c r="I265" s="43" t="str">
        <f t="shared" si="133"/>
        <v/>
      </c>
      <c r="J265" s="44" t="str">
        <f t="shared" si="133"/>
        <v/>
      </c>
      <c r="K265" s="18">
        <f>SUMIF(D266:J266,"",D265:J265)</f>
        <v>0</v>
      </c>
      <c r="L265" s="12">
        <f>SUM(D265:J265)</f>
        <v>0</v>
      </c>
      <c r="M265" s="24"/>
      <c r="N265" s="10" t="str">
        <f>IF(D266="",D265,0)</f>
        <v/>
      </c>
      <c r="O265" s="10" t="str">
        <f>IF(E266="",E265,0)</f>
        <v/>
      </c>
      <c r="P265" s="10" t="str">
        <f t="shared" ref="P265" si="134">IF(F266="",F265,0)</f>
        <v/>
      </c>
      <c r="Q265" s="10" t="str">
        <f t="shared" ref="Q265" si="135">IF(G266="",G265,0)</f>
        <v/>
      </c>
      <c r="R265" s="10" t="str">
        <f t="shared" ref="R265" si="136">IF(H266="",H265,0)</f>
        <v/>
      </c>
      <c r="S265" s="10" t="str">
        <f t="shared" ref="S265" si="137">IF(I266="",I265,0)</f>
        <v/>
      </c>
      <c r="T265" s="10" t="str">
        <f t="shared" ref="T265" si="138">IF(J266="",J265,0)</f>
        <v/>
      </c>
      <c r="U265" s="10"/>
      <c r="V265" s="10" t="str">
        <f>D265</f>
        <v/>
      </c>
      <c r="W265" s="10" t="str">
        <f>E265</f>
        <v/>
      </c>
      <c r="X265" s="10" t="str">
        <f t="shared" ref="X265" si="139">F265</f>
        <v/>
      </c>
      <c r="Y265" s="10" t="str">
        <f t="shared" ref="Y265" si="140">G265</f>
        <v/>
      </c>
      <c r="Z265" s="10" t="str">
        <f t="shared" ref="Z265" si="141">H265</f>
        <v/>
      </c>
      <c r="AA265" s="10" t="str">
        <f t="shared" ref="AA265" si="142">I265</f>
        <v/>
      </c>
      <c r="AB265" s="10" t="str">
        <f t="shared" ref="AB265" si="143">J265</f>
        <v/>
      </c>
      <c r="AD265" s="6">
        <f>IF((D262&lt;&gt;"")*(D266=""),IF((D262&lt;=$B$443)*((D263&gt;=$C$443)+(D263&lt;2/24)),1,0),0)</f>
        <v>0</v>
      </c>
      <c r="AE265" s="6">
        <f>IF((E262&lt;&gt;"")*(E266=""),IF((E262&lt;=$B$443)*((E263&gt;=$C$443)+(E263&lt;2/24)),1,0),0)</f>
        <v>0</v>
      </c>
      <c r="AF265" s="6">
        <f>IF((F262&lt;&gt;"")*(F266=""),IF((F262&lt;=$B$443)*((F263&gt;=$C$443)+(F263&lt;2/24)),1,0),0)</f>
        <v>0</v>
      </c>
      <c r="AG265" s="6">
        <f>IF((G262&lt;&gt;"")*(G266=""),IF((G262&lt;=$B$443)*((G263&gt;=$C$443)+(G263&lt;2/24)),1,0),0)</f>
        <v>0</v>
      </c>
      <c r="AH265" s="6">
        <f>IF((H262&lt;&gt;"")*(H266=""),IF((H262&lt;=$B$443)*((H263&gt;=$C$443)+(H263&lt;2/24)),1,0),0)</f>
        <v>0</v>
      </c>
      <c r="AI265" s="6">
        <f>IF((I262&lt;&gt;"")*(I266=""),IF((I262&lt;=$B$443)*((I263&gt;=$C$443)+(I263&lt;2/24)),1,0),0)</f>
        <v>0</v>
      </c>
      <c r="AJ265" s="6">
        <f>IF((J262&lt;&gt;"")*(J266=""),IF((J262&lt;=$B$443)*((J263&gt;=$C$443)+(J263&lt;2/24)),1,0),0)</f>
        <v>0</v>
      </c>
    </row>
    <row r="266" spans="1:36" x14ac:dyDescent="0.2">
      <c r="A266" s="39"/>
      <c r="B266" s="40"/>
      <c r="C266" s="32" t="s">
        <v>4</v>
      </c>
      <c r="D266" s="33"/>
      <c r="E266" s="33"/>
      <c r="F266" s="33"/>
      <c r="G266" s="33"/>
      <c r="H266" s="33"/>
      <c r="I266" s="33"/>
      <c r="J266" s="33"/>
      <c r="K266" s="17"/>
      <c r="L266" s="6"/>
      <c r="M266" s="25"/>
      <c r="N266" s="6"/>
      <c r="O266" s="6"/>
      <c r="P266" s="6"/>
      <c r="Q266" s="6"/>
      <c r="R266" s="6"/>
      <c r="S266" s="6"/>
      <c r="T266" s="6"/>
      <c r="U266" s="6"/>
      <c r="V266" s="20"/>
      <c r="W266" s="20"/>
      <c r="X266" s="20"/>
      <c r="Y266" s="20"/>
      <c r="Z266" s="20"/>
      <c r="AA266" s="20"/>
      <c r="AB266" s="20"/>
      <c r="AD266" s="6">
        <f>IF((D262&lt;&gt;"")*(D266=""),IF((D262&lt;=$B$444)*((D263&gt;=$C$444)+(D263&lt;2/24)),1,0),0)</f>
        <v>0</v>
      </c>
      <c r="AE266" s="6">
        <f>IF((E262&lt;&gt;"")*(E266=""),IF((E262&lt;=$B$444)*((E263&gt;=$C$444)+(E263&lt;2/24)),1,0),0)</f>
        <v>0</v>
      </c>
      <c r="AF266" s="6">
        <f>IF((F262&lt;&gt;"")*(F266=""),IF((F262&lt;=$B$444)*((F263&gt;=$C$444)+(F263&lt;2/24)),1,0),0)</f>
        <v>0</v>
      </c>
      <c r="AG266" s="6">
        <f>IF((G262&lt;&gt;"")*(G266=""),IF((G262&lt;=$B$444)*((G263&gt;=$C$444)+(G263&lt;2/24)),1,0),0)</f>
        <v>0</v>
      </c>
      <c r="AH266" s="6">
        <f>IF((H262&lt;&gt;"")*(H266=""),IF((H262&lt;=$B$444)*((H263&gt;=$C$444)+(H263&lt;2/24)),1,0),0)</f>
        <v>0</v>
      </c>
      <c r="AI266" s="6">
        <f>IF((I262&lt;&gt;"")*(I266=""),IF((I262&lt;=$B$444)*((I263&gt;=$C$444)+(I263&lt;2/24)),1,0),0)</f>
        <v>0</v>
      </c>
      <c r="AJ266" s="6">
        <f>IF((J262&lt;&gt;"")*(J266=""),IF((J262&lt;=$B$444)*((J263&gt;=$C$444)+(J263&lt;2/24)),1,0),0)</f>
        <v>0</v>
      </c>
    </row>
    <row r="267" spans="1:36" ht="13.5" thickBot="1" x14ac:dyDescent="0.25">
      <c r="A267" s="41"/>
      <c r="B267" s="42"/>
      <c r="C267" s="35" t="s">
        <v>28</v>
      </c>
      <c r="D267" s="36"/>
      <c r="E267" s="36"/>
      <c r="F267" s="36"/>
      <c r="G267" s="36"/>
      <c r="H267" s="36"/>
      <c r="I267" s="36"/>
      <c r="J267" s="36"/>
      <c r="K267" s="34"/>
      <c r="L267" s="6"/>
      <c r="M267" s="25"/>
      <c r="N267" s="6"/>
      <c r="O267" s="6"/>
      <c r="P267" s="6"/>
      <c r="Q267" s="6"/>
      <c r="R267" s="6"/>
      <c r="S267" s="6"/>
      <c r="T267" s="6"/>
      <c r="U267" s="6"/>
      <c r="V267" s="20"/>
      <c r="W267" s="20"/>
      <c r="X267" s="20"/>
      <c r="Y267" s="20"/>
      <c r="Z267" s="20"/>
      <c r="AA267" s="20"/>
      <c r="AB267" s="20"/>
      <c r="AD267" s="6"/>
      <c r="AE267" s="6"/>
      <c r="AF267" s="6"/>
      <c r="AG267" s="6"/>
      <c r="AH267" s="6"/>
      <c r="AI267" s="6"/>
      <c r="AJ267" s="6"/>
    </row>
    <row r="268" spans="1:36" x14ac:dyDescent="0.2">
      <c r="A268" s="37" t="s">
        <v>53</v>
      </c>
      <c r="B268" s="38" t="s">
        <v>54</v>
      </c>
      <c r="C268" s="14" t="s">
        <v>0</v>
      </c>
      <c r="D268" s="26">
        <v>0.54166666666666663</v>
      </c>
      <c r="E268" s="26">
        <v>0.54166666666666663</v>
      </c>
      <c r="F268" s="26"/>
      <c r="G268" s="26"/>
      <c r="H268" s="26"/>
      <c r="I268" s="26"/>
      <c r="J268" s="26"/>
      <c r="K268" s="16"/>
      <c r="L268" s="6"/>
      <c r="M268" s="21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D268" s="6">
        <f>IF((D268&lt;&gt;"")*(D272=""),IF((D268&lt;=$B$440)*((D269&gt;=$C$440)+(D269&lt;2/24)),1,0),0)</f>
        <v>0</v>
      </c>
      <c r="AE268" s="6">
        <f>IF((E268&lt;&gt;"")*(E272=""),IF((E268&lt;=$B$440)*((E269&gt;=$C$440)+(E269&lt;2/24)),1,0),0)</f>
        <v>0</v>
      </c>
      <c r="AF268" s="6">
        <f>IF((F268&lt;&gt;"")*(F272=""),IF((F268&lt;=$B$440)*((F269&gt;=$C$440)+(F269&lt;2/24)),1,0),0)</f>
        <v>0</v>
      </c>
      <c r="AG268" s="6">
        <f>IF((G268&lt;&gt;"")*(G272=""),IF((G268&lt;=$B$440)*((G269&gt;=$C$440)+(G269&lt;2/24)),1,0),0)</f>
        <v>0</v>
      </c>
      <c r="AH268" s="6">
        <f>IF((H268&lt;&gt;"")*(H272=""),IF((H268&lt;=$B$440)*((H269&gt;=$C$440)+(H269&lt;2/24)),1,0),0)</f>
        <v>0</v>
      </c>
      <c r="AI268" s="6">
        <f>IF((I268&lt;&gt;"")*(I272=""),IF((I268&lt;=$B$440)*((I269&gt;=$C$440)+(I269&lt;2/24)),1,0),0)</f>
        <v>0</v>
      </c>
      <c r="AJ268" s="6">
        <f>IF((J268&lt;&gt;"")*(J272=""),IF((J268&lt;=$B$440)*((J269&gt;=$C$440)+(J269&lt;2/24)),1,0),0)</f>
        <v>0</v>
      </c>
    </row>
    <row r="269" spans="1:36" x14ac:dyDescent="0.2">
      <c r="A269" s="39"/>
      <c r="B269" s="40"/>
      <c r="C269" s="15" t="s">
        <v>1</v>
      </c>
      <c r="D269" s="27">
        <v>0.95833333333333337</v>
      </c>
      <c r="E269" s="27">
        <v>0.95833333333333337</v>
      </c>
      <c r="F269" s="27"/>
      <c r="G269" s="27"/>
      <c r="H269" s="27"/>
      <c r="I269" s="27"/>
      <c r="J269" s="27"/>
      <c r="K269" s="17"/>
      <c r="L269" s="6"/>
      <c r="M269" s="21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D269" s="6">
        <f>IF((D268&lt;&gt;"")*(D272=""),IF((D268&lt;=$B$441)*((D269&gt;=$C$441)+(D269&lt;2/24)),1,0),0)</f>
        <v>1</v>
      </c>
      <c r="AE269" s="6">
        <f>IF((E268&lt;&gt;"")*(E272=""),IF((E268&lt;=$B$441)*((E269&gt;=$C$441)+(E269&lt;2/24)),1,0),0)</f>
        <v>1</v>
      </c>
      <c r="AF269" s="6">
        <f>IF((F268&lt;&gt;"")*(F272=""),IF((F268&lt;=$B$441)*((F269&gt;=$C$441)+(F269&lt;2/24)),1,0),0)</f>
        <v>0</v>
      </c>
      <c r="AG269" s="6">
        <f>IF((G268&lt;&gt;"")*(G272=""),IF((G268&lt;=$B$441)*((G269&gt;=$C$441)+(G269&lt;2/24)),1,0),0)</f>
        <v>0</v>
      </c>
      <c r="AH269" s="6">
        <f>IF((H268&lt;&gt;"")*(H272=""),IF((H268&lt;=$B$441)*((H269&gt;=$C$441)+(H269&lt;2/24)),1,0),0)</f>
        <v>0</v>
      </c>
      <c r="AI269" s="6">
        <f>IF((I268&lt;&gt;"")*(I272=""),IF((I268&lt;=$B$441)*((I269&gt;=$C$441)+(I269&lt;2/24)),1,0),0)</f>
        <v>0</v>
      </c>
      <c r="AJ269" s="6">
        <f>IF((J268&lt;&gt;"")*(J272=""),IF((J268&lt;=$B$441)*((J269&gt;=$C$441)+(J269&lt;2/24)),1,0),0)</f>
        <v>0</v>
      </c>
    </row>
    <row r="270" spans="1:36" x14ac:dyDescent="0.2">
      <c r="A270" s="39"/>
      <c r="B270" s="40"/>
      <c r="C270" s="15" t="s">
        <v>2</v>
      </c>
      <c r="D270" s="4">
        <v>4.1666666666666664E-2</v>
      </c>
      <c r="E270" s="4">
        <v>4.1666666666666664E-2</v>
      </c>
      <c r="F270" s="4"/>
      <c r="G270" s="4"/>
      <c r="H270" s="4"/>
      <c r="I270" s="4"/>
      <c r="J270" s="4"/>
      <c r="K270" s="17"/>
      <c r="L270" s="6"/>
      <c r="M270" s="21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D270" s="6">
        <f>IF((D268&lt;&gt;"")*(D272=""),IF((D268&lt;=$B$442)*((D269&gt;=$C$442)+(D269&lt;2/24)),1,0),0)</f>
        <v>1</v>
      </c>
      <c r="AE270" s="6">
        <f>IF((E268&lt;&gt;"")*(E272=""),IF((E268&lt;=$B$442)*((E269&gt;=$C$442)+(E269&lt;2/24)),1,0),0)</f>
        <v>1</v>
      </c>
      <c r="AF270" s="6">
        <f>IF((F268&lt;&gt;"")*(F272=""),IF((F268&lt;=$B$442)*((F269&gt;=$C$442)+(F269&lt;2/24)),1,0),0)</f>
        <v>0</v>
      </c>
      <c r="AG270" s="6">
        <f>IF((G268&lt;&gt;"")*(G272=""),IF((G268&lt;=$B$442)*((G269&gt;=$C$442)+(G269&lt;2/24)),1,0),0)</f>
        <v>0</v>
      </c>
      <c r="AH270" s="6">
        <f>IF((H268&lt;&gt;"")*(H272=""),IF((H268&lt;=$B$442)*((H269&gt;=$C$442)+(H269&lt;2/24)),1,0),0)</f>
        <v>0</v>
      </c>
      <c r="AI270" s="6">
        <f>IF((I268&lt;&gt;"")*(I272=""),IF((I268&lt;=$B$442)*((I269&gt;=$C$442)+(I269&lt;2/24)),1,0),0)</f>
        <v>0</v>
      </c>
      <c r="AJ270" s="6">
        <f>IF((J268&lt;&gt;"")*(J272=""),IF((J268&lt;=$B$442)*((J269&gt;=$C$442)+(J269&lt;2/24)),1,0),0)</f>
        <v>0</v>
      </c>
    </row>
    <row r="271" spans="1:36" x14ac:dyDescent="0.2">
      <c r="A271" s="39"/>
      <c r="B271" s="40"/>
      <c r="C271" s="15" t="s">
        <v>3</v>
      </c>
      <c r="D271" s="43">
        <f t="shared" ref="D271:J271" si="144">IF(D268="","",IF(D269&gt;D268,(D269-D268-D270)*24,(1-D268-D270+D269)*24))</f>
        <v>9.0000000000000018</v>
      </c>
      <c r="E271" s="55">
        <f t="shared" si="144"/>
        <v>9.0000000000000018</v>
      </c>
      <c r="F271" s="55" t="str">
        <f t="shared" si="144"/>
        <v/>
      </c>
      <c r="G271" s="43" t="str">
        <f t="shared" si="144"/>
        <v/>
      </c>
      <c r="H271" s="43" t="str">
        <f t="shared" si="144"/>
        <v/>
      </c>
      <c r="I271" s="55"/>
      <c r="J271" s="44" t="str">
        <f t="shared" si="144"/>
        <v/>
      </c>
      <c r="K271" s="18">
        <f>SUMIF(D272:J272,"",D271:J271)</f>
        <v>18.000000000000004</v>
      </c>
      <c r="L271" s="12">
        <f>SUM(D271:J271)</f>
        <v>18.000000000000004</v>
      </c>
      <c r="M271" s="24"/>
      <c r="N271" s="10">
        <f>IF(D272="",D271,0)</f>
        <v>9.0000000000000018</v>
      </c>
      <c r="O271" s="10">
        <f>IF(E272="",E271,0)</f>
        <v>9.0000000000000018</v>
      </c>
      <c r="P271" s="10" t="str">
        <f t="shared" ref="P271" si="145">IF(F272="",F271,0)</f>
        <v/>
      </c>
      <c r="Q271" s="10" t="str">
        <f t="shared" ref="Q271" si="146">IF(G272="",G271,0)</f>
        <v/>
      </c>
      <c r="R271" s="10" t="str">
        <f t="shared" ref="R271" si="147">IF(H272="",H271,0)</f>
        <v/>
      </c>
      <c r="S271" s="10">
        <f t="shared" ref="S271" si="148">IF(I272="",I271,0)</f>
        <v>0</v>
      </c>
      <c r="T271" s="10" t="str">
        <f t="shared" ref="T271" si="149">IF(J272="",J271,0)</f>
        <v/>
      </c>
      <c r="U271" s="10"/>
      <c r="V271" s="10">
        <f>D271</f>
        <v>9.0000000000000018</v>
      </c>
      <c r="W271" s="10">
        <f>E271</f>
        <v>9.0000000000000018</v>
      </c>
      <c r="X271" s="10" t="str">
        <f t="shared" ref="X271" si="150">F271</f>
        <v/>
      </c>
      <c r="Y271" s="10" t="str">
        <f t="shared" ref="Y271" si="151">G271</f>
        <v/>
      </c>
      <c r="Z271" s="10" t="str">
        <f t="shared" ref="Z271" si="152">H271</f>
        <v/>
      </c>
      <c r="AA271" s="10">
        <f t="shared" ref="AA271" si="153">I271</f>
        <v>0</v>
      </c>
      <c r="AB271" s="10" t="str">
        <f t="shared" ref="AB271" si="154">J271</f>
        <v/>
      </c>
      <c r="AD271" s="6">
        <f>IF((D268&lt;&gt;"")*(D272=""),IF((D268&lt;=$B$443)*((D269&gt;=$C$443)+(D269&lt;2/24)),1,0),0)</f>
        <v>1</v>
      </c>
      <c r="AE271" s="6">
        <f>IF((E268&lt;&gt;"")*(E272=""),IF((E268&lt;=$B$443)*((E269&gt;=$C$443)+(E269&lt;2/24)),1,0),0)</f>
        <v>1</v>
      </c>
      <c r="AF271" s="6">
        <f>IF((F268&lt;&gt;"")*(F272=""),IF((F268&lt;=$B$443)*((F269&gt;=$C$443)+(F269&lt;2/24)),1,0),0)</f>
        <v>0</v>
      </c>
      <c r="AG271" s="6">
        <f>IF((G268&lt;&gt;"")*(G272=""),IF((G268&lt;=$B$443)*((G269&gt;=$C$443)+(G269&lt;2/24)),1,0),0)</f>
        <v>0</v>
      </c>
      <c r="AH271" s="6">
        <f>IF((H268&lt;&gt;"")*(H272=""),IF((H268&lt;=$B$443)*((H269&gt;=$C$443)+(H269&lt;2/24)),1,0),0)</f>
        <v>0</v>
      </c>
      <c r="AI271" s="6">
        <f>IF((I268&lt;&gt;"")*(I272=""),IF((I268&lt;=$B$443)*((I269&gt;=$C$443)+(I269&lt;2/24)),1,0),0)</f>
        <v>0</v>
      </c>
      <c r="AJ271" s="6">
        <f>IF((J268&lt;&gt;"")*(J272=""),IF((J268&lt;=$B$443)*((J269&gt;=$C$443)+(J269&lt;2/24)),1,0),0)</f>
        <v>0</v>
      </c>
    </row>
    <row r="272" spans="1:36" x14ac:dyDescent="0.2">
      <c r="A272" s="39"/>
      <c r="B272" s="40"/>
      <c r="C272" s="32" t="s">
        <v>4</v>
      </c>
      <c r="D272" s="33"/>
      <c r="E272" s="33"/>
      <c r="F272" s="33"/>
      <c r="G272" s="33"/>
      <c r="H272" s="33"/>
      <c r="I272" s="33"/>
      <c r="J272" s="33"/>
      <c r="K272" s="17"/>
      <c r="L272" s="6"/>
      <c r="M272" s="25"/>
      <c r="N272" s="6"/>
      <c r="O272" s="6"/>
      <c r="P272" s="6"/>
      <c r="Q272" s="6"/>
      <c r="R272" s="6"/>
      <c r="S272" s="6"/>
      <c r="T272" s="6"/>
      <c r="U272" s="6"/>
      <c r="V272" s="20"/>
      <c r="W272" s="20"/>
      <c r="X272" s="20"/>
      <c r="Y272" s="20"/>
      <c r="Z272" s="20"/>
      <c r="AA272" s="20"/>
      <c r="AB272" s="20"/>
      <c r="AD272" s="6">
        <f>IF((D268&lt;&gt;"")*(D272=""),IF((D268&lt;=$B$444)*((D269&gt;=$C$444)+(D269&lt;2/24)),1,0),0)</f>
        <v>1</v>
      </c>
      <c r="AE272" s="6">
        <f>IF((E268&lt;&gt;"")*(E272=""),IF((E268&lt;=$B$444)*((E269&gt;=$C$444)+(E269&lt;2/24)),1,0),0)</f>
        <v>1</v>
      </c>
      <c r="AF272" s="6">
        <f>IF((F268&lt;&gt;"")*(F272=""),IF((F268&lt;=$B$444)*((F269&gt;=$C$444)+(F269&lt;2/24)),1,0),0)</f>
        <v>0</v>
      </c>
      <c r="AG272" s="6">
        <f>IF((G268&lt;&gt;"")*(G272=""),IF((G268&lt;=$B$444)*((G269&gt;=$C$444)+(G269&lt;2/24)),1,0),0)</f>
        <v>0</v>
      </c>
      <c r="AH272" s="6">
        <f>IF((H268&lt;&gt;"")*(H272=""),IF((H268&lt;=$B$444)*((H269&gt;=$C$444)+(H269&lt;2/24)),1,0),0)</f>
        <v>0</v>
      </c>
      <c r="AI272" s="6">
        <f>IF((I268&lt;&gt;"")*(I272=""),IF((I268&lt;=$B$444)*((I269&gt;=$C$444)+(I269&lt;2/24)),1,0),0)</f>
        <v>0</v>
      </c>
      <c r="AJ272" s="6">
        <f>IF((J268&lt;&gt;"")*(J272=""),IF((J268&lt;=$B$444)*((J269&gt;=$C$444)+(J269&lt;2/24)),1,0),0)</f>
        <v>0</v>
      </c>
    </row>
    <row r="273" spans="1:36" ht="13.5" thickBot="1" x14ac:dyDescent="0.25">
      <c r="A273" s="41"/>
      <c r="B273" s="42"/>
      <c r="C273" s="35" t="s">
        <v>28</v>
      </c>
      <c r="D273" s="54"/>
      <c r="E273" s="36"/>
      <c r="F273" s="36"/>
      <c r="G273" s="36"/>
      <c r="H273" s="36"/>
      <c r="I273" s="36"/>
      <c r="J273" s="36"/>
      <c r="K273" s="34"/>
      <c r="L273" s="6"/>
      <c r="M273" s="25"/>
      <c r="N273" s="6"/>
      <c r="O273" s="6"/>
      <c r="P273" s="6"/>
      <c r="Q273" s="6"/>
      <c r="R273" s="6"/>
      <c r="S273" s="6"/>
      <c r="T273" s="6"/>
      <c r="U273" s="6"/>
      <c r="V273" s="20"/>
      <c r="W273" s="20"/>
      <c r="X273" s="20"/>
      <c r="Y273" s="20"/>
      <c r="Z273" s="20"/>
      <c r="AA273" s="20"/>
      <c r="AB273" s="20"/>
      <c r="AD273" s="6"/>
      <c r="AE273" s="6"/>
      <c r="AF273" s="6"/>
      <c r="AG273" s="6"/>
      <c r="AH273" s="6"/>
      <c r="AI273" s="6"/>
      <c r="AJ273" s="6"/>
    </row>
    <row r="274" spans="1:36" x14ac:dyDescent="0.2">
      <c r="A274" s="37" t="s">
        <v>84</v>
      </c>
      <c r="B274" s="38" t="s">
        <v>85</v>
      </c>
      <c r="C274" s="14" t="s">
        <v>0</v>
      </c>
      <c r="D274" s="26"/>
      <c r="E274" s="26"/>
      <c r="F274" s="26"/>
      <c r="G274" s="26"/>
      <c r="H274" s="26"/>
      <c r="I274" s="26"/>
      <c r="J274" s="26"/>
      <c r="K274" s="16"/>
      <c r="L274" s="6"/>
      <c r="M274" s="21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D274" s="6">
        <f>IF((D274&lt;&gt;"")*(D278=""),IF((D274&lt;=$B$440)*((D275&gt;=$C$440)+(D275&lt;2/24)),1,0),0)</f>
        <v>0</v>
      </c>
      <c r="AE274" s="6">
        <f>IF((E274&lt;&gt;"")*(E278=""),IF((E274&lt;=$B$440)*((E275&gt;=$C$440)+(E275&lt;2/24)),1,0),0)</f>
        <v>0</v>
      </c>
      <c r="AF274" s="6">
        <f>IF((F274&lt;&gt;"")*(F278=""),IF((F274&lt;=$B$440)*((F275&gt;=$C$440)+(F275&lt;2/24)),1,0),0)</f>
        <v>0</v>
      </c>
      <c r="AG274" s="6">
        <f>IF((G274&lt;&gt;"")*(G278=""),IF((G274&lt;=$B$440)*((G275&gt;=$C$440)+(G275&lt;2/24)),1,0),0)</f>
        <v>0</v>
      </c>
      <c r="AH274" s="6">
        <f>IF((H274&lt;&gt;"")*(H278=""),IF((H274&lt;=$B$440)*((H275&gt;=$C$440)+(H275&lt;2/24)),1,0),0)</f>
        <v>0</v>
      </c>
      <c r="AI274" s="6">
        <f>IF((I274&lt;&gt;"")*(I278=""),IF((I274&lt;=$B$440)*((I275&gt;=$C$440)+(I275&lt;2/24)),1,0),0)</f>
        <v>0</v>
      </c>
      <c r="AJ274" s="6">
        <f>IF((J274&lt;&gt;"")*(J278=""),IF((J274&lt;=$B$440)*((J275&gt;=$C$440)+(J275&lt;2/24)),1,0),0)</f>
        <v>0</v>
      </c>
    </row>
    <row r="275" spans="1:36" x14ac:dyDescent="0.2">
      <c r="A275" s="39"/>
      <c r="B275" s="40"/>
      <c r="C275" s="15" t="s">
        <v>1</v>
      </c>
      <c r="D275" s="27"/>
      <c r="E275" s="27"/>
      <c r="F275" s="27"/>
      <c r="G275" s="27"/>
      <c r="H275" s="27"/>
      <c r="I275" s="27"/>
      <c r="J275" s="27"/>
      <c r="K275" s="17"/>
      <c r="L275" s="6"/>
      <c r="M275" s="21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D275" s="6">
        <f>IF((D274&lt;&gt;"")*(D278=""),IF((D274&lt;=$B$441)*((D275&gt;=$C$441)+(D275&lt;2/24)),1,0),0)</f>
        <v>0</v>
      </c>
      <c r="AE275" s="6">
        <f>IF((E274&lt;&gt;"")*(E278=""),IF((E274&lt;=$B$441)*((E275&gt;=$C$441)+(E275&lt;2/24)),1,0),0)</f>
        <v>0</v>
      </c>
      <c r="AF275" s="6">
        <f>IF((F274&lt;&gt;"")*(F278=""),IF((F274&lt;=$B$441)*((F275&gt;=$C$441)+(F275&lt;2/24)),1,0),0)</f>
        <v>0</v>
      </c>
      <c r="AG275" s="6">
        <f>IF((G274&lt;&gt;"")*(G278=""),IF((G274&lt;=$B$441)*((G275&gt;=$C$441)+(G275&lt;2/24)),1,0),0)</f>
        <v>0</v>
      </c>
      <c r="AH275" s="6">
        <f>IF((H274&lt;&gt;"")*(H278=""),IF((H274&lt;=$B$441)*((H275&gt;=$C$441)+(H275&lt;2/24)),1,0),0)</f>
        <v>0</v>
      </c>
      <c r="AI275" s="6">
        <f>IF((I274&lt;&gt;"")*(I278=""),IF((I274&lt;=$B$441)*((I275&gt;=$C$441)+(I275&lt;2/24)),1,0),0)</f>
        <v>0</v>
      </c>
      <c r="AJ275" s="6">
        <f>IF((J274&lt;&gt;"")*(J278=""),IF((J274&lt;=$B$441)*((J275&gt;=$C$441)+(J275&lt;2/24)),1,0),0)</f>
        <v>0</v>
      </c>
    </row>
    <row r="276" spans="1:36" x14ac:dyDescent="0.2">
      <c r="A276" s="39"/>
      <c r="B276" s="40"/>
      <c r="C276" s="15" t="s">
        <v>2</v>
      </c>
      <c r="D276" s="4"/>
      <c r="E276" s="4"/>
      <c r="F276" s="4"/>
      <c r="G276" s="4"/>
      <c r="H276" s="4"/>
      <c r="I276" s="4"/>
      <c r="J276" s="4"/>
      <c r="K276" s="17"/>
      <c r="L276" s="6"/>
      <c r="M276" s="21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D276" s="6">
        <f>IF((D274&lt;&gt;"")*(D278=""),IF((D274&lt;=$B$442)*((D275&gt;=$C$442)+(D275&lt;2/24)),1,0),0)</f>
        <v>0</v>
      </c>
      <c r="AE276" s="6">
        <f>IF((E274&lt;&gt;"")*(E278=""),IF((E274&lt;=$B$442)*((E275&gt;=$C$442)+(E275&lt;2/24)),1,0),0)</f>
        <v>0</v>
      </c>
      <c r="AF276" s="6">
        <f>IF((F274&lt;&gt;"")*(F278=""),IF((F274&lt;=$B$442)*((F275&gt;=$C$442)+(F275&lt;2/24)),1,0),0)</f>
        <v>0</v>
      </c>
      <c r="AG276" s="6">
        <f>IF((G274&lt;&gt;"")*(G278=""),IF((G274&lt;=$B$442)*((G275&gt;=$C$442)+(G275&lt;2/24)),1,0),0)</f>
        <v>0</v>
      </c>
      <c r="AH276" s="6">
        <f>IF((H274&lt;&gt;"")*(H278=""),IF((H274&lt;=$B$442)*((H275&gt;=$C$442)+(H275&lt;2/24)),1,0),0)</f>
        <v>0</v>
      </c>
      <c r="AI276" s="6">
        <f>IF((I274&lt;&gt;"")*(I278=""),IF((I274&lt;=$B$442)*((I275&gt;=$C$442)+(I275&lt;2/24)),1,0),0)</f>
        <v>0</v>
      </c>
      <c r="AJ276" s="6">
        <f>IF((J274&lt;&gt;"")*(J278=""),IF((J274&lt;=$B$442)*((J275&gt;=$C$442)+(J275&lt;2/24)),1,0),0)</f>
        <v>0</v>
      </c>
    </row>
    <row r="277" spans="1:36" x14ac:dyDescent="0.2">
      <c r="A277" s="39"/>
      <c r="B277" s="40"/>
      <c r="C277" s="15" t="s">
        <v>3</v>
      </c>
      <c r="D277" s="43" t="str">
        <f t="shared" ref="D277:J277" si="155">IF(D274="","",IF(D275&gt;D274,(D275-D274-D276)*24,(1-D274-D276+D275)*24))</f>
        <v/>
      </c>
      <c r="E277" s="43" t="str">
        <f t="shared" si="155"/>
        <v/>
      </c>
      <c r="F277" s="43" t="str">
        <f t="shared" si="155"/>
        <v/>
      </c>
      <c r="G277" s="43" t="str">
        <f t="shared" si="155"/>
        <v/>
      </c>
      <c r="H277" s="43" t="str">
        <f t="shared" si="155"/>
        <v/>
      </c>
      <c r="I277" s="55" t="str">
        <f t="shared" si="155"/>
        <v/>
      </c>
      <c r="J277" s="44" t="str">
        <f t="shared" si="155"/>
        <v/>
      </c>
      <c r="K277" s="18">
        <f>SUMIF(D278:J278,"",D277:J277)</f>
        <v>0</v>
      </c>
      <c r="L277" s="12">
        <f>SUM(D277:J277)</f>
        <v>0</v>
      </c>
      <c r="M277" s="24"/>
      <c r="N277" s="10" t="str">
        <f>IF(D278="",D277,0)</f>
        <v/>
      </c>
      <c r="O277" s="10" t="str">
        <f>IF(E278="",E277,0)</f>
        <v/>
      </c>
      <c r="P277" s="10" t="str">
        <f t="shared" ref="P277" si="156">IF(F278="",F277,0)</f>
        <v/>
      </c>
      <c r="Q277" s="10" t="str">
        <f t="shared" ref="Q277" si="157">IF(G278="",G277,0)</f>
        <v/>
      </c>
      <c r="R277" s="10" t="str">
        <f t="shared" ref="R277" si="158">IF(H278="",H277,0)</f>
        <v/>
      </c>
      <c r="S277" s="10" t="str">
        <f t="shared" ref="S277" si="159">IF(I278="",I277,0)</f>
        <v/>
      </c>
      <c r="T277" s="10" t="str">
        <f t="shared" ref="T277" si="160">IF(J278="",J277,0)</f>
        <v/>
      </c>
      <c r="U277" s="10"/>
      <c r="V277" s="10" t="str">
        <f>D277</f>
        <v/>
      </c>
      <c r="W277" s="10" t="str">
        <f>E277</f>
        <v/>
      </c>
      <c r="X277" s="10" t="str">
        <f t="shared" ref="X277" si="161">F277</f>
        <v/>
      </c>
      <c r="Y277" s="10" t="str">
        <f t="shared" ref="Y277" si="162">G277</f>
        <v/>
      </c>
      <c r="Z277" s="10" t="str">
        <f t="shared" ref="Z277" si="163">H277</f>
        <v/>
      </c>
      <c r="AA277" s="10" t="str">
        <f t="shared" ref="AA277" si="164">I277</f>
        <v/>
      </c>
      <c r="AB277" s="10" t="str">
        <f t="shared" ref="AB277" si="165">J277</f>
        <v/>
      </c>
      <c r="AD277" s="6">
        <f>IF((D274&lt;&gt;"")*(D278=""),IF((D274&lt;=$B$443)*((D275&gt;=$C$443)+(D275&lt;2/24)),1,0),0)</f>
        <v>0</v>
      </c>
      <c r="AE277" s="6">
        <f>IF((E274&lt;&gt;"")*(E278=""),IF((E274&lt;=$B$443)*((E275&gt;=$C$443)+(E275&lt;2/24)),1,0),0)</f>
        <v>0</v>
      </c>
      <c r="AF277" s="6">
        <f>IF((F274&lt;&gt;"")*(F278=""),IF((F274&lt;=$B$443)*((F275&gt;=$C$443)+(F275&lt;2/24)),1,0),0)</f>
        <v>0</v>
      </c>
      <c r="AG277" s="6">
        <f>IF((G274&lt;&gt;"")*(G278=""),IF((G274&lt;=$B$443)*((G275&gt;=$C$443)+(G275&lt;2/24)),1,0),0)</f>
        <v>0</v>
      </c>
      <c r="AH277" s="6">
        <f>IF((H274&lt;&gt;"")*(H278=""),IF((H274&lt;=$B$443)*((H275&gt;=$C$443)+(H275&lt;2/24)),1,0),0)</f>
        <v>0</v>
      </c>
      <c r="AI277" s="6">
        <f>IF((I274&lt;&gt;"")*(I278=""),IF((I274&lt;=$B$443)*((I275&gt;=$C$443)+(I275&lt;2/24)),1,0),0)</f>
        <v>0</v>
      </c>
      <c r="AJ277" s="6">
        <f>IF((J274&lt;&gt;"")*(J278=""),IF((J274&lt;=$B$443)*((J275&gt;=$C$443)+(J275&lt;2/24)),1,0),0)</f>
        <v>0</v>
      </c>
    </row>
    <row r="278" spans="1:36" x14ac:dyDescent="0.2">
      <c r="A278" s="39"/>
      <c r="B278" s="40"/>
      <c r="C278" s="32" t="s">
        <v>4</v>
      </c>
      <c r="D278" s="33"/>
      <c r="E278" s="33"/>
      <c r="F278" s="33"/>
      <c r="G278" s="33"/>
      <c r="H278" s="33"/>
      <c r="I278" s="33"/>
      <c r="J278" s="33"/>
      <c r="K278" s="17"/>
      <c r="L278" s="6"/>
      <c r="M278" s="25"/>
      <c r="N278" s="6"/>
      <c r="O278" s="6"/>
      <c r="P278" s="6"/>
      <c r="Q278" s="6"/>
      <c r="R278" s="6"/>
      <c r="S278" s="6"/>
      <c r="T278" s="6"/>
      <c r="U278" s="6"/>
      <c r="V278" s="20"/>
      <c r="W278" s="20"/>
      <c r="X278" s="20"/>
      <c r="Y278" s="20"/>
      <c r="Z278" s="20"/>
      <c r="AA278" s="20"/>
      <c r="AB278" s="20"/>
      <c r="AD278" s="6">
        <f>IF((D274&lt;&gt;"")*(D278=""),IF((D274&lt;=$B$444)*((D275&gt;=$C$444)+(D275&lt;2/24)),1,0),0)</f>
        <v>0</v>
      </c>
      <c r="AE278" s="6">
        <f>IF((E274&lt;&gt;"")*(E278=""),IF((E274&lt;=$B$444)*((E275&gt;=$C$444)+(E275&lt;2/24)),1,0),0)</f>
        <v>0</v>
      </c>
      <c r="AF278" s="6">
        <f>IF((F274&lt;&gt;"")*(F278=""),IF((F274&lt;=$B$444)*((F275&gt;=$C$444)+(F275&lt;2/24)),1,0),0)</f>
        <v>0</v>
      </c>
      <c r="AG278" s="6">
        <f>IF((G274&lt;&gt;"")*(G278=""),IF((G274&lt;=$B$444)*((G275&gt;=$C$444)+(G275&lt;2/24)),1,0),0)</f>
        <v>0</v>
      </c>
      <c r="AH278" s="6">
        <f>IF((H274&lt;&gt;"")*(H278=""),IF((H274&lt;=$B$444)*((H275&gt;=$C$444)+(H275&lt;2/24)),1,0),0)</f>
        <v>0</v>
      </c>
      <c r="AI278" s="6">
        <f>IF((I274&lt;&gt;"")*(I278=""),IF((I274&lt;=$B$444)*((I275&gt;=$C$444)+(I275&lt;2/24)),1,0),0)</f>
        <v>0</v>
      </c>
      <c r="AJ278" s="6">
        <f>IF((J274&lt;&gt;"")*(J278=""),IF((J274&lt;=$B$444)*((J275&gt;=$C$444)+(J275&lt;2/24)),1,0),0)</f>
        <v>0</v>
      </c>
    </row>
    <row r="279" spans="1:36" ht="13.5" thickBot="1" x14ac:dyDescent="0.25">
      <c r="A279" s="41"/>
      <c r="B279" s="42"/>
      <c r="C279" s="35" t="s">
        <v>28</v>
      </c>
      <c r="D279" s="54"/>
      <c r="E279" s="36"/>
      <c r="F279" s="36"/>
      <c r="G279" s="36"/>
      <c r="H279" s="36"/>
      <c r="I279" s="36"/>
      <c r="J279" s="36"/>
      <c r="K279" s="34"/>
      <c r="L279" s="6"/>
      <c r="M279" s="25"/>
      <c r="N279" s="6"/>
      <c r="O279" s="6"/>
      <c r="P279" s="6"/>
      <c r="Q279" s="6"/>
      <c r="R279" s="6"/>
      <c r="S279" s="6"/>
      <c r="T279" s="6"/>
      <c r="U279" s="6"/>
      <c r="V279" s="20"/>
      <c r="W279" s="20"/>
      <c r="X279" s="20"/>
      <c r="Y279" s="20"/>
      <c r="Z279" s="20"/>
      <c r="AA279" s="20"/>
      <c r="AB279" s="20"/>
      <c r="AD279" s="6"/>
      <c r="AE279" s="6"/>
      <c r="AF279" s="6"/>
      <c r="AG279" s="6"/>
      <c r="AH279" s="6"/>
      <c r="AI279" s="6"/>
      <c r="AJ279" s="6"/>
    </row>
    <row r="280" spans="1:36" x14ac:dyDescent="0.2">
      <c r="A280" s="37" t="s">
        <v>95</v>
      </c>
      <c r="B280" s="38" t="s">
        <v>96</v>
      </c>
      <c r="C280" s="14" t="s">
        <v>0</v>
      </c>
      <c r="D280" s="26"/>
      <c r="E280" s="26"/>
      <c r="F280" s="26"/>
      <c r="G280" s="26"/>
      <c r="H280" s="26"/>
      <c r="I280" s="26"/>
      <c r="J280" s="26"/>
      <c r="K280" s="16"/>
      <c r="L280" s="6"/>
      <c r="M280" s="21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D280" s="6">
        <f>IF((D280&lt;&gt;"")*(D284=""),IF((D280&lt;=$B$440)*((D281&gt;=$C$440)+(D281&lt;2/24)),1,0),0)</f>
        <v>0</v>
      </c>
      <c r="AE280" s="6">
        <f>IF((E280&lt;&gt;"")*(E284=""),IF((E280&lt;=$B$440)*((E281&gt;=$C$440)+(E281&lt;2/24)),1,0),0)</f>
        <v>0</v>
      </c>
      <c r="AF280" s="6">
        <f>IF((F280&lt;&gt;"")*(F284=""),IF((F280&lt;=$B$440)*((F281&gt;=$C$440)+(F281&lt;2/24)),1,0),0)</f>
        <v>0</v>
      </c>
      <c r="AG280" s="6">
        <f>IF((G280&lt;&gt;"")*(G284=""),IF((G280&lt;=$B$440)*((G281&gt;=$C$440)+(G281&lt;2/24)),1,0),0)</f>
        <v>0</v>
      </c>
      <c r="AH280" s="6">
        <f>IF((H280&lt;&gt;"")*(H284=""),IF((H280&lt;=$B$440)*((H281&gt;=$C$440)+(H281&lt;2/24)),1,0),0)</f>
        <v>0</v>
      </c>
      <c r="AI280" s="6">
        <f>IF((I280&lt;&gt;"")*(I284=""),IF((I280&lt;=$B$440)*((I281&gt;=$C$440)+(I281&lt;2/24)),1,0),0)</f>
        <v>0</v>
      </c>
      <c r="AJ280" s="6">
        <f>IF((J280&lt;&gt;"")*(J284=""),IF((J280&lt;=$B$440)*((J281&gt;=$C$440)+(J281&lt;2/24)),1,0),0)</f>
        <v>0</v>
      </c>
    </row>
    <row r="281" spans="1:36" x14ac:dyDescent="0.2">
      <c r="A281" s="39"/>
      <c r="B281" s="40"/>
      <c r="C281" s="15" t="s">
        <v>1</v>
      </c>
      <c r="D281" s="27"/>
      <c r="E281" s="27"/>
      <c r="F281" s="27"/>
      <c r="G281" s="27"/>
      <c r="H281" s="27"/>
      <c r="I281" s="27"/>
      <c r="J281" s="27"/>
      <c r="K281" s="17"/>
      <c r="L281" s="6"/>
      <c r="M281" s="21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D281" s="6">
        <f>IF((D280&lt;&gt;"")*(D284=""),IF((D280&lt;=$B$441)*((D281&gt;=$C$441)+(D281&lt;2/24)),1,0),0)</f>
        <v>0</v>
      </c>
      <c r="AE281" s="6">
        <f>IF((E280&lt;&gt;"")*(E284=""),IF((E280&lt;=$B$441)*((E281&gt;=$C$441)+(E281&lt;2/24)),1,0),0)</f>
        <v>0</v>
      </c>
      <c r="AF281" s="6">
        <f>IF((F280&lt;&gt;"")*(F284=""),IF((F280&lt;=$B$441)*((F281&gt;=$C$441)+(F281&lt;2/24)),1,0),0)</f>
        <v>0</v>
      </c>
      <c r="AG281" s="6">
        <f>IF((G280&lt;&gt;"")*(G284=""),IF((G280&lt;=$B$441)*((G281&gt;=$C$441)+(G281&lt;2/24)),1,0),0)</f>
        <v>0</v>
      </c>
      <c r="AH281" s="6">
        <f>IF((H280&lt;&gt;"")*(H284=""),IF((H280&lt;=$B$441)*((H281&gt;=$C$441)+(H281&lt;2/24)),1,0),0)</f>
        <v>0</v>
      </c>
      <c r="AI281" s="6">
        <f>IF((I280&lt;&gt;"")*(I284=""),IF((I280&lt;=$B$441)*((I281&gt;=$C$441)+(I281&lt;2/24)),1,0),0)</f>
        <v>0</v>
      </c>
      <c r="AJ281" s="6">
        <f>IF((J280&lt;&gt;"")*(J284=""),IF((J280&lt;=$B$441)*((J281&gt;=$C$441)+(J281&lt;2/24)),1,0),0)</f>
        <v>0</v>
      </c>
    </row>
    <row r="282" spans="1:36" x14ac:dyDescent="0.2">
      <c r="A282" s="39"/>
      <c r="B282" s="40"/>
      <c r="C282" s="15" t="s">
        <v>2</v>
      </c>
      <c r="D282" s="4"/>
      <c r="E282" s="4"/>
      <c r="F282" s="4"/>
      <c r="G282" s="4"/>
      <c r="H282" s="4"/>
      <c r="I282" s="4"/>
      <c r="J282" s="4"/>
      <c r="K282" s="17"/>
      <c r="L282" s="6"/>
      <c r="M282" s="21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D282" s="6">
        <f>IF((D280&lt;&gt;"")*(D284=""),IF((D280&lt;=$B$442)*((D281&gt;=$C$442)+(D281&lt;2/24)),1,0),0)</f>
        <v>0</v>
      </c>
      <c r="AE282" s="6">
        <f>IF((E280&lt;&gt;"")*(E284=""),IF((E280&lt;=$B$442)*((E281&gt;=$C$442)+(E281&lt;2/24)),1,0),0)</f>
        <v>0</v>
      </c>
      <c r="AF282" s="6">
        <f>IF((F280&lt;&gt;"")*(F284=""),IF((F280&lt;=$B$442)*((F281&gt;=$C$442)+(F281&lt;2/24)),1,0),0)</f>
        <v>0</v>
      </c>
      <c r="AG282" s="6">
        <f>IF((G280&lt;&gt;"")*(G284=""),IF((G280&lt;=$B$442)*((G281&gt;=$C$442)+(G281&lt;2/24)),1,0),0)</f>
        <v>0</v>
      </c>
      <c r="AH282" s="6">
        <f>IF((H280&lt;&gt;"")*(H284=""),IF((H280&lt;=$B$442)*((H281&gt;=$C$442)+(H281&lt;2/24)),1,0),0)</f>
        <v>0</v>
      </c>
      <c r="AI282" s="6">
        <f>IF((I280&lt;&gt;"")*(I284=""),IF((I280&lt;=$B$442)*((I281&gt;=$C$442)+(I281&lt;2/24)),1,0),0)</f>
        <v>0</v>
      </c>
      <c r="AJ282" s="6">
        <f>IF((J280&lt;&gt;"")*(J284=""),IF((J280&lt;=$B$442)*((J281&gt;=$C$442)+(J281&lt;2/24)),1,0),0)</f>
        <v>0</v>
      </c>
    </row>
    <row r="283" spans="1:36" x14ac:dyDescent="0.2">
      <c r="A283" s="39"/>
      <c r="B283" s="40"/>
      <c r="C283" s="15" t="s">
        <v>3</v>
      </c>
      <c r="D283" s="43" t="str">
        <f t="shared" ref="D283:J283" si="166">IF(D280="","",IF(D281&gt;D280,(D281-D280-D282)*24,(1-D280-D282+D281)*24))</f>
        <v/>
      </c>
      <c r="E283" s="43" t="str">
        <f t="shared" si="166"/>
        <v/>
      </c>
      <c r="F283" s="43" t="str">
        <f t="shared" si="166"/>
        <v/>
      </c>
      <c r="G283" s="43" t="str">
        <f t="shared" si="166"/>
        <v/>
      </c>
      <c r="H283" s="43" t="str">
        <f t="shared" si="166"/>
        <v/>
      </c>
      <c r="I283" s="55" t="str">
        <f t="shared" si="166"/>
        <v/>
      </c>
      <c r="J283" s="44" t="str">
        <f t="shared" si="166"/>
        <v/>
      </c>
      <c r="K283" s="18">
        <f>SUMIF(D284:J284,"",D283:J283)</f>
        <v>0</v>
      </c>
      <c r="L283" s="12">
        <f>SUM(D283:J283)</f>
        <v>0</v>
      </c>
      <c r="M283" s="24"/>
      <c r="N283" s="10" t="str">
        <f>IF(D284="",D283,0)</f>
        <v/>
      </c>
      <c r="O283" s="10" t="str">
        <f>IF(E284="",E283,0)</f>
        <v/>
      </c>
      <c r="P283" s="10" t="str">
        <f t="shared" ref="P283" si="167">IF(F284="",F283,0)</f>
        <v/>
      </c>
      <c r="Q283" s="10" t="str">
        <f t="shared" ref="Q283" si="168">IF(G284="",G283,0)</f>
        <v/>
      </c>
      <c r="R283" s="10" t="str">
        <f t="shared" ref="R283" si="169">IF(H284="",H283,0)</f>
        <v/>
      </c>
      <c r="S283" s="10" t="str">
        <f t="shared" ref="S283" si="170">IF(I284="",I283,0)</f>
        <v/>
      </c>
      <c r="T283" s="10" t="str">
        <f t="shared" ref="T283" si="171">IF(J284="",J283,0)</f>
        <v/>
      </c>
      <c r="U283" s="10"/>
      <c r="V283" s="10" t="str">
        <f>D283</f>
        <v/>
      </c>
      <c r="W283" s="10" t="str">
        <f>E283</f>
        <v/>
      </c>
      <c r="X283" s="10" t="str">
        <f t="shared" ref="X283" si="172">F283</f>
        <v/>
      </c>
      <c r="Y283" s="10" t="str">
        <f t="shared" ref="Y283" si="173">G283</f>
        <v/>
      </c>
      <c r="Z283" s="10" t="str">
        <f t="shared" ref="Z283" si="174">H283</f>
        <v/>
      </c>
      <c r="AA283" s="10" t="str">
        <f t="shared" ref="AA283" si="175">I283</f>
        <v/>
      </c>
      <c r="AB283" s="10" t="str">
        <f t="shared" ref="AB283" si="176">J283</f>
        <v/>
      </c>
      <c r="AD283" s="6">
        <f>IF((D280&lt;&gt;"")*(D284=""),IF((D280&lt;=$B$443)*((D281&gt;=$C$443)+(D281&lt;2/24)),1,0),0)</f>
        <v>0</v>
      </c>
      <c r="AE283" s="6">
        <f>IF((E280&lt;&gt;"")*(E284=""),IF((E280&lt;=$B$443)*((E281&gt;=$C$443)+(E281&lt;2/24)),1,0),0)</f>
        <v>0</v>
      </c>
      <c r="AF283" s="6">
        <f>IF((F280&lt;&gt;"")*(F284=""),IF((F280&lt;=$B$443)*((F281&gt;=$C$443)+(F281&lt;2/24)),1,0),0)</f>
        <v>0</v>
      </c>
      <c r="AG283" s="6">
        <f>IF((G280&lt;&gt;"")*(G284=""),IF((G280&lt;=$B$443)*((G281&gt;=$C$443)+(G281&lt;2/24)),1,0),0)</f>
        <v>0</v>
      </c>
      <c r="AH283" s="6">
        <f>IF((H280&lt;&gt;"")*(H284=""),IF((H280&lt;=$B$443)*((H281&gt;=$C$443)+(H281&lt;2/24)),1,0),0)</f>
        <v>0</v>
      </c>
      <c r="AI283" s="6">
        <f>IF((I280&lt;&gt;"")*(I284=""),IF((I280&lt;=$B$443)*((I281&gt;=$C$443)+(I281&lt;2/24)),1,0),0)</f>
        <v>0</v>
      </c>
      <c r="AJ283" s="6">
        <f>IF((J280&lt;&gt;"")*(J284=""),IF((J280&lt;=$B$443)*((J281&gt;=$C$443)+(J281&lt;2/24)),1,0),0)</f>
        <v>0</v>
      </c>
    </row>
    <row r="284" spans="1:36" x14ac:dyDescent="0.2">
      <c r="A284" s="39"/>
      <c r="B284" s="40"/>
      <c r="C284" s="32" t="s">
        <v>4</v>
      </c>
      <c r="D284" s="33"/>
      <c r="E284" s="33"/>
      <c r="F284" s="33"/>
      <c r="G284" s="33"/>
      <c r="H284" s="33"/>
      <c r="I284" s="33"/>
      <c r="J284" s="33"/>
      <c r="K284" s="17"/>
      <c r="L284" s="6"/>
      <c r="M284" s="25"/>
      <c r="N284" s="6"/>
      <c r="O284" s="6"/>
      <c r="P284" s="6"/>
      <c r="Q284" s="6"/>
      <c r="R284" s="6"/>
      <c r="S284" s="6"/>
      <c r="T284" s="6"/>
      <c r="U284" s="6"/>
      <c r="V284" s="20"/>
      <c r="W284" s="20"/>
      <c r="X284" s="20"/>
      <c r="Y284" s="20"/>
      <c r="Z284" s="20"/>
      <c r="AA284" s="20"/>
      <c r="AB284" s="20"/>
      <c r="AD284" s="6">
        <f>IF((D280&lt;&gt;"")*(D284=""),IF((D280&lt;=$B$444)*((D281&gt;=$C$444)+(D281&lt;2/24)),1,0),0)</f>
        <v>0</v>
      </c>
      <c r="AE284" s="6">
        <f>IF((E280&lt;&gt;"")*(E284=""),IF((E280&lt;=$B$444)*((E281&gt;=$C$444)+(E281&lt;2/24)),1,0),0)</f>
        <v>0</v>
      </c>
      <c r="AF284" s="6">
        <f>IF((F280&lt;&gt;"")*(F284=""),IF((F280&lt;=$B$444)*((F281&gt;=$C$444)+(F281&lt;2/24)),1,0),0)</f>
        <v>0</v>
      </c>
      <c r="AG284" s="6">
        <f>IF((G280&lt;&gt;"")*(G284=""),IF((G280&lt;=$B$444)*((G281&gt;=$C$444)+(G281&lt;2/24)),1,0),0)</f>
        <v>0</v>
      </c>
      <c r="AH284" s="6">
        <f>IF((H280&lt;&gt;"")*(H284=""),IF((H280&lt;=$B$444)*((H281&gt;=$C$444)+(H281&lt;2/24)),1,0),0)</f>
        <v>0</v>
      </c>
      <c r="AI284" s="6">
        <f>IF((I280&lt;&gt;"")*(I284=""),IF((I280&lt;=$B$444)*((I281&gt;=$C$444)+(I281&lt;2/24)),1,0),0)</f>
        <v>0</v>
      </c>
      <c r="AJ284" s="6">
        <f>IF((J280&lt;&gt;"")*(J284=""),IF((J280&lt;=$B$444)*((J281&gt;=$C$444)+(J281&lt;2/24)),1,0),0)</f>
        <v>0</v>
      </c>
    </row>
    <row r="285" spans="1:36" ht="13.5" thickBot="1" x14ac:dyDescent="0.25">
      <c r="A285" s="41"/>
      <c r="B285" s="42"/>
      <c r="C285" s="35" t="s">
        <v>28</v>
      </c>
      <c r="D285" s="93"/>
      <c r="E285" s="93"/>
      <c r="F285" s="93"/>
      <c r="G285" s="93"/>
      <c r="H285" s="93"/>
      <c r="I285" s="93"/>
      <c r="J285" s="93"/>
      <c r="K285" s="94"/>
      <c r="L285" s="6"/>
      <c r="M285" s="25"/>
      <c r="N285" s="6"/>
      <c r="O285" s="6"/>
      <c r="P285" s="6"/>
      <c r="Q285" s="6"/>
      <c r="R285" s="6"/>
      <c r="S285" s="6"/>
      <c r="T285" s="6"/>
      <c r="U285" s="6"/>
      <c r="V285" s="20"/>
      <c r="W285" s="20"/>
      <c r="X285" s="20"/>
      <c r="Y285" s="20"/>
      <c r="Z285" s="20"/>
      <c r="AA285" s="20"/>
      <c r="AB285" s="20"/>
      <c r="AD285" s="6"/>
      <c r="AE285" s="6"/>
      <c r="AF285" s="6"/>
      <c r="AG285" s="6"/>
      <c r="AH285" s="6"/>
      <c r="AI285" s="6"/>
      <c r="AJ285" s="6"/>
    </row>
    <row r="286" spans="1:36" x14ac:dyDescent="0.2">
      <c r="A286" s="37" t="s">
        <v>103</v>
      </c>
      <c r="B286" s="38" t="s">
        <v>104</v>
      </c>
      <c r="C286" s="14" t="s">
        <v>0</v>
      </c>
      <c r="D286" s="26"/>
      <c r="E286" s="26"/>
      <c r="F286" s="26"/>
      <c r="G286" s="26"/>
      <c r="H286" s="26"/>
      <c r="I286" s="26"/>
      <c r="J286" s="26"/>
      <c r="K286" s="16"/>
      <c r="L286" s="6"/>
      <c r="M286" s="25"/>
      <c r="N286" s="6"/>
      <c r="O286" s="6"/>
      <c r="P286" s="6"/>
      <c r="Q286" s="6"/>
      <c r="R286" s="6"/>
      <c r="S286" s="6"/>
      <c r="T286" s="6"/>
      <c r="U286" s="6"/>
      <c r="V286" s="20"/>
      <c r="W286" s="20"/>
      <c r="X286" s="20"/>
      <c r="Y286" s="20"/>
      <c r="Z286" s="20"/>
      <c r="AA286" s="20"/>
      <c r="AB286" s="20"/>
      <c r="AD286" s="6"/>
      <c r="AE286" s="6"/>
      <c r="AF286" s="6"/>
      <c r="AG286" s="6"/>
      <c r="AH286" s="6"/>
      <c r="AI286" s="6"/>
      <c r="AJ286" s="6"/>
    </row>
    <row r="287" spans="1:36" x14ac:dyDescent="0.2">
      <c r="A287" s="39"/>
      <c r="B287" s="40"/>
      <c r="C287" s="15" t="s">
        <v>1</v>
      </c>
      <c r="D287" s="27"/>
      <c r="E287" s="27"/>
      <c r="F287" s="27"/>
      <c r="G287" s="27"/>
      <c r="H287" s="27"/>
      <c r="I287" s="27"/>
      <c r="J287" s="27"/>
      <c r="K287" s="17"/>
      <c r="L287" s="6"/>
      <c r="M287" s="25"/>
      <c r="N287" s="6"/>
      <c r="O287" s="6"/>
      <c r="P287" s="6"/>
      <c r="Q287" s="6"/>
      <c r="R287" s="6"/>
      <c r="S287" s="6"/>
      <c r="T287" s="6"/>
      <c r="U287" s="6"/>
      <c r="V287" s="20"/>
      <c r="W287" s="20"/>
      <c r="X287" s="20"/>
      <c r="Y287" s="20"/>
      <c r="Z287" s="20"/>
      <c r="AA287" s="20"/>
      <c r="AB287" s="20"/>
      <c r="AD287" s="6"/>
      <c r="AE287" s="6"/>
      <c r="AF287" s="6"/>
      <c r="AG287" s="6"/>
      <c r="AH287" s="6"/>
      <c r="AI287" s="6"/>
      <c r="AJ287" s="6"/>
    </row>
    <row r="288" spans="1:36" x14ac:dyDescent="0.2">
      <c r="A288" s="39"/>
      <c r="B288" s="40"/>
      <c r="C288" s="15" t="s">
        <v>2</v>
      </c>
      <c r="D288" s="4"/>
      <c r="E288" s="4"/>
      <c r="F288" s="4"/>
      <c r="G288" s="4"/>
      <c r="H288" s="4"/>
      <c r="I288" s="4"/>
      <c r="J288" s="4"/>
      <c r="K288" s="17"/>
      <c r="L288" s="6"/>
      <c r="M288" s="25"/>
      <c r="N288" s="6"/>
      <c r="O288" s="6"/>
      <c r="P288" s="6"/>
      <c r="Q288" s="6"/>
      <c r="R288" s="6"/>
      <c r="S288" s="6"/>
      <c r="T288" s="6"/>
      <c r="U288" s="6"/>
      <c r="V288" s="20"/>
      <c r="W288" s="20"/>
      <c r="X288" s="20"/>
      <c r="Y288" s="20"/>
      <c r="Z288" s="20"/>
      <c r="AA288" s="20"/>
      <c r="AB288" s="20"/>
      <c r="AD288" s="6"/>
      <c r="AE288" s="6"/>
      <c r="AF288" s="6"/>
      <c r="AG288" s="6"/>
      <c r="AH288" s="6"/>
      <c r="AI288" s="6"/>
      <c r="AJ288" s="6"/>
    </row>
    <row r="289" spans="1:36" x14ac:dyDescent="0.2">
      <c r="A289" s="39"/>
      <c r="B289" s="40"/>
      <c r="C289" s="15" t="s">
        <v>3</v>
      </c>
      <c r="D289" s="43" t="str">
        <f t="shared" ref="D289:J289" si="177">IF(D286="","",IF(D287&gt;D286,(D287-D286-D288)*24,(1-D286-D288+D287)*24))</f>
        <v/>
      </c>
      <c r="E289" s="43" t="str">
        <f t="shared" si="177"/>
        <v/>
      </c>
      <c r="F289" s="43" t="str">
        <f t="shared" si="177"/>
        <v/>
      </c>
      <c r="G289" s="43" t="str">
        <f t="shared" si="177"/>
        <v/>
      </c>
      <c r="H289" s="43" t="str">
        <f t="shared" si="177"/>
        <v/>
      </c>
      <c r="I289" s="55" t="str">
        <f t="shared" si="177"/>
        <v/>
      </c>
      <c r="J289" s="44" t="str">
        <f t="shared" si="177"/>
        <v/>
      </c>
      <c r="K289" s="18">
        <f>SUMIF(D290:J290,"",D289:J289)</f>
        <v>0</v>
      </c>
      <c r="L289" s="12">
        <f>SUM(D289:J289)</f>
        <v>0</v>
      </c>
      <c r="M289" s="25"/>
      <c r="N289" s="6"/>
      <c r="O289" s="6"/>
      <c r="P289" s="6"/>
      <c r="Q289" s="6"/>
      <c r="R289" s="6"/>
      <c r="S289" s="6"/>
      <c r="T289" s="6"/>
      <c r="U289" s="6"/>
      <c r="V289" s="20"/>
      <c r="W289" s="20"/>
      <c r="X289" s="20"/>
      <c r="Y289" s="20"/>
      <c r="Z289" s="20"/>
      <c r="AA289" s="20"/>
      <c r="AB289" s="20"/>
      <c r="AD289" s="6"/>
      <c r="AE289" s="6"/>
      <c r="AF289" s="6"/>
      <c r="AG289" s="6"/>
      <c r="AH289" s="6"/>
      <c r="AI289" s="6"/>
      <c r="AJ289" s="6"/>
    </row>
    <row r="290" spans="1:36" x14ac:dyDescent="0.2">
      <c r="A290" s="39"/>
      <c r="B290" s="40"/>
      <c r="C290" s="32" t="s">
        <v>4</v>
      </c>
      <c r="D290" s="33"/>
      <c r="E290" s="33"/>
      <c r="F290" s="33"/>
      <c r="G290" s="33"/>
      <c r="H290" s="33"/>
      <c r="I290" s="33"/>
      <c r="J290" s="33"/>
      <c r="K290" s="17"/>
      <c r="L290" s="6"/>
      <c r="M290" s="25"/>
      <c r="N290" s="6"/>
      <c r="O290" s="6"/>
      <c r="P290" s="6"/>
      <c r="Q290" s="6"/>
      <c r="R290" s="6"/>
      <c r="S290" s="6"/>
      <c r="T290" s="6"/>
      <c r="U290" s="6"/>
      <c r="V290" s="20"/>
      <c r="W290" s="20"/>
      <c r="X290" s="20"/>
      <c r="Y290" s="20"/>
      <c r="Z290" s="20"/>
      <c r="AA290" s="20"/>
      <c r="AB290" s="20"/>
      <c r="AD290" s="6"/>
      <c r="AE290" s="6"/>
      <c r="AF290" s="6"/>
      <c r="AG290" s="6"/>
      <c r="AH290" s="6"/>
      <c r="AI290" s="6"/>
      <c r="AJ290" s="6"/>
    </row>
    <row r="291" spans="1:36" ht="13.5" thickBot="1" x14ac:dyDescent="0.25">
      <c r="A291" s="41"/>
      <c r="B291" s="42"/>
      <c r="C291" s="35" t="s">
        <v>28</v>
      </c>
      <c r="D291" s="93"/>
      <c r="E291" s="93"/>
      <c r="F291" s="93"/>
      <c r="G291" s="93"/>
      <c r="H291" s="93"/>
      <c r="I291" s="93"/>
      <c r="J291" s="93"/>
      <c r="K291" s="94"/>
      <c r="L291" s="6"/>
      <c r="M291" s="25"/>
      <c r="N291" s="6"/>
      <c r="O291" s="6"/>
      <c r="P291" s="6"/>
      <c r="Q291" s="6"/>
      <c r="R291" s="6"/>
      <c r="S291" s="6"/>
      <c r="T291" s="6"/>
      <c r="U291" s="6"/>
      <c r="V291" s="20"/>
      <c r="W291" s="20"/>
      <c r="X291" s="20"/>
      <c r="Y291" s="20"/>
      <c r="Z291" s="20"/>
      <c r="AA291" s="20"/>
      <c r="AB291" s="20"/>
      <c r="AD291" s="6"/>
      <c r="AE291" s="6"/>
      <c r="AF291" s="6"/>
      <c r="AG291" s="6"/>
      <c r="AH291" s="6"/>
      <c r="AI291" s="6"/>
      <c r="AJ291" s="6"/>
    </row>
    <row r="292" spans="1:36" x14ac:dyDescent="0.2">
      <c r="A292" s="37" t="s">
        <v>46</v>
      </c>
      <c r="B292" s="38" t="s">
        <v>47</v>
      </c>
      <c r="C292" s="14" t="s">
        <v>0</v>
      </c>
      <c r="D292" s="26"/>
      <c r="E292" s="26"/>
      <c r="F292" s="26">
        <v>0.77083333333333337</v>
      </c>
      <c r="G292" s="26">
        <v>0.54166666666666663</v>
      </c>
      <c r="H292" s="26"/>
      <c r="I292" s="26"/>
      <c r="J292" s="26"/>
      <c r="K292" s="16"/>
      <c r="L292" s="6"/>
      <c r="M292" s="21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D292" s="6">
        <f>IF((D292&lt;&gt;"")*(D296=""),IF((D292&lt;=$B$440)*((D293&gt;=$C$440)+(D293&lt;2/24)),1,0),0)</f>
        <v>0</v>
      </c>
      <c r="AE292" s="6">
        <f>IF((E292&lt;&gt;"")*(E296=""),IF((E292&lt;=$B$440)*((E293&gt;=$C$440)+(E293&lt;2/24)),1,0),0)</f>
        <v>0</v>
      </c>
      <c r="AF292" s="6">
        <f>IF((F292&lt;&gt;"")*(F296=""),IF((F292&lt;=$B$440)*((F293&gt;=$C$440)+(F293&lt;2/24)),1,0),0)</f>
        <v>0</v>
      </c>
      <c r="AG292" s="6">
        <f>IF((G292&lt;&gt;"")*(G296=""),IF((G292&lt;=$B$440)*((G293&gt;=$C$440)+(G293&lt;2/24)),1,0),0)</f>
        <v>0</v>
      </c>
      <c r="AH292" s="6">
        <f>IF((H292&lt;&gt;"")*(H296=""),IF((H292&lt;=$B$440)*((H293&gt;=$C$440)+(H293&lt;2/24)),1,0),0)</f>
        <v>0</v>
      </c>
      <c r="AI292" s="6">
        <f>IF((I292&lt;&gt;"")*(I296=""),IF((I292&lt;=$B$440)*((I293&gt;=$C$440)+(I293&lt;2/24)),1,0),0)</f>
        <v>0</v>
      </c>
      <c r="AJ292" s="6">
        <f>IF((J292&lt;&gt;"")*(J296=""),IF((J292&lt;=$B$440)*((J293&gt;=$C$440)+(J293&lt;2/24)),1,0),0)</f>
        <v>0</v>
      </c>
    </row>
    <row r="293" spans="1:36" x14ac:dyDescent="0.2">
      <c r="A293" s="39"/>
      <c r="B293" s="40"/>
      <c r="C293" s="15" t="s">
        <v>1</v>
      </c>
      <c r="D293" s="27"/>
      <c r="E293" s="27"/>
      <c r="F293" s="27">
        <v>0.95833333333333337</v>
      </c>
      <c r="G293" s="27">
        <v>0.75</v>
      </c>
      <c r="H293" s="27"/>
      <c r="I293" s="27"/>
      <c r="J293" s="27"/>
      <c r="K293" s="17"/>
      <c r="L293" s="6"/>
      <c r="M293" s="21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D293" s="6">
        <f>IF((D292&lt;&gt;"")*(D296=""),IF((D292&lt;=$B$441)*((D293&gt;=$C$441)+(D293&lt;2/24)),1,0),0)</f>
        <v>0</v>
      </c>
      <c r="AE293" s="6">
        <f>IF((E292&lt;&gt;"")*(E296=""),IF((E292&lt;=$B$441)*((E293&gt;=$C$441)+(E293&lt;2/24)),1,0),0)</f>
        <v>0</v>
      </c>
      <c r="AF293" s="6">
        <f>IF((F292&lt;&gt;"")*(F296=""),IF((F292&lt;=$B$441)*((F293&gt;=$C$441)+(F293&lt;2/24)),1,0),0)</f>
        <v>0</v>
      </c>
      <c r="AG293" s="6">
        <f>IF((G292&lt;&gt;"")*(G296=""),IF((G292&lt;=$B$441)*((G293&gt;=$C$441)+(G293&lt;2/24)),1,0),0)</f>
        <v>1</v>
      </c>
      <c r="AH293" s="6">
        <f>IF((H292&lt;&gt;"")*(H296=""),IF((H292&lt;=$B$441)*((H293&gt;=$C$441)+(H293&lt;2/24)),1,0),0)</f>
        <v>0</v>
      </c>
      <c r="AI293" s="6">
        <f>IF((I292&lt;&gt;"")*(I296=""),IF((I292&lt;=$B$441)*((I293&gt;=$C$441)+(I293&lt;2/24)),1,0),0)</f>
        <v>0</v>
      </c>
      <c r="AJ293" s="6">
        <f>IF((J292&lt;&gt;"")*(J296=""),IF((J292&lt;=$B$441)*((J293&gt;=$C$441)+(J293&lt;2/24)),1,0),0)</f>
        <v>0</v>
      </c>
    </row>
    <row r="294" spans="1:36" x14ac:dyDescent="0.2">
      <c r="A294" s="39"/>
      <c r="B294" s="40"/>
      <c r="C294" s="15" t="s">
        <v>2</v>
      </c>
      <c r="D294" s="4"/>
      <c r="E294" s="4"/>
      <c r="F294" s="4"/>
      <c r="G294" s="58"/>
      <c r="H294" s="4"/>
      <c r="I294" s="4"/>
      <c r="J294" s="4"/>
      <c r="K294" s="17"/>
      <c r="L294" s="6"/>
      <c r="M294" s="21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D294" s="6">
        <f>IF((D292&lt;&gt;"")*(D296=""),IF((D292&lt;=$B$442)*((D293&gt;=$C$442)+(D293&lt;2/24)),1,0),0)</f>
        <v>0</v>
      </c>
      <c r="AE294" s="6">
        <f>IF((E292&lt;&gt;"")*(E296=""),IF((E292&lt;=$B$442)*((E293&gt;=$C$442)+(E293&lt;2/24)),1,0),0)</f>
        <v>0</v>
      </c>
      <c r="AF294" s="6">
        <f>IF((F292&lt;&gt;"")*(F296=""),IF((F292&lt;=$B$442)*((F293&gt;=$C$442)+(F293&lt;2/24)),1,0),0)</f>
        <v>0</v>
      </c>
      <c r="AG294" s="6">
        <f>IF((G292&lt;&gt;"")*(G296=""),IF((G292&lt;=$B$442)*((G293&gt;=$C$442)+(G293&lt;2/24)),1,0),0)</f>
        <v>1</v>
      </c>
      <c r="AH294" s="6">
        <f>IF((H292&lt;&gt;"")*(H296=""),IF((H292&lt;=$B$442)*((H293&gt;=$C$442)+(H293&lt;2/24)),1,0),0)</f>
        <v>0</v>
      </c>
      <c r="AI294" s="6">
        <f>IF((I292&lt;&gt;"")*(I296=""),IF((I292&lt;=$B$442)*((I293&gt;=$C$442)+(I293&lt;2/24)),1,0),0)</f>
        <v>0</v>
      </c>
      <c r="AJ294" s="6">
        <f>IF((J292&lt;&gt;"")*(J296=""),IF((J292&lt;=$B$442)*((J293&gt;=$C$442)+(J293&lt;2/24)),1,0),0)</f>
        <v>0</v>
      </c>
    </row>
    <row r="295" spans="1:36" x14ac:dyDescent="0.2">
      <c r="A295" s="39"/>
      <c r="B295" s="40"/>
      <c r="C295" s="15" t="s">
        <v>3</v>
      </c>
      <c r="D295" s="43" t="str">
        <f t="shared" ref="D295:J295" si="178">IF(D292="","",IF(D293&gt;D292,(D293-D292-D294)*24,(1-D292-D294+D293)*24))</f>
        <v/>
      </c>
      <c r="E295" s="43" t="str">
        <f t="shared" si="178"/>
        <v/>
      </c>
      <c r="F295" s="43">
        <f t="shared" si="178"/>
        <v>4.5</v>
      </c>
      <c r="G295" s="55">
        <f t="shared" si="178"/>
        <v>5.0000000000000009</v>
      </c>
      <c r="H295" s="55" t="str">
        <f t="shared" si="178"/>
        <v/>
      </c>
      <c r="I295" s="43" t="str">
        <f t="shared" si="178"/>
        <v/>
      </c>
      <c r="J295" s="44" t="str">
        <f t="shared" si="178"/>
        <v/>
      </c>
      <c r="K295" s="18">
        <f>SUMIF(D296:J296,"",D295:J295)</f>
        <v>9.5</v>
      </c>
      <c r="L295" s="12">
        <f>SUM(D295:J295)</f>
        <v>9.5</v>
      </c>
      <c r="M295" s="24"/>
      <c r="N295" s="10" t="str">
        <f>IF(D296="",D295,0)</f>
        <v/>
      </c>
      <c r="O295" s="10" t="str">
        <f>IF(E296="",E295,0)</f>
        <v/>
      </c>
      <c r="P295" s="10">
        <f t="shared" ref="P295" si="179">IF(F296="",F295,0)</f>
        <v>4.5</v>
      </c>
      <c r="Q295" s="10">
        <f t="shared" ref="Q295" si="180">IF(G296="",G295,0)</f>
        <v>5.0000000000000009</v>
      </c>
      <c r="R295" s="10" t="str">
        <f t="shared" ref="R295" si="181">IF(H296="",H295,0)</f>
        <v/>
      </c>
      <c r="S295" s="10" t="str">
        <f t="shared" ref="S295" si="182">IF(I296="",I295,0)</f>
        <v/>
      </c>
      <c r="T295" s="10" t="str">
        <f t="shared" ref="T295" si="183">IF(J296="",J295,0)</f>
        <v/>
      </c>
      <c r="U295" s="10"/>
      <c r="V295" s="10" t="str">
        <f>D295</f>
        <v/>
      </c>
      <c r="W295" s="10" t="str">
        <f>E295</f>
        <v/>
      </c>
      <c r="X295" s="10">
        <f t="shared" ref="X295" si="184">F295</f>
        <v>4.5</v>
      </c>
      <c r="Y295" s="10">
        <f t="shared" ref="Y295" si="185">G295</f>
        <v>5.0000000000000009</v>
      </c>
      <c r="Z295" s="10" t="str">
        <f t="shared" ref="Z295" si="186">H295</f>
        <v/>
      </c>
      <c r="AA295" s="10" t="str">
        <f t="shared" ref="AA295" si="187">I295</f>
        <v/>
      </c>
      <c r="AB295" s="10" t="str">
        <f t="shared" ref="AB295" si="188">J295</f>
        <v/>
      </c>
      <c r="AD295" s="6">
        <f>IF((D292&lt;&gt;"")*(D296=""),IF((D292&lt;=$B$443)*((D293&gt;=$C$443)+(D293&lt;2/24)),1,0),0)</f>
        <v>0</v>
      </c>
      <c r="AE295" s="6">
        <f>IF((E292&lt;&gt;"")*(E296=""),IF((E292&lt;=$B$443)*((E293&gt;=$C$443)+(E293&lt;2/24)),1,0),0)</f>
        <v>0</v>
      </c>
      <c r="AF295" s="6">
        <f>IF((F292&lt;&gt;"")*(F296=""),IF((F292&lt;=$B$443)*((F293&gt;=$C$443)+(F293&lt;2/24)),1,0),0)</f>
        <v>1</v>
      </c>
      <c r="AG295" s="6">
        <f>IF((G292&lt;&gt;"")*(G296=""),IF((G292&lt;=$B$443)*((G293&gt;=$C$443)+(G293&lt;2/24)),1,0),0)</f>
        <v>0</v>
      </c>
      <c r="AH295" s="6">
        <f>IF((H292&lt;&gt;"")*(H296=""),IF((H292&lt;=$B$443)*((H293&gt;=$C$443)+(H293&lt;2/24)),1,0),0)</f>
        <v>0</v>
      </c>
      <c r="AI295" s="6">
        <f>IF((I292&lt;&gt;"")*(I296=""),IF((I292&lt;=$B$443)*((I293&gt;=$C$443)+(I293&lt;2/24)),1,0),0)</f>
        <v>0</v>
      </c>
      <c r="AJ295" s="6">
        <f>IF((J292&lt;&gt;"")*(J296=""),IF((J292&lt;=$B$443)*((J293&gt;=$C$443)+(J293&lt;2/24)),1,0),0)</f>
        <v>0</v>
      </c>
    </row>
    <row r="296" spans="1:36" x14ac:dyDescent="0.2">
      <c r="A296" s="39"/>
      <c r="B296" s="40"/>
      <c r="C296" s="32" t="s">
        <v>4</v>
      </c>
      <c r="D296" s="33"/>
      <c r="E296" s="33"/>
      <c r="F296" s="33"/>
      <c r="G296" s="33"/>
      <c r="H296" s="33"/>
      <c r="I296" s="33"/>
      <c r="J296" s="33"/>
      <c r="K296" s="17"/>
      <c r="L296" s="6"/>
      <c r="M296" s="25"/>
      <c r="N296" s="6"/>
      <c r="O296" s="6"/>
      <c r="P296" s="6"/>
      <c r="Q296" s="6"/>
      <c r="R296" s="6"/>
      <c r="S296" s="6"/>
      <c r="T296" s="6"/>
      <c r="U296" s="6"/>
      <c r="V296" s="20"/>
      <c r="W296" s="20"/>
      <c r="X296" s="20"/>
      <c r="Y296" s="20"/>
      <c r="Z296" s="20"/>
      <c r="AA296" s="20"/>
      <c r="AB296" s="20"/>
      <c r="AD296" s="6">
        <f>IF((D292&lt;&gt;"")*(D296=""),IF((D292&lt;=$B$444)*((D293&gt;=$C$444)+(D293&lt;2/24)),1,0),0)</f>
        <v>0</v>
      </c>
      <c r="AE296" s="6">
        <f>IF((E292&lt;&gt;"")*(E296=""),IF((E292&lt;=$B$444)*((E293&gt;=$C$444)+(E293&lt;2/24)),1,0),0)</f>
        <v>0</v>
      </c>
      <c r="AF296" s="6">
        <f>IF((F292&lt;&gt;"")*(F296=""),IF((F292&lt;=$B$444)*((F293&gt;=$C$444)+(F293&lt;2/24)),1,0),0)</f>
        <v>1</v>
      </c>
      <c r="AG296" s="6">
        <f>IF((G292&lt;&gt;"")*(G296=""),IF((G292&lt;=$B$444)*((G293&gt;=$C$444)+(G293&lt;2/24)),1,0),0)</f>
        <v>0</v>
      </c>
      <c r="AH296" s="6">
        <f>IF((H292&lt;&gt;"")*(H296=""),IF((H292&lt;=$B$444)*((H293&gt;=$C$444)+(H293&lt;2/24)),1,0),0)</f>
        <v>0</v>
      </c>
      <c r="AI296" s="6">
        <f>IF((I292&lt;&gt;"")*(I296=""),IF((I292&lt;=$B$444)*((I293&gt;=$C$444)+(I293&lt;2/24)),1,0),0)</f>
        <v>0</v>
      </c>
      <c r="AJ296" s="6">
        <f>IF((J292&lt;&gt;"")*(J296=""),IF((J292&lt;=$B$444)*((J293&gt;=$C$444)+(J293&lt;2/24)),1,0),0)</f>
        <v>0</v>
      </c>
    </row>
    <row r="297" spans="1:36" ht="13.5" thickBot="1" x14ac:dyDescent="0.25">
      <c r="A297" s="41"/>
      <c r="B297" s="42"/>
      <c r="C297" s="35" t="s">
        <v>28</v>
      </c>
      <c r="D297" s="93"/>
      <c r="E297" s="93"/>
      <c r="F297" s="93"/>
      <c r="G297" s="93"/>
      <c r="H297" s="93"/>
      <c r="I297" s="93"/>
      <c r="J297" s="93"/>
      <c r="K297" s="94"/>
      <c r="L297" s="6"/>
      <c r="M297" s="25"/>
      <c r="N297" s="6"/>
      <c r="O297" s="6"/>
      <c r="P297" s="6"/>
      <c r="Q297" s="6"/>
      <c r="R297" s="6"/>
      <c r="S297" s="6"/>
      <c r="T297" s="6"/>
      <c r="U297" s="6"/>
      <c r="V297" s="20"/>
      <c r="W297" s="20"/>
      <c r="X297" s="20"/>
      <c r="Y297" s="20"/>
      <c r="Z297" s="20"/>
      <c r="AA297" s="20"/>
      <c r="AB297" s="20"/>
      <c r="AD297" s="6"/>
      <c r="AE297" s="6"/>
      <c r="AF297" s="6"/>
      <c r="AG297" s="6"/>
      <c r="AH297" s="6"/>
      <c r="AI297" s="6"/>
      <c r="AJ297" s="6"/>
    </row>
    <row r="298" spans="1:36" x14ac:dyDescent="0.2">
      <c r="A298" s="39" t="s">
        <v>159</v>
      </c>
      <c r="B298" s="40" t="s">
        <v>109</v>
      </c>
      <c r="C298" s="14" t="s">
        <v>0</v>
      </c>
      <c r="D298" s="26"/>
      <c r="E298" s="26">
        <v>0.77083333333333337</v>
      </c>
      <c r="F298" s="26"/>
      <c r="G298" s="26"/>
      <c r="H298" s="26"/>
      <c r="I298" s="26"/>
      <c r="J298" s="26"/>
      <c r="K298" s="16"/>
      <c r="L298" s="6"/>
      <c r="M298" s="25"/>
      <c r="N298" s="6"/>
      <c r="O298" s="6"/>
      <c r="P298" s="6"/>
      <c r="Q298" s="6"/>
      <c r="R298" s="6"/>
      <c r="S298" s="6"/>
      <c r="T298" s="6"/>
      <c r="U298" s="6"/>
      <c r="V298" s="20"/>
      <c r="W298" s="20"/>
      <c r="X298" s="20"/>
      <c r="Y298" s="20"/>
      <c r="Z298" s="20"/>
      <c r="AA298" s="20"/>
      <c r="AB298" s="20"/>
      <c r="AD298" s="6"/>
      <c r="AE298" s="6"/>
      <c r="AF298" s="6"/>
      <c r="AG298" s="6"/>
      <c r="AH298" s="6"/>
      <c r="AI298" s="6"/>
      <c r="AJ298" s="6"/>
    </row>
    <row r="299" spans="1:36" x14ac:dyDescent="0.2">
      <c r="A299" s="39"/>
      <c r="B299" s="40"/>
      <c r="C299" s="15" t="s">
        <v>1</v>
      </c>
      <c r="D299" s="27"/>
      <c r="E299" s="27">
        <v>0.95833333333333337</v>
      </c>
      <c r="F299" s="27"/>
      <c r="G299" s="27"/>
      <c r="H299" s="27"/>
      <c r="I299" s="27"/>
      <c r="J299" s="27"/>
      <c r="K299" s="17"/>
      <c r="L299" s="6"/>
      <c r="M299" s="25"/>
      <c r="N299" s="6"/>
      <c r="O299" s="6"/>
      <c r="P299" s="6"/>
      <c r="Q299" s="6"/>
      <c r="R299" s="6"/>
      <c r="S299" s="6"/>
      <c r="T299" s="6"/>
      <c r="U299" s="6"/>
      <c r="V299" s="20"/>
      <c r="W299" s="20"/>
      <c r="X299" s="20"/>
      <c r="Y299" s="20"/>
      <c r="Z299" s="20"/>
      <c r="AA299" s="20"/>
      <c r="AB299" s="20"/>
      <c r="AD299" s="6"/>
      <c r="AE299" s="6"/>
      <c r="AF299" s="6"/>
      <c r="AG299" s="6"/>
      <c r="AH299" s="6"/>
      <c r="AI299" s="6"/>
      <c r="AJ299" s="6"/>
    </row>
    <row r="300" spans="1:36" x14ac:dyDescent="0.2">
      <c r="A300" s="39"/>
      <c r="B300" s="40"/>
      <c r="C300" s="15" t="s">
        <v>2</v>
      </c>
      <c r="D300" s="4"/>
      <c r="E300" s="4"/>
      <c r="F300" s="4"/>
      <c r="G300" s="58"/>
      <c r="H300" s="4"/>
      <c r="I300" s="4"/>
      <c r="J300" s="4"/>
      <c r="K300" s="17"/>
      <c r="L300" s="6"/>
      <c r="M300" s="25"/>
      <c r="N300" s="6"/>
      <c r="O300" s="6"/>
      <c r="P300" s="6"/>
      <c r="Q300" s="6"/>
      <c r="R300" s="6"/>
      <c r="S300" s="6"/>
      <c r="T300" s="6"/>
      <c r="U300" s="6"/>
      <c r="V300" s="20"/>
      <c r="W300" s="20"/>
      <c r="X300" s="20"/>
      <c r="Y300" s="20"/>
      <c r="Z300" s="20"/>
      <c r="AA300" s="20"/>
      <c r="AB300" s="20"/>
      <c r="AD300" s="6"/>
      <c r="AE300" s="6"/>
      <c r="AF300" s="6"/>
      <c r="AG300" s="6"/>
      <c r="AH300" s="6"/>
      <c r="AI300" s="6"/>
      <c r="AJ300" s="6"/>
    </row>
    <row r="301" spans="1:36" x14ac:dyDescent="0.2">
      <c r="A301" s="39"/>
      <c r="B301" s="40"/>
      <c r="C301" s="15" t="s">
        <v>3</v>
      </c>
      <c r="D301" s="43" t="str">
        <f t="shared" ref="D301:J301" si="189">IF(D298="","",IF(D299&gt;D298,(D299-D298-D300)*24,(1-D298-D300+D299)*24))</f>
        <v/>
      </c>
      <c r="E301" s="43">
        <f t="shared" si="189"/>
        <v>4.5</v>
      </c>
      <c r="F301" s="43" t="str">
        <f t="shared" si="189"/>
        <v/>
      </c>
      <c r="G301" s="55" t="str">
        <f t="shared" si="189"/>
        <v/>
      </c>
      <c r="H301" s="55" t="str">
        <f t="shared" si="189"/>
        <v/>
      </c>
      <c r="I301" s="43" t="str">
        <f t="shared" si="189"/>
        <v/>
      </c>
      <c r="J301" s="44" t="str">
        <f t="shared" si="189"/>
        <v/>
      </c>
      <c r="K301" s="18">
        <f>SUMIF(D302:J302,"",D301:J301)</f>
        <v>4.5</v>
      </c>
      <c r="L301" s="12">
        <f>SUM(D301:J301)</f>
        <v>4.5</v>
      </c>
      <c r="M301" s="25"/>
      <c r="N301" s="6"/>
      <c r="O301" s="6"/>
      <c r="P301" s="6"/>
      <c r="Q301" s="6"/>
      <c r="R301" s="6"/>
      <c r="S301" s="6"/>
      <c r="T301" s="6"/>
      <c r="U301" s="6"/>
      <c r="V301" s="20"/>
      <c r="W301" s="20"/>
      <c r="X301" s="20"/>
      <c r="Y301" s="20"/>
      <c r="Z301" s="20"/>
      <c r="AA301" s="20"/>
      <c r="AB301" s="20"/>
      <c r="AD301" s="6"/>
      <c r="AE301" s="6"/>
      <c r="AF301" s="6"/>
      <c r="AG301" s="6"/>
      <c r="AH301" s="6"/>
      <c r="AI301" s="6"/>
      <c r="AJ301" s="6"/>
    </row>
    <row r="302" spans="1:36" x14ac:dyDescent="0.2">
      <c r="A302" s="39"/>
      <c r="B302" s="40"/>
      <c r="C302" s="32" t="s">
        <v>4</v>
      </c>
      <c r="D302" s="33"/>
      <c r="E302" s="33"/>
      <c r="F302" s="33"/>
      <c r="G302" s="33"/>
      <c r="H302" s="33"/>
      <c r="I302" s="33"/>
      <c r="J302" s="33"/>
      <c r="K302" s="17"/>
      <c r="L302" s="6"/>
      <c r="M302" s="25"/>
      <c r="N302" s="6"/>
      <c r="O302" s="6"/>
      <c r="P302" s="6"/>
      <c r="Q302" s="6"/>
      <c r="R302" s="6"/>
      <c r="S302" s="6"/>
      <c r="T302" s="6"/>
      <c r="U302" s="6"/>
      <c r="V302" s="20"/>
      <c r="W302" s="20"/>
      <c r="X302" s="20"/>
      <c r="Y302" s="20"/>
      <c r="Z302" s="20"/>
      <c r="AA302" s="20"/>
      <c r="AB302" s="20"/>
      <c r="AD302" s="6"/>
      <c r="AE302" s="6"/>
      <c r="AF302" s="6"/>
      <c r="AG302" s="6"/>
      <c r="AH302" s="6"/>
      <c r="AI302" s="6"/>
      <c r="AJ302" s="6"/>
    </row>
    <row r="303" spans="1:36" ht="13.5" thickBot="1" x14ac:dyDescent="0.25">
      <c r="A303" s="41"/>
      <c r="B303" s="42"/>
      <c r="C303" s="35" t="s">
        <v>28</v>
      </c>
      <c r="D303" s="93"/>
      <c r="E303" s="93"/>
      <c r="F303" s="93"/>
      <c r="G303" s="93"/>
      <c r="H303" s="93"/>
      <c r="I303" s="93"/>
      <c r="J303" s="93"/>
      <c r="K303" s="94"/>
      <c r="L303" s="6"/>
      <c r="M303" s="25"/>
      <c r="N303" s="6"/>
      <c r="O303" s="6"/>
      <c r="P303" s="6"/>
      <c r="Q303" s="6"/>
      <c r="R303" s="6"/>
      <c r="S303" s="6"/>
      <c r="T303" s="6"/>
      <c r="U303" s="6"/>
      <c r="V303" s="20"/>
      <c r="W303" s="20"/>
      <c r="X303" s="20"/>
      <c r="Y303" s="20"/>
      <c r="Z303" s="20"/>
      <c r="AA303" s="20"/>
      <c r="AB303" s="20"/>
      <c r="AD303" s="6"/>
      <c r="AE303" s="6"/>
      <c r="AF303" s="6"/>
      <c r="AG303" s="6"/>
      <c r="AH303" s="6"/>
      <c r="AI303" s="6"/>
      <c r="AJ303" s="6"/>
    </row>
    <row r="304" spans="1:36" x14ac:dyDescent="0.2">
      <c r="A304" s="37" t="s">
        <v>107</v>
      </c>
      <c r="B304" s="38" t="s">
        <v>113</v>
      </c>
      <c r="C304" s="14" t="s">
        <v>0</v>
      </c>
      <c r="D304" s="26"/>
      <c r="E304" s="26"/>
      <c r="F304" s="26"/>
      <c r="G304" s="26"/>
      <c r="H304" s="26"/>
      <c r="I304" s="26"/>
      <c r="J304" s="26"/>
      <c r="K304" s="16"/>
      <c r="L304" s="6"/>
      <c r="M304" s="21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D304" s="6">
        <f>IF((D304&lt;&gt;"")*(D308=""),IF((D304&lt;=$B$440)*((D305&gt;=$C$440)+(D305&lt;2/24)),1,0),0)</f>
        <v>0</v>
      </c>
      <c r="AE304" s="6">
        <f>IF((E304&lt;&gt;"")*(E308=""),IF((E304&lt;=$B$440)*((E305&gt;=$C$440)+(E305&lt;2/24)),1,0),0)</f>
        <v>0</v>
      </c>
      <c r="AF304" s="6">
        <f>IF((F304&lt;&gt;"")*(F308=""),IF((F304&lt;=$B$440)*((F305&gt;=$C$440)+(F305&lt;2/24)),1,0),0)</f>
        <v>0</v>
      </c>
      <c r="AG304" s="6">
        <f>IF((G304&lt;&gt;"")*(G308=""),IF((G304&lt;=$B$440)*((G305&gt;=$C$440)+(G305&lt;2/24)),1,0),0)</f>
        <v>0</v>
      </c>
      <c r="AH304" s="6">
        <f>IF((H304&lt;&gt;"")*(H308=""),IF((H304&lt;=$B$440)*((H305&gt;=$C$440)+(H305&lt;2/24)),1,0),0)</f>
        <v>0</v>
      </c>
      <c r="AI304" s="6">
        <f>IF((I304&lt;&gt;"")*(I308=""),IF((I304&lt;=$B$440)*((I305&gt;=$C$440)+(I305&lt;2/24)),1,0),0)</f>
        <v>0</v>
      </c>
      <c r="AJ304" s="6">
        <f>IF((J304&lt;&gt;"")*(J308=""),IF((J304&lt;=$B$440)*((J305&gt;=$C$440)+(J305&lt;2/24)),1,0),0)</f>
        <v>0</v>
      </c>
    </row>
    <row r="305" spans="1:36" x14ac:dyDescent="0.2">
      <c r="A305" s="39"/>
      <c r="B305" s="40"/>
      <c r="C305" s="15" t="s">
        <v>1</v>
      </c>
      <c r="D305" s="27"/>
      <c r="E305" s="27"/>
      <c r="F305" s="27"/>
      <c r="G305" s="27"/>
      <c r="H305" s="27"/>
      <c r="I305" s="27"/>
      <c r="J305" s="27"/>
      <c r="K305" s="17"/>
      <c r="L305" s="6"/>
      <c r="M305" s="21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D305" s="6">
        <f>IF((D304&lt;&gt;"")*(D308=""),IF((D304&lt;=$B$441)*((D305&gt;=$C$441)+(D305&lt;2/24)),1,0),0)</f>
        <v>0</v>
      </c>
      <c r="AE305" s="6">
        <f>IF((E304&lt;&gt;"")*(E308=""),IF((E304&lt;=$B$441)*((E305&gt;=$C$441)+(E305&lt;2/24)),1,0),0)</f>
        <v>0</v>
      </c>
      <c r="AF305" s="6">
        <f>IF((F304&lt;&gt;"")*(F308=""),IF((F304&lt;=$B$441)*((F305&gt;=$C$441)+(F305&lt;2/24)),1,0),0)</f>
        <v>0</v>
      </c>
      <c r="AG305" s="6">
        <f>IF((G304&lt;&gt;"")*(G308=""),IF((G304&lt;=$B$441)*((G305&gt;=$C$441)+(G305&lt;2/24)),1,0),0)</f>
        <v>0</v>
      </c>
      <c r="AH305" s="6">
        <f>IF((H304&lt;&gt;"")*(H308=""),IF((H304&lt;=$B$441)*((H305&gt;=$C$441)+(H305&lt;2/24)),1,0),0)</f>
        <v>0</v>
      </c>
      <c r="AI305" s="6">
        <f>IF((I304&lt;&gt;"")*(I308=""),IF((I304&lt;=$B$441)*((I305&gt;=$C$441)+(I305&lt;2/24)),1,0),0)</f>
        <v>0</v>
      </c>
      <c r="AJ305" s="6">
        <f>IF((J304&lt;&gt;"")*(J308=""),IF((J304&lt;=$B$441)*((J305&gt;=$C$441)+(J305&lt;2/24)),1,0),0)</f>
        <v>0</v>
      </c>
    </row>
    <row r="306" spans="1:36" x14ac:dyDescent="0.2">
      <c r="A306" s="39"/>
      <c r="B306" s="40"/>
      <c r="C306" s="15" t="s">
        <v>2</v>
      </c>
      <c r="D306" s="4"/>
      <c r="E306" s="4"/>
      <c r="F306" s="4"/>
      <c r="G306" s="58"/>
      <c r="H306" s="4"/>
      <c r="I306" s="4"/>
      <c r="J306" s="4"/>
      <c r="K306" s="17"/>
      <c r="L306" s="6"/>
      <c r="M306" s="21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D306" s="6">
        <f>IF((D304&lt;&gt;"")*(D308=""),IF((D304&lt;=$B$442)*((D305&gt;=$C$442)+(D305&lt;2/24)),1,0),0)</f>
        <v>0</v>
      </c>
      <c r="AE306" s="6">
        <f>IF((E304&lt;&gt;"")*(E308=""),IF((E304&lt;=$B$442)*((E305&gt;=$C$442)+(E305&lt;2/24)),1,0),0)</f>
        <v>0</v>
      </c>
      <c r="AF306" s="6">
        <f>IF((F304&lt;&gt;"")*(F308=""),IF((F304&lt;=$B$442)*((F305&gt;=$C$442)+(F305&lt;2/24)),1,0),0)</f>
        <v>0</v>
      </c>
      <c r="AG306" s="6">
        <f>IF((G304&lt;&gt;"")*(G308=""),IF((G304&lt;=$B$442)*((G305&gt;=$C$442)+(G305&lt;2/24)),1,0),0)</f>
        <v>0</v>
      </c>
      <c r="AH306" s="6">
        <f>IF((H304&lt;&gt;"")*(H308=""),IF((H304&lt;=$B$442)*((H305&gt;=$C$442)+(H305&lt;2/24)),1,0),0)</f>
        <v>0</v>
      </c>
      <c r="AI306" s="6">
        <f>IF((I304&lt;&gt;"")*(I308=""),IF((I304&lt;=$B$442)*((I305&gt;=$C$442)+(I305&lt;2/24)),1,0),0)</f>
        <v>0</v>
      </c>
      <c r="AJ306" s="6">
        <f>IF((J304&lt;&gt;"")*(J308=""),IF((J304&lt;=$B$442)*((J305&gt;=$C$442)+(J305&lt;2/24)),1,0),0)</f>
        <v>0</v>
      </c>
    </row>
    <row r="307" spans="1:36" x14ac:dyDescent="0.2">
      <c r="A307" s="39"/>
      <c r="B307" s="40"/>
      <c r="C307" s="15" t="s">
        <v>3</v>
      </c>
      <c r="D307" s="43" t="str">
        <f t="shared" ref="D307:J307" si="190">IF(D304="","",IF(D305&gt;D304,(D305-D304-D306)*24,(1-D304-D306+D305)*24))</f>
        <v/>
      </c>
      <c r="E307" s="43" t="str">
        <f t="shared" si="190"/>
        <v/>
      </c>
      <c r="F307" s="43" t="str">
        <f t="shared" si="190"/>
        <v/>
      </c>
      <c r="G307" s="55" t="str">
        <f t="shared" si="190"/>
        <v/>
      </c>
      <c r="H307" s="55" t="str">
        <f t="shared" si="190"/>
        <v/>
      </c>
      <c r="I307" s="43" t="str">
        <f t="shared" si="190"/>
        <v/>
      </c>
      <c r="J307" s="44" t="str">
        <f t="shared" si="190"/>
        <v/>
      </c>
      <c r="K307" s="18">
        <f>SUMIF(D308:J308,"",D307:J307)</f>
        <v>0</v>
      </c>
      <c r="L307" s="12">
        <f>SUM(D307:J307)</f>
        <v>0</v>
      </c>
      <c r="M307" s="24"/>
      <c r="N307" s="10" t="str">
        <f>IF(D308="",D307,0)</f>
        <v/>
      </c>
      <c r="O307" s="10" t="str">
        <f>IF(E308="",E307,0)</f>
        <v/>
      </c>
      <c r="P307" s="10" t="str">
        <f t="shared" ref="P307" si="191">IF(F308="",F307,0)</f>
        <v/>
      </c>
      <c r="Q307" s="10" t="str">
        <f t="shared" ref="Q307" si="192">IF(G308="",G307,0)</f>
        <v/>
      </c>
      <c r="R307" s="10" t="str">
        <f t="shared" ref="R307" si="193">IF(H308="",H307,0)</f>
        <v/>
      </c>
      <c r="S307" s="10" t="str">
        <f t="shared" ref="S307" si="194">IF(I308="",I307,0)</f>
        <v/>
      </c>
      <c r="T307" s="10" t="str">
        <f t="shared" ref="T307" si="195">IF(J308="",J307,0)</f>
        <v/>
      </c>
      <c r="U307" s="10"/>
      <c r="V307" s="10" t="str">
        <f>D307</f>
        <v/>
      </c>
      <c r="W307" s="10" t="str">
        <f>E307</f>
        <v/>
      </c>
      <c r="X307" s="10" t="str">
        <f t="shared" ref="X307" si="196">F307</f>
        <v/>
      </c>
      <c r="Y307" s="10" t="str">
        <f t="shared" ref="Y307" si="197">G307</f>
        <v/>
      </c>
      <c r="Z307" s="10" t="str">
        <f t="shared" ref="Z307" si="198">H307</f>
        <v/>
      </c>
      <c r="AA307" s="10" t="str">
        <f t="shared" ref="AA307" si="199">I307</f>
        <v/>
      </c>
      <c r="AB307" s="10" t="str">
        <f t="shared" ref="AB307" si="200">J307</f>
        <v/>
      </c>
      <c r="AD307" s="6">
        <f>IF((D304&lt;&gt;"")*(D308=""),IF((D304&lt;=$B$443)*((D305&gt;=$C$443)+(D305&lt;2/24)),1,0),0)</f>
        <v>0</v>
      </c>
      <c r="AE307" s="6">
        <f>IF((E304&lt;&gt;"")*(E308=""),IF((E304&lt;=$B$443)*((E305&gt;=$C$443)+(E305&lt;2/24)),1,0),0)</f>
        <v>0</v>
      </c>
      <c r="AF307" s="6">
        <f>IF((F304&lt;&gt;"")*(F308=""),IF((F304&lt;=$B$443)*((F305&gt;=$C$443)+(F305&lt;2/24)),1,0),0)</f>
        <v>0</v>
      </c>
      <c r="AG307" s="6">
        <f>IF((G304&lt;&gt;"")*(G308=""),IF((G304&lt;=$B$443)*((G305&gt;=$C$443)+(G305&lt;2/24)),1,0),0)</f>
        <v>0</v>
      </c>
      <c r="AH307" s="6">
        <f>IF((H304&lt;&gt;"")*(H308=""),IF((H304&lt;=$B$443)*((H305&gt;=$C$443)+(H305&lt;2/24)),1,0),0)</f>
        <v>0</v>
      </c>
      <c r="AI307" s="6">
        <f>IF((I304&lt;&gt;"")*(I308=""),IF((I304&lt;=$B$443)*((I305&gt;=$C$443)+(I305&lt;2/24)),1,0),0)</f>
        <v>0</v>
      </c>
      <c r="AJ307" s="6">
        <f>IF((J304&lt;&gt;"")*(J308=""),IF((J304&lt;=$B$443)*((J305&gt;=$C$443)+(J305&lt;2/24)),1,0),0)</f>
        <v>0</v>
      </c>
    </row>
    <row r="308" spans="1:36" x14ac:dyDescent="0.2">
      <c r="A308" s="39"/>
      <c r="B308" s="40"/>
      <c r="C308" s="32" t="s">
        <v>4</v>
      </c>
      <c r="D308" s="33"/>
      <c r="E308" s="33"/>
      <c r="F308" s="33"/>
      <c r="G308" s="33"/>
      <c r="H308" s="33"/>
      <c r="I308" s="33"/>
      <c r="J308" s="33"/>
      <c r="K308" s="17"/>
      <c r="L308" s="6"/>
      <c r="M308" s="25"/>
      <c r="N308" s="6"/>
      <c r="O308" s="6"/>
      <c r="P308" s="6"/>
      <c r="Q308" s="6"/>
      <c r="R308" s="6"/>
      <c r="S308" s="6"/>
      <c r="T308" s="6"/>
      <c r="U308" s="6"/>
      <c r="V308" s="20"/>
      <c r="W308" s="20"/>
      <c r="X308" s="20"/>
      <c r="Y308" s="20"/>
      <c r="Z308" s="20"/>
      <c r="AA308" s="20"/>
      <c r="AB308" s="20"/>
      <c r="AD308" s="6">
        <f>IF((D304&lt;&gt;"")*(D308=""),IF((D304&lt;=$B$444)*((D305&gt;=$C$444)+(D305&lt;2/24)),1,0),0)</f>
        <v>0</v>
      </c>
      <c r="AE308" s="6">
        <f>IF((E304&lt;&gt;"")*(E308=""),IF((E304&lt;=$B$444)*((E305&gt;=$C$444)+(E305&lt;2/24)),1,0),0)</f>
        <v>0</v>
      </c>
      <c r="AF308" s="6">
        <f>IF((F304&lt;&gt;"")*(F308=""),IF((F304&lt;=$B$444)*((F305&gt;=$C$444)+(F305&lt;2/24)),1,0),0)</f>
        <v>0</v>
      </c>
      <c r="AG308" s="6">
        <f>IF((G304&lt;&gt;"")*(G308=""),IF((G304&lt;=$B$444)*((G305&gt;=$C$444)+(G305&lt;2/24)),1,0),0)</f>
        <v>0</v>
      </c>
      <c r="AH308" s="6">
        <f>IF((H304&lt;&gt;"")*(H308=""),IF((H304&lt;=$B$444)*((H305&gt;=$C$444)+(H305&lt;2/24)),1,0),0)</f>
        <v>0</v>
      </c>
      <c r="AI308" s="6">
        <f>IF((I304&lt;&gt;"")*(I308=""),IF((I304&lt;=$B$444)*((I305&gt;=$C$444)+(I305&lt;2/24)),1,0),0)</f>
        <v>0</v>
      </c>
      <c r="AJ308" s="6">
        <f>IF((J304&lt;&gt;"")*(J308=""),IF((J304&lt;=$B$444)*((J305&gt;=$C$444)+(J305&lt;2/24)),1,0),0)</f>
        <v>0</v>
      </c>
    </row>
    <row r="309" spans="1:36" ht="13.5" thickBot="1" x14ac:dyDescent="0.25">
      <c r="A309" s="41"/>
      <c r="B309" s="42"/>
      <c r="C309" s="35" t="s">
        <v>28</v>
      </c>
      <c r="D309" s="36"/>
      <c r="E309" s="36"/>
      <c r="F309" s="36"/>
      <c r="G309" s="36"/>
      <c r="H309" s="36"/>
      <c r="I309" s="36"/>
      <c r="J309" s="36"/>
      <c r="K309" s="34"/>
      <c r="L309" s="6"/>
      <c r="M309" s="25"/>
      <c r="N309" s="6"/>
      <c r="O309" s="6"/>
      <c r="P309" s="6"/>
      <c r="Q309" s="6"/>
      <c r="R309" s="6"/>
      <c r="S309" s="6"/>
      <c r="T309" s="6"/>
      <c r="U309" s="6"/>
      <c r="V309" s="20"/>
      <c r="W309" s="20"/>
      <c r="X309" s="20"/>
      <c r="Y309" s="20"/>
      <c r="Z309" s="20"/>
      <c r="AA309" s="20"/>
      <c r="AB309" s="20"/>
      <c r="AD309" s="6"/>
      <c r="AE309" s="6"/>
      <c r="AF309" s="6"/>
      <c r="AG309" s="6"/>
      <c r="AH309" s="6"/>
      <c r="AI309" s="6"/>
      <c r="AJ309" s="6"/>
    </row>
    <row r="310" spans="1:36" x14ac:dyDescent="0.2">
      <c r="A310" s="37" t="s">
        <v>131</v>
      </c>
      <c r="B310" s="38" t="s">
        <v>132</v>
      </c>
      <c r="C310" s="14" t="s">
        <v>0</v>
      </c>
      <c r="D310" s="26"/>
      <c r="E310" s="26"/>
      <c r="F310" s="26"/>
      <c r="G310" s="26"/>
      <c r="H310" s="26"/>
      <c r="I310" s="26"/>
      <c r="J310" s="26"/>
      <c r="K310" s="16"/>
      <c r="L310" s="6"/>
      <c r="M310" s="21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D310" s="6">
        <f>IF((D310&lt;&gt;"")*(D314=""),IF((D310&lt;=$B$440)*((D311&gt;=$C$440)+(D311&lt;2/24)),1,0),0)</f>
        <v>0</v>
      </c>
      <c r="AE310" s="6">
        <f>IF((E310&lt;&gt;"")*(E314=""),IF((E310&lt;=$B$440)*((E311&gt;=$C$440)+(E311&lt;2/24)),1,0),0)</f>
        <v>0</v>
      </c>
      <c r="AF310" s="6">
        <f>IF((F310&lt;&gt;"")*(F314=""),IF((F310&lt;=$B$440)*((F311&gt;=$C$440)+(F311&lt;2/24)),1,0),0)</f>
        <v>0</v>
      </c>
      <c r="AG310" s="6">
        <f>IF((G310&lt;&gt;"")*(G314=""),IF((G310&lt;=$B$440)*((G311&gt;=$C$440)+(G311&lt;2/24)),1,0),0)</f>
        <v>0</v>
      </c>
      <c r="AH310" s="6">
        <f>IF((H310&lt;&gt;"")*(H314=""),IF((H310&lt;=$B$440)*((H311&gt;=$C$440)+(H311&lt;2/24)),1,0),0)</f>
        <v>0</v>
      </c>
      <c r="AI310" s="6">
        <f>IF((I310&lt;&gt;"")*(I314=""),IF((I310&lt;=$B$440)*((I311&gt;=$C$440)+(I311&lt;2/24)),1,0),0)</f>
        <v>0</v>
      </c>
      <c r="AJ310" s="6">
        <f>IF((J310&lt;&gt;"")*(J314=""),IF((J310&lt;=$B$440)*((J311&gt;=$C$440)+(J311&lt;2/24)),1,0),0)</f>
        <v>0</v>
      </c>
    </row>
    <row r="311" spans="1:36" x14ac:dyDescent="0.2">
      <c r="A311" s="39"/>
      <c r="B311" s="40"/>
      <c r="C311" s="15" t="s">
        <v>1</v>
      </c>
      <c r="D311" s="27"/>
      <c r="E311" s="27"/>
      <c r="F311" s="27"/>
      <c r="G311" s="27"/>
      <c r="H311" s="27"/>
      <c r="I311" s="27"/>
      <c r="J311" s="27"/>
      <c r="K311" s="17"/>
      <c r="L311" s="6"/>
      <c r="M311" s="21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D311" s="6">
        <f>IF((D310&lt;&gt;"")*(D314=""),IF((D310&lt;=$B$441)*((D311&gt;=$C$441)+(D311&lt;2/24)),1,0),0)</f>
        <v>0</v>
      </c>
      <c r="AE311" s="6">
        <f>IF((E310&lt;&gt;"")*(E314=""),IF((E310&lt;=$B$441)*((E311&gt;=$C$441)+(E311&lt;2/24)),1,0),0)</f>
        <v>0</v>
      </c>
      <c r="AF311" s="6">
        <f>IF((F310&lt;&gt;"")*(F314=""),IF((F310&lt;=$B$441)*((F311&gt;=$C$441)+(F311&lt;2/24)),1,0),0)</f>
        <v>0</v>
      </c>
      <c r="AG311" s="6">
        <f>IF((G310&lt;&gt;"")*(G314=""),IF((G310&lt;=$B$441)*((G311&gt;=$C$441)+(G311&lt;2/24)),1,0),0)</f>
        <v>0</v>
      </c>
      <c r="AH311" s="6">
        <f>IF((H310&lt;&gt;"")*(H314=""),IF((H310&lt;=$B$441)*((H311&gt;=$C$441)+(H311&lt;2/24)),1,0),0)</f>
        <v>0</v>
      </c>
      <c r="AI311" s="6">
        <f>IF((I310&lt;&gt;"")*(I314=""),IF((I310&lt;=$B$441)*((I311&gt;=$C$441)+(I311&lt;2/24)),1,0),0)</f>
        <v>0</v>
      </c>
      <c r="AJ311" s="6">
        <f>IF((J310&lt;&gt;"")*(J314=""),IF((J310&lt;=$B$441)*((J311&gt;=$C$441)+(J311&lt;2/24)),1,0),0)</f>
        <v>0</v>
      </c>
    </row>
    <row r="312" spans="1:36" x14ac:dyDescent="0.2">
      <c r="A312" s="39"/>
      <c r="B312" s="40"/>
      <c r="C312" s="15" t="s">
        <v>2</v>
      </c>
      <c r="D312" s="4"/>
      <c r="E312" s="4"/>
      <c r="F312" s="4"/>
      <c r="G312" s="4"/>
      <c r="H312" s="4"/>
      <c r="I312" s="4"/>
      <c r="J312" s="4"/>
      <c r="K312" s="17"/>
      <c r="L312" s="6"/>
      <c r="M312" s="21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D312" s="6">
        <f>IF((D310&lt;&gt;"")*(D314=""),IF((D310&lt;=$B$442)*((D311&gt;=$C$442)+(D311&lt;2/24)),1,0),0)</f>
        <v>0</v>
      </c>
      <c r="AE312" s="6">
        <f>IF((E310&lt;&gt;"")*(E314=""),IF((E310&lt;=$B$442)*((E311&gt;=$C$442)+(E311&lt;2/24)),1,0),0)</f>
        <v>0</v>
      </c>
      <c r="AF312" s="6">
        <f>IF((F310&lt;&gt;"")*(F314=""),IF((F310&lt;=$B$442)*((F311&gt;=$C$442)+(F311&lt;2/24)),1,0),0)</f>
        <v>0</v>
      </c>
      <c r="AG312" s="6">
        <f>IF((G310&lt;&gt;"")*(G314=""),IF((G310&lt;=$B$442)*((G311&gt;=$C$442)+(G311&lt;2/24)),1,0),0)</f>
        <v>0</v>
      </c>
      <c r="AH312" s="6">
        <f>IF((H310&lt;&gt;"")*(H314=""),IF((H310&lt;=$B$442)*((H311&gt;=$C$442)+(H311&lt;2/24)),1,0),0)</f>
        <v>0</v>
      </c>
      <c r="AI312" s="6">
        <f>IF((I310&lt;&gt;"")*(I314=""),IF((I310&lt;=$B$442)*((I311&gt;=$C$442)+(I311&lt;2/24)),1,0),0)</f>
        <v>0</v>
      </c>
      <c r="AJ312" s="6">
        <f>IF((J310&lt;&gt;"")*(J314=""),IF((J310&lt;=$B$442)*((J311&gt;=$C$442)+(J311&lt;2/24)),1,0),0)</f>
        <v>0</v>
      </c>
    </row>
    <row r="313" spans="1:36" x14ac:dyDescent="0.2">
      <c r="A313" s="39"/>
      <c r="B313" s="40"/>
      <c r="C313" s="15" t="s">
        <v>3</v>
      </c>
      <c r="D313" s="43" t="str">
        <f t="shared" ref="D313:J313" si="201">IF(D310="","",IF(D311&gt;D310,(D311-D310-D312)*24,(1-D310-D312+D311)*24))</f>
        <v/>
      </c>
      <c r="E313" s="43" t="str">
        <f t="shared" si="201"/>
        <v/>
      </c>
      <c r="F313" s="43" t="str">
        <f t="shared" si="201"/>
        <v/>
      </c>
      <c r="G313" s="43" t="str">
        <f t="shared" si="201"/>
        <v/>
      </c>
      <c r="H313" s="43" t="str">
        <f t="shared" si="201"/>
        <v/>
      </c>
      <c r="I313" s="55" t="str">
        <f t="shared" si="201"/>
        <v/>
      </c>
      <c r="J313" s="44" t="str">
        <f t="shared" si="201"/>
        <v/>
      </c>
      <c r="K313" s="18">
        <f>SUMIF(D314:J314,"",D313:J313)</f>
        <v>0</v>
      </c>
      <c r="L313" s="12">
        <f>SUM(D313:J313)</f>
        <v>0</v>
      </c>
      <c r="M313" s="24"/>
      <c r="N313" s="10" t="str">
        <f>IF(D314="",D313,0)</f>
        <v/>
      </c>
      <c r="O313" s="10" t="str">
        <f>IF(E314="",E313,0)</f>
        <v/>
      </c>
      <c r="P313" s="10" t="str">
        <f t="shared" ref="P313" si="202">IF(F314="",F313,0)</f>
        <v/>
      </c>
      <c r="Q313" s="10" t="str">
        <f t="shared" ref="Q313" si="203">IF(G314="",G313,0)</f>
        <v/>
      </c>
      <c r="R313" s="10" t="str">
        <f t="shared" ref="R313" si="204">IF(H314="",H313,0)</f>
        <v/>
      </c>
      <c r="S313" s="10" t="str">
        <f t="shared" ref="S313" si="205">IF(I314="",I313,0)</f>
        <v/>
      </c>
      <c r="T313" s="10" t="str">
        <f t="shared" ref="T313" si="206">IF(J314="",J313,0)</f>
        <v/>
      </c>
      <c r="U313" s="10"/>
      <c r="V313" s="10" t="str">
        <f>D313</f>
        <v/>
      </c>
      <c r="W313" s="10" t="str">
        <f>E313</f>
        <v/>
      </c>
      <c r="X313" s="10" t="str">
        <f t="shared" ref="X313" si="207">F313</f>
        <v/>
      </c>
      <c r="Y313" s="10" t="str">
        <f t="shared" ref="Y313" si="208">G313</f>
        <v/>
      </c>
      <c r="Z313" s="10" t="str">
        <f t="shared" ref="Z313" si="209">H313</f>
        <v/>
      </c>
      <c r="AA313" s="10" t="str">
        <f t="shared" ref="AA313" si="210">I313</f>
        <v/>
      </c>
      <c r="AB313" s="10" t="str">
        <f t="shared" ref="AB313" si="211">J313</f>
        <v/>
      </c>
      <c r="AD313" s="6">
        <f>IF((D310&lt;&gt;"")*(D314=""),IF((D310&lt;=$B$443)*((D311&gt;=$C$443)+(D311&lt;2/24)),1,0),0)</f>
        <v>0</v>
      </c>
      <c r="AE313" s="6">
        <f>IF((E310&lt;&gt;"")*(E314=""),IF((E310&lt;=$B$443)*((E311&gt;=$C$443)+(E311&lt;2/24)),1,0),0)</f>
        <v>0</v>
      </c>
      <c r="AF313" s="6">
        <f>IF((F310&lt;&gt;"")*(F314=""),IF((F310&lt;=$B$443)*((F311&gt;=$C$443)+(F311&lt;2/24)),1,0),0)</f>
        <v>0</v>
      </c>
      <c r="AG313" s="6">
        <f>IF((G310&lt;&gt;"")*(G314=""),IF((G310&lt;=$B$443)*((G311&gt;=$C$443)+(G311&lt;2/24)),1,0),0)</f>
        <v>0</v>
      </c>
      <c r="AH313" s="6">
        <f>IF((H310&lt;&gt;"")*(H314=""),IF((H310&lt;=$B$443)*((H311&gt;=$C$443)+(H311&lt;2/24)),1,0),0)</f>
        <v>0</v>
      </c>
      <c r="AI313" s="6">
        <f>IF((I310&lt;&gt;"")*(I314=""),IF((I310&lt;=$B$443)*((I311&gt;=$C$443)+(I311&lt;2/24)),1,0),0)</f>
        <v>0</v>
      </c>
      <c r="AJ313" s="6">
        <f>IF((J310&lt;&gt;"")*(J314=""),IF((J310&lt;=$B$443)*((J311&gt;=$C$443)+(J311&lt;2/24)),1,0),0)</f>
        <v>0</v>
      </c>
    </row>
    <row r="314" spans="1:36" x14ac:dyDescent="0.2">
      <c r="A314" s="39"/>
      <c r="B314" s="40"/>
      <c r="C314" s="32" t="s">
        <v>4</v>
      </c>
      <c r="D314" s="33"/>
      <c r="E314" s="33"/>
      <c r="F314" s="33"/>
      <c r="G314" s="33"/>
      <c r="H314" s="33"/>
      <c r="I314" s="33"/>
      <c r="J314" s="33"/>
      <c r="K314" s="17"/>
      <c r="L314" s="6"/>
      <c r="M314" s="25"/>
      <c r="N314" s="6"/>
      <c r="O314" s="6"/>
      <c r="P314" s="6"/>
      <c r="Q314" s="6"/>
      <c r="R314" s="6"/>
      <c r="S314" s="6"/>
      <c r="T314" s="6"/>
      <c r="U314" s="6"/>
      <c r="V314" s="20"/>
      <c r="W314" s="20"/>
      <c r="X314" s="20"/>
      <c r="Y314" s="20"/>
      <c r="Z314" s="20"/>
      <c r="AA314" s="20"/>
      <c r="AB314" s="20"/>
      <c r="AD314" s="6">
        <f>IF((D310&lt;&gt;"")*(D314=""),IF((D310&lt;=$B$444)*((D311&gt;=$C$444)+(D311&lt;2/24)),1,0),0)</f>
        <v>0</v>
      </c>
      <c r="AE314" s="6">
        <f>IF((E310&lt;&gt;"")*(E314=""),IF((E310&lt;=$B$444)*((E311&gt;=$C$444)+(E311&lt;2/24)),1,0),0)</f>
        <v>0</v>
      </c>
      <c r="AF314" s="6">
        <f>IF((F310&lt;&gt;"")*(F314=""),IF((F310&lt;=$B$444)*((F311&gt;=$C$444)+(F311&lt;2/24)),1,0),0)</f>
        <v>0</v>
      </c>
      <c r="AG314" s="6">
        <f>IF((G310&lt;&gt;"")*(G314=""),IF((G310&lt;=$B$444)*((G311&gt;=$C$444)+(G311&lt;2/24)),1,0),0)</f>
        <v>0</v>
      </c>
      <c r="AH314" s="6">
        <f>IF((H310&lt;&gt;"")*(H314=""),IF((H310&lt;=$B$444)*((H311&gt;=$C$444)+(H311&lt;2/24)),1,0),0)</f>
        <v>0</v>
      </c>
      <c r="AI314" s="6">
        <f>IF((I310&lt;&gt;"")*(I314=""),IF((I310&lt;=$B$444)*((I311&gt;=$C$444)+(I311&lt;2/24)),1,0),0)</f>
        <v>0</v>
      </c>
      <c r="AJ314" s="6">
        <f>IF((J310&lt;&gt;"")*(J314=""),IF((J310&lt;=$B$444)*((J311&gt;=$C$444)+(J311&lt;2/24)),1,0),0)</f>
        <v>0</v>
      </c>
    </row>
    <row r="315" spans="1:36" ht="13.5" thickBot="1" x14ac:dyDescent="0.25">
      <c r="A315" s="41"/>
      <c r="B315" s="42"/>
      <c r="C315" s="35" t="s">
        <v>28</v>
      </c>
      <c r="D315" s="54"/>
      <c r="E315" s="36"/>
      <c r="F315" s="36"/>
      <c r="G315" s="36"/>
      <c r="H315" s="36"/>
      <c r="I315" s="36"/>
      <c r="J315" s="36"/>
      <c r="K315" s="34"/>
      <c r="L315" s="6"/>
      <c r="M315" s="25"/>
      <c r="N315" s="6"/>
      <c r="O315" s="6"/>
      <c r="P315" s="6"/>
      <c r="Q315" s="6"/>
      <c r="R315" s="6"/>
      <c r="S315" s="6"/>
      <c r="T315" s="6"/>
      <c r="U315" s="6"/>
      <c r="V315" s="20"/>
      <c r="W315" s="20"/>
      <c r="X315" s="20"/>
      <c r="Y315" s="20"/>
      <c r="Z315" s="20"/>
      <c r="AA315" s="20"/>
      <c r="AB315" s="20"/>
      <c r="AD315" s="6"/>
      <c r="AE315" s="6"/>
      <c r="AF315" s="6"/>
      <c r="AG315" s="6"/>
      <c r="AH315" s="6"/>
      <c r="AI315" s="6"/>
      <c r="AJ315" s="6"/>
    </row>
    <row r="316" spans="1:36" x14ac:dyDescent="0.2">
      <c r="A316" s="37" t="s">
        <v>135</v>
      </c>
      <c r="B316" s="38" t="s">
        <v>136</v>
      </c>
      <c r="C316" s="14" t="s">
        <v>0</v>
      </c>
      <c r="D316" s="26"/>
      <c r="E316" s="26"/>
      <c r="F316" s="26"/>
      <c r="G316" s="26"/>
      <c r="H316" s="26"/>
      <c r="I316" s="26"/>
      <c r="J316" s="26"/>
      <c r="K316" s="16"/>
      <c r="L316" s="6"/>
      <c r="M316" s="21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D316" s="6">
        <f>IF((D316&lt;&gt;"")*(D320=""),IF((D316&lt;=$B$440)*((D317&gt;=$C$440)+(D317&lt;2/24)),1,0),0)</f>
        <v>0</v>
      </c>
      <c r="AE316" s="6">
        <f>IF((E316&lt;&gt;"")*(E320=""),IF((E316&lt;=$B$440)*((E317&gt;=$C$440)+(E317&lt;2/24)),1,0),0)</f>
        <v>0</v>
      </c>
      <c r="AF316" s="6">
        <f>IF((F316&lt;&gt;"")*(F320=""),IF((F316&lt;=$B$440)*((F317&gt;=$C$440)+(F317&lt;2/24)),1,0),0)</f>
        <v>0</v>
      </c>
      <c r="AG316" s="6">
        <f>IF((G316&lt;&gt;"")*(G320=""),IF((G316&lt;=$B$440)*((G317&gt;=$C$440)+(G317&lt;2/24)),1,0),0)</f>
        <v>0</v>
      </c>
      <c r="AH316" s="6">
        <f>IF((H316&lt;&gt;"")*(H320=""),IF((H316&lt;=$B$440)*((H317&gt;=$C$440)+(H317&lt;2/24)),1,0),0)</f>
        <v>0</v>
      </c>
      <c r="AI316" s="6">
        <f>IF((I316&lt;&gt;"")*(I320=""),IF((I316&lt;=$B$440)*((I317&gt;=$C$440)+(I317&lt;2/24)),1,0),0)</f>
        <v>0</v>
      </c>
      <c r="AJ316" s="6">
        <f>IF((J316&lt;&gt;"")*(J320=""),IF((J316&lt;=$B$440)*((J317&gt;=$C$440)+(J317&lt;2/24)),1,0),0)</f>
        <v>0</v>
      </c>
    </row>
    <row r="317" spans="1:36" x14ac:dyDescent="0.2">
      <c r="A317" s="39"/>
      <c r="B317" s="40"/>
      <c r="C317" s="15" t="s">
        <v>1</v>
      </c>
      <c r="D317" s="27"/>
      <c r="E317" s="27"/>
      <c r="F317" s="27"/>
      <c r="G317" s="27"/>
      <c r="H317" s="27"/>
      <c r="I317" s="27"/>
      <c r="J317" s="27"/>
      <c r="K317" s="17"/>
      <c r="L317" s="6"/>
      <c r="M317" s="21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D317" s="6">
        <f>IF((D316&lt;&gt;"")*(D320=""),IF((D316&lt;=$B$441)*((D317&gt;=$C$441)+(D317&lt;2/24)),1,0),0)</f>
        <v>0</v>
      </c>
      <c r="AE317" s="6">
        <f>IF((E316&lt;&gt;"")*(E320=""),IF((E316&lt;=$B$441)*((E317&gt;=$C$441)+(E317&lt;2/24)),1,0),0)</f>
        <v>0</v>
      </c>
      <c r="AF317" s="6">
        <f>IF((F316&lt;&gt;"")*(F320=""),IF((F316&lt;=$B$441)*((F317&gt;=$C$441)+(F317&lt;2/24)),1,0),0)</f>
        <v>0</v>
      </c>
      <c r="AG317" s="6">
        <f>IF((G316&lt;&gt;"")*(G320=""),IF((G316&lt;=$B$441)*((G317&gt;=$C$441)+(G317&lt;2/24)),1,0),0)</f>
        <v>0</v>
      </c>
      <c r="AH317" s="6">
        <f>IF((H316&lt;&gt;"")*(H320=""),IF((H316&lt;=$B$441)*((H317&gt;=$C$441)+(H317&lt;2/24)),1,0),0)</f>
        <v>0</v>
      </c>
      <c r="AI317" s="6">
        <f>IF((I316&lt;&gt;"")*(I320=""),IF((I316&lt;=$B$441)*((I317&gt;=$C$441)+(I317&lt;2/24)),1,0),0)</f>
        <v>0</v>
      </c>
      <c r="AJ317" s="6">
        <f>IF((J316&lt;&gt;"")*(J320=""),IF((J316&lt;=$B$441)*((J317&gt;=$C$441)+(J317&lt;2/24)),1,0),0)</f>
        <v>0</v>
      </c>
    </row>
    <row r="318" spans="1:36" x14ac:dyDescent="0.2">
      <c r="A318" s="39"/>
      <c r="B318" s="40"/>
      <c r="C318" s="15" t="s">
        <v>2</v>
      </c>
      <c r="D318" s="4"/>
      <c r="E318" s="4"/>
      <c r="F318" s="4"/>
      <c r="G318" s="4"/>
      <c r="H318" s="4"/>
      <c r="I318" s="4"/>
      <c r="J318" s="4"/>
      <c r="K318" s="17"/>
      <c r="L318" s="6"/>
      <c r="M318" s="21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D318" s="6">
        <f>IF((D316&lt;&gt;"")*(D320=""),IF((D316&lt;=$B$442)*((D317&gt;=$C$442)+(D317&lt;2/24)),1,0),0)</f>
        <v>0</v>
      </c>
      <c r="AE318" s="6">
        <f>IF((E316&lt;&gt;"")*(E320=""),IF((E316&lt;=$B$442)*((E317&gt;=$C$442)+(E317&lt;2/24)),1,0),0)</f>
        <v>0</v>
      </c>
      <c r="AF318" s="6">
        <f>IF((F316&lt;&gt;"")*(F320=""),IF((F316&lt;=$B$442)*((F317&gt;=$C$442)+(F317&lt;2/24)),1,0),0)</f>
        <v>0</v>
      </c>
      <c r="AG318" s="6">
        <f>IF((G316&lt;&gt;"")*(G320=""),IF((G316&lt;=$B$442)*((G317&gt;=$C$442)+(G317&lt;2/24)),1,0),0)</f>
        <v>0</v>
      </c>
      <c r="AH318" s="6">
        <f>IF((H316&lt;&gt;"")*(H320=""),IF((H316&lt;=$B$442)*((H317&gt;=$C$442)+(H317&lt;2/24)),1,0),0)</f>
        <v>0</v>
      </c>
      <c r="AI318" s="6">
        <f>IF((I316&lt;&gt;"")*(I320=""),IF((I316&lt;=$B$442)*((I317&gt;=$C$442)+(I317&lt;2/24)),1,0),0)</f>
        <v>0</v>
      </c>
      <c r="AJ318" s="6">
        <f>IF((J316&lt;&gt;"")*(J320=""),IF((J316&lt;=$B$442)*((J317&gt;=$C$442)+(J317&lt;2/24)),1,0),0)</f>
        <v>0</v>
      </c>
    </row>
    <row r="319" spans="1:36" x14ac:dyDescent="0.2">
      <c r="A319" s="39"/>
      <c r="B319" s="40"/>
      <c r="C319" s="15" t="s">
        <v>3</v>
      </c>
      <c r="D319" s="43" t="str">
        <f t="shared" ref="D319:J319" si="212">IF(D316="","",IF(D317&gt;D316,(D317-D316-D318)*24,(1-D316-D318+D317)*24))</f>
        <v/>
      </c>
      <c r="E319" s="43" t="str">
        <f t="shared" si="212"/>
        <v/>
      </c>
      <c r="F319" s="43" t="str">
        <f t="shared" si="212"/>
        <v/>
      </c>
      <c r="G319" s="43" t="str">
        <f t="shared" si="212"/>
        <v/>
      </c>
      <c r="H319" s="43" t="str">
        <f t="shared" si="212"/>
        <v/>
      </c>
      <c r="I319" s="55" t="str">
        <f t="shared" si="212"/>
        <v/>
      </c>
      <c r="J319" s="44" t="str">
        <f t="shared" si="212"/>
        <v/>
      </c>
      <c r="K319" s="18">
        <f>SUMIF(D320:J320,"",D319:J319)</f>
        <v>0</v>
      </c>
      <c r="L319" s="12">
        <f>SUM(D319:J319)</f>
        <v>0</v>
      </c>
      <c r="M319" s="24"/>
      <c r="N319" s="10" t="str">
        <f>IF(D320="",D319,0)</f>
        <v/>
      </c>
      <c r="O319" s="10" t="str">
        <f>IF(E320="",E319,0)</f>
        <v/>
      </c>
      <c r="P319" s="10" t="str">
        <f t="shared" ref="P319" si="213">IF(F320="",F319,0)</f>
        <v/>
      </c>
      <c r="Q319" s="10" t="str">
        <f t="shared" ref="Q319" si="214">IF(G320="",G319,0)</f>
        <v/>
      </c>
      <c r="R319" s="10" t="str">
        <f t="shared" ref="R319" si="215">IF(H320="",H319,0)</f>
        <v/>
      </c>
      <c r="S319" s="10" t="str">
        <f t="shared" ref="S319" si="216">IF(I320="",I319,0)</f>
        <v/>
      </c>
      <c r="T319" s="10" t="str">
        <f t="shared" ref="T319" si="217">IF(J320="",J319,0)</f>
        <v/>
      </c>
      <c r="U319" s="10"/>
      <c r="V319" s="10" t="str">
        <f>D319</f>
        <v/>
      </c>
      <c r="W319" s="10" t="str">
        <f>E319</f>
        <v/>
      </c>
      <c r="X319" s="10" t="str">
        <f t="shared" ref="X319" si="218">F319</f>
        <v/>
      </c>
      <c r="Y319" s="10" t="str">
        <f t="shared" ref="Y319" si="219">G319</f>
        <v/>
      </c>
      <c r="Z319" s="10" t="str">
        <f t="shared" ref="Z319" si="220">H319</f>
        <v/>
      </c>
      <c r="AA319" s="10" t="str">
        <f t="shared" ref="AA319" si="221">I319</f>
        <v/>
      </c>
      <c r="AB319" s="10" t="str">
        <f t="shared" ref="AB319" si="222">J319</f>
        <v/>
      </c>
      <c r="AD319" s="6">
        <f>IF((D316&lt;&gt;"")*(D320=""),IF((D316&lt;=$B$443)*((D317&gt;=$C$443)+(D317&lt;2/24)),1,0),0)</f>
        <v>0</v>
      </c>
      <c r="AE319" s="6">
        <f>IF((E316&lt;&gt;"")*(E320=""),IF((E316&lt;=$B$443)*((E317&gt;=$C$443)+(E317&lt;2/24)),1,0),0)</f>
        <v>0</v>
      </c>
      <c r="AF319" s="6">
        <f>IF((F316&lt;&gt;"")*(F320=""),IF((F316&lt;=$B$443)*((F317&gt;=$C$443)+(F317&lt;2/24)),1,0),0)</f>
        <v>0</v>
      </c>
      <c r="AG319" s="6">
        <f>IF((G316&lt;&gt;"")*(G320=""),IF((G316&lt;=$B$443)*((G317&gt;=$C$443)+(G317&lt;2/24)),1,0),0)</f>
        <v>0</v>
      </c>
      <c r="AH319" s="6">
        <f>IF((H316&lt;&gt;"")*(H320=""),IF((H316&lt;=$B$443)*((H317&gt;=$C$443)+(H317&lt;2/24)),1,0),0)</f>
        <v>0</v>
      </c>
      <c r="AI319" s="6">
        <f>IF((I316&lt;&gt;"")*(I320=""),IF((I316&lt;=$B$443)*((I317&gt;=$C$443)+(I317&lt;2/24)),1,0),0)</f>
        <v>0</v>
      </c>
      <c r="AJ319" s="6">
        <f>IF((J316&lt;&gt;"")*(J320=""),IF((J316&lt;=$B$443)*((J317&gt;=$C$443)+(J317&lt;2/24)),1,0),0)</f>
        <v>0</v>
      </c>
    </row>
    <row r="320" spans="1:36" x14ac:dyDescent="0.2">
      <c r="A320" s="39"/>
      <c r="B320" s="40"/>
      <c r="C320" s="32" t="s">
        <v>4</v>
      </c>
      <c r="D320" s="33"/>
      <c r="E320" s="33"/>
      <c r="F320" s="33"/>
      <c r="G320" s="33"/>
      <c r="H320" s="33"/>
      <c r="I320" s="33"/>
      <c r="J320" s="33"/>
      <c r="K320" s="17"/>
      <c r="L320" s="6"/>
      <c r="M320" s="25"/>
      <c r="N320" s="6"/>
      <c r="O320" s="6"/>
      <c r="P320" s="6"/>
      <c r="Q320" s="6"/>
      <c r="R320" s="6"/>
      <c r="S320" s="6"/>
      <c r="T320" s="6"/>
      <c r="U320" s="6"/>
      <c r="V320" s="20"/>
      <c r="W320" s="20"/>
      <c r="X320" s="20"/>
      <c r="Y320" s="20"/>
      <c r="Z320" s="20"/>
      <c r="AA320" s="20"/>
      <c r="AB320" s="20"/>
      <c r="AD320" s="6">
        <f>IF((D316&lt;&gt;"")*(D320=""),IF((D316&lt;=$B$444)*((D317&gt;=$C$444)+(D317&lt;2/24)),1,0),0)</f>
        <v>0</v>
      </c>
      <c r="AE320" s="6">
        <f>IF((E316&lt;&gt;"")*(E320=""),IF((E316&lt;=$B$444)*((E317&gt;=$C$444)+(E317&lt;2/24)),1,0),0)</f>
        <v>0</v>
      </c>
      <c r="AF320" s="6">
        <f>IF((F316&lt;&gt;"")*(F320=""),IF((F316&lt;=$B$444)*((F317&gt;=$C$444)+(F317&lt;2/24)),1,0),0)</f>
        <v>0</v>
      </c>
      <c r="AG320" s="6">
        <f>IF((G316&lt;&gt;"")*(G320=""),IF((G316&lt;=$B$444)*((G317&gt;=$C$444)+(G317&lt;2/24)),1,0),0)</f>
        <v>0</v>
      </c>
      <c r="AH320" s="6">
        <f>IF((H316&lt;&gt;"")*(H320=""),IF((H316&lt;=$B$444)*((H317&gt;=$C$444)+(H317&lt;2/24)),1,0),0)</f>
        <v>0</v>
      </c>
      <c r="AI320" s="6">
        <f>IF((I316&lt;&gt;"")*(I320=""),IF((I316&lt;=$B$444)*((I317&gt;=$C$444)+(I317&lt;2/24)),1,0),0)</f>
        <v>0</v>
      </c>
      <c r="AJ320" s="6">
        <f>IF((J316&lt;&gt;"")*(J320=""),IF((J316&lt;=$B$444)*((J317&gt;=$C$444)+(J317&lt;2/24)),1,0),0)</f>
        <v>0</v>
      </c>
    </row>
    <row r="321" spans="1:36" ht="13.5" thickBot="1" x14ac:dyDescent="0.25">
      <c r="A321" s="41"/>
      <c r="B321" s="42"/>
      <c r="C321" s="35" t="s">
        <v>28</v>
      </c>
      <c r="D321" s="54"/>
      <c r="E321" s="36"/>
      <c r="F321" s="36"/>
      <c r="G321" s="36"/>
      <c r="H321" s="36"/>
      <c r="I321" s="36"/>
      <c r="J321" s="36"/>
      <c r="K321" s="34"/>
      <c r="L321" s="6"/>
      <c r="M321" s="25"/>
      <c r="N321" s="6"/>
      <c r="O321" s="6"/>
      <c r="P321" s="6"/>
      <c r="Q321" s="6"/>
      <c r="R321" s="6"/>
      <c r="S321" s="6"/>
      <c r="T321" s="6"/>
      <c r="U321" s="6"/>
      <c r="V321" s="20"/>
      <c r="W321" s="20"/>
      <c r="X321" s="20"/>
      <c r="Y321" s="20"/>
      <c r="Z321" s="20"/>
      <c r="AA321" s="20"/>
      <c r="AB321" s="20"/>
      <c r="AD321" s="6"/>
      <c r="AE321" s="6"/>
      <c r="AF321" s="6"/>
      <c r="AG321" s="6"/>
      <c r="AH321" s="6"/>
      <c r="AI321" s="6"/>
      <c r="AJ321" s="6"/>
    </row>
    <row r="322" spans="1:36" x14ac:dyDescent="0.2">
      <c r="A322" s="37" t="s">
        <v>137</v>
      </c>
      <c r="B322" s="38" t="s">
        <v>138</v>
      </c>
      <c r="C322" s="14" t="s">
        <v>0</v>
      </c>
      <c r="D322" s="26"/>
      <c r="E322" s="26"/>
      <c r="F322" s="26">
        <v>0.77083333333333337</v>
      </c>
      <c r="G322" s="26">
        <v>0.54166666666666663</v>
      </c>
      <c r="H322" s="26"/>
      <c r="I322" s="26"/>
      <c r="J322" s="26"/>
      <c r="K322" s="16"/>
      <c r="L322" s="6"/>
      <c r="M322" s="21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D322" s="6">
        <f>IF((D322&lt;&gt;"")*(D326=""),IF((D322&lt;=$B$440)*((D323&gt;=$C$440)+(D323&lt;2/24)),1,0),0)</f>
        <v>0</v>
      </c>
      <c r="AE322" s="6">
        <f>IF((E322&lt;&gt;"")*(E326=""),IF((E322&lt;=$B$440)*((E323&gt;=$C$440)+(E323&lt;2/24)),1,0),0)</f>
        <v>0</v>
      </c>
      <c r="AF322" s="6">
        <f>IF((F322&lt;&gt;"")*(F326=""),IF((F322&lt;=$B$440)*((F323&gt;=$C$440)+(F323&lt;2/24)),1,0),0)</f>
        <v>0</v>
      </c>
      <c r="AG322" s="6">
        <f>IF((G322&lt;&gt;"")*(G326=""),IF((G322&lt;=$B$440)*((G323&gt;=$C$440)+(G323&lt;2/24)),1,0),0)</f>
        <v>0</v>
      </c>
      <c r="AH322" s="6">
        <f>IF((H322&lt;&gt;"")*(H326=""),IF((H322&lt;=$B$440)*((H323&gt;=$C$440)+(H323&lt;2/24)),1,0),0)</f>
        <v>0</v>
      </c>
      <c r="AI322" s="6">
        <f>IF((I322&lt;&gt;"")*(I326=""),IF((I322&lt;=$B$440)*((I323&gt;=$C$440)+(I323&lt;2/24)),1,0),0)</f>
        <v>0</v>
      </c>
      <c r="AJ322" s="6">
        <f>IF((J322&lt;&gt;"")*(J326=""),IF((J322&lt;=$B$440)*((J323&gt;=$C$440)+(J323&lt;2/24)),1,0),0)</f>
        <v>0</v>
      </c>
    </row>
    <row r="323" spans="1:36" x14ac:dyDescent="0.2">
      <c r="A323" s="39"/>
      <c r="B323" s="40"/>
      <c r="C323" s="15" t="s">
        <v>1</v>
      </c>
      <c r="D323" s="27"/>
      <c r="E323" s="27"/>
      <c r="F323" s="27">
        <v>0.95833333333333337</v>
      </c>
      <c r="G323" s="27">
        <v>0.95833333333333337</v>
      </c>
      <c r="H323" s="27"/>
      <c r="I323" s="27"/>
      <c r="J323" s="27"/>
      <c r="K323" s="17"/>
      <c r="L323" s="6"/>
      <c r="M323" s="21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D323" s="6">
        <f>IF((D322&lt;&gt;"")*(D326=""),IF((D322&lt;=$B$441)*((D323&gt;=$C$441)+(D323&lt;2/24)),1,0),0)</f>
        <v>0</v>
      </c>
      <c r="AE323" s="6">
        <f>IF((E322&lt;&gt;"")*(E326=""),IF((E322&lt;=$B$441)*((E323&gt;=$C$441)+(E323&lt;2/24)),1,0),0)</f>
        <v>0</v>
      </c>
      <c r="AF323" s="6">
        <f>IF((F322&lt;&gt;"")*(F326=""),IF((F322&lt;=$B$441)*((F323&gt;=$C$441)+(F323&lt;2/24)),1,0),0)</f>
        <v>0</v>
      </c>
      <c r="AG323" s="6">
        <f>IF((G322&lt;&gt;"")*(G326=""),IF((G322&lt;=$B$441)*((G323&gt;=$C$441)+(G323&lt;2/24)),1,0),0)</f>
        <v>1</v>
      </c>
      <c r="AH323" s="6">
        <f>IF((H322&lt;&gt;"")*(H326=""),IF((H322&lt;=$B$441)*((H323&gt;=$C$441)+(H323&lt;2/24)),1,0),0)</f>
        <v>0</v>
      </c>
      <c r="AI323" s="6">
        <f>IF((I322&lt;&gt;"")*(I326=""),IF((I322&lt;=$B$441)*((I323&gt;=$C$441)+(I323&lt;2/24)),1,0),0)</f>
        <v>0</v>
      </c>
      <c r="AJ323" s="6">
        <f>IF((J322&lt;&gt;"")*(J326=""),IF((J322&lt;=$B$441)*((J323&gt;=$C$441)+(J323&lt;2/24)),1,0),0)</f>
        <v>0</v>
      </c>
    </row>
    <row r="324" spans="1:36" x14ac:dyDescent="0.2">
      <c r="A324" s="39"/>
      <c r="B324" s="40"/>
      <c r="C324" s="15" t="s">
        <v>2</v>
      </c>
      <c r="D324" s="4"/>
      <c r="E324" s="4"/>
      <c r="F324" s="4"/>
      <c r="G324" s="4">
        <v>4.1666666666666664E-2</v>
      </c>
      <c r="H324" s="4"/>
      <c r="I324" s="4"/>
      <c r="J324" s="4"/>
      <c r="K324" s="17"/>
      <c r="L324" s="6"/>
      <c r="M324" s="21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D324" s="6">
        <f>IF((D322&lt;&gt;"")*(D326=""),IF((D322&lt;=$B$442)*((D323&gt;=$C$442)+(D323&lt;2/24)),1,0),0)</f>
        <v>0</v>
      </c>
      <c r="AE324" s="6">
        <f>IF((E322&lt;&gt;"")*(E326=""),IF((E322&lt;=$B$442)*((E323&gt;=$C$442)+(E323&lt;2/24)),1,0),0)</f>
        <v>0</v>
      </c>
      <c r="AF324" s="6">
        <f>IF((F322&lt;&gt;"")*(F326=""),IF((F322&lt;=$B$442)*((F323&gt;=$C$442)+(F323&lt;2/24)),1,0),0)</f>
        <v>0</v>
      </c>
      <c r="AG324" s="6">
        <f>IF((G322&lt;&gt;"")*(G326=""),IF((G322&lt;=$B$442)*((G323&gt;=$C$442)+(G323&lt;2/24)),1,0),0)</f>
        <v>1</v>
      </c>
      <c r="AH324" s="6">
        <f>IF((H322&lt;&gt;"")*(H326=""),IF((H322&lt;=$B$442)*((H323&gt;=$C$442)+(H323&lt;2/24)),1,0),0)</f>
        <v>0</v>
      </c>
      <c r="AI324" s="6">
        <f>IF((I322&lt;&gt;"")*(I326=""),IF((I322&lt;=$B$442)*((I323&gt;=$C$442)+(I323&lt;2/24)),1,0),0)</f>
        <v>0</v>
      </c>
      <c r="AJ324" s="6">
        <f>IF((J322&lt;&gt;"")*(J326=""),IF((J322&lt;=$B$442)*((J323&gt;=$C$442)+(J323&lt;2/24)),1,0),0)</f>
        <v>0</v>
      </c>
    </row>
    <row r="325" spans="1:36" x14ac:dyDescent="0.2">
      <c r="A325" s="39"/>
      <c r="B325" s="40"/>
      <c r="C325" s="15" t="s">
        <v>3</v>
      </c>
      <c r="D325" s="43" t="str">
        <f t="shared" ref="D325:J325" si="223">IF(D322="","",IF(D323&gt;D322,(D323-D322-D324)*24,(1-D322-D324+D323)*24))</f>
        <v/>
      </c>
      <c r="E325" s="43" t="str">
        <f t="shared" si="223"/>
        <v/>
      </c>
      <c r="F325" s="43">
        <f t="shared" si="223"/>
        <v>4.5</v>
      </c>
      <c r="G325" s="43">
        <f t="shared" si="223"/>
        <v>9.0000000000000018</v>
      </c>
      <c r="H325" s="43" t="str">
        <f t="shared" si="223"/>
        <v/>
      </c>
      <c r="I325" s="55" t="str">
        <f t="shared" si="223"/>
        <v/>
      </c>
      <c r="J325" s="44" t="str">
        <f t="shared" si="223"/>
        <v/>
      </c>
      <c r="K325" s="18">
        <f>SUMIF(D326:J326,"",D325:J325)</f>
        <v>13.500000000000002</v>
      </c>
      <c r="L325" s="12">
        <f>SUM(D325:J325)</f>
        <v>13.500000000000002</v>
      </c>
      <c r="M325" s="24"/>
      <c r="N325" s="10" t="str">
        <f>IF(D326="",D325,0)</f>
        <v/>
      </c>
      <c r="O325" s="10" t="str">
        <f>IF(E326="",E325,0)</f>
        <v/>
      </c>
      <c r="P325" s="10">
        <f t="shared" ref="P325" si="224">IF(F326="",F325,0)</f>
        <v>4.5</v>
      </c>
      <c r="Q325" s="10">
        <f t="shared" ref="Q325" si="225">IF(G326="",G325,0)</f>
        <v>9.0000000000000018</v>
      </c>
      <c r="R325" s="10" t="str">
        <f t="shared" ref="R325" si="226">IF(H326="",H325,0)</f>
        <v/>
      </c>
      <c r="S325" s="10" t="str">
        <f t="shared" ref="S325" si="227">IF(I326="",I325,0)</f>
        <v/>
      </c>
      <c r="T325" s="10" t="str">
        <f t="shared" ref="T325" si="228">IF(J326="",J325,0)</f>
        <v/>
      </c>
      <c r="U325" s="10"/>
      <c r="V325" s="10" t="str">
        <f>D325</f>
        <v/>
      </c>
      <c r="W325" s="10" t="str">
        <f>E325</f>
        <v/>
      </c>
      <c r="X325" s="10">
        <f t="shared" ref="X325" si="229">F325</f>
        <v>4.5</v>
      </c>
      <c r="Y325" s="10">
        <f t="shared" ref="Y325" si="230">G325</f>
        <v>9.0000000000000018</v>
      </c>
      <c r="Z325" s="10" t="str">
        <f t="shared" ref="Z325" si="231">H325</f>
        <v/>
      </c>
      <c r="AA325" s="10" t="str">
        <f t="shared" ref="AA325" si="232">I325</f>
        <v/>
      </c>
      <c r="AB325" s="10" t="str">
        <f t="shared" ref="AB325" si="233">J325</f>
        <v/>
      </c>
      <c r="AD325" s="6">
        <f>IF((D322&lt;&gt;"")*(D326=""),IF((D322&lt;=$B$443)*((D323&gt;=$C$443)+(D323&lt;2/24)),1,0),0)</f>
        <v>0</v>
      </c>
      <c r="AE325" s="6">
        <f>IF((E322&lt;&gt;"")*(E326=""),IF((E322&lt;=$B$443)*((E323&gt;=$C$443)+(E323&lt;2/24)),1,0),0)</f>
        <v>0</v>
      </c>
      <c r="AF325" s="6">
        <f>IF((F322&lt;&gt;"")*(F326=""),IF((F322&lt;=$B$443)*((F323&gt;=$C$443)+(F323&lt;2/24)),1,0),0)</f>
        <v>1</v>
      </c>
      <c r="AG325" s="6">
        <f>IF((G322&lt;&gt;"")*(G326=""),IF((G322&lt;=$B$443)*((G323&gt;=$C$443)+(G323&lt;2/24)),1,0),0)</f>
        <v>1</v>
      </c>
      <c r="AH325" s="6">
        <f>IF((H322&lt;&gt;"")*(H326=""),IF((H322&lt;=$B$443)*((H323&gt;=$C$443)+(H323&lt;2/24)),1,0),0)</f>
        <v>0</v>
      </c>
      <c r="AI325" s="6">
        <f>IF((I322&lt;&gt;"")*(I326=""),IF((I322&lt;=$B$443)*((I323&gt;=$C$443)+(I323&lt;2/24)),1,0),0)</f>
        <v>0</v>
      </c>
      <c r="AJ325" s="6">
        <f>IF((J322&lt;&gt;"")*(J326=""),IF((J322&lt;=$B$443)*((J323&gt;=$C$443)+(J323&lt;2/24)),1,0),0)</f>
        <v>0</v>
      </c>
    </row>
    <row r="326" spans="1:36" x14ac:dyDescent="0.2">
      <c r="A326" s="39"/>
      <c r="B326" s="40"/>
      <c r="C326" s="32" t="s">
        <v>4</v>
      </c>
      <c r="D326" s="33"/>
      <c r="E326" s="33"/>
      <c r="F326" s="33"/>
      <c r="G326" s="33"/>
      <c r="H326" s="33"/>
      <c r="I326" s="33"/>
      <c r="J326" s="33"/>
      <c r="K326" s="17"/>
      <c r="L326" s="6"/>
      <c r="M326" s="25"/>
      <c r="N326" s="6"/>
      <c r="O326" s="6"/>
      <c r="P326" s="6"/>
      <c r="Q326" s="6"/>
      <c r="R326" s="6"/>
      <c r="S326" s="6"/>
      <c r="T326" s="6"/>
      <c r="U326" s="6"/>
      <c r="V326" s="20"/>
      <c r="W326" s="20"/>
      <c r="X326" s="20"/>
      <c r="Y326" s="20"/>
      <c r="Z326" s="20"/>
      <c r="AA326" s="20"/>
      <c r="AB326" s="20"/>
      <c r="AD326" s="6">
        <f>IF((D322&lt;&gt;"")*(D326=""),IF((D322&lt;=$B$444)*((D323&gt;=$C$444)+(D323&lt;2/24)),1,0),0)</f>
        <v>0</v>
      </c>
      <c r="AE326" s="6">
        <f>IF((E322&lt;&gt;"")*(E326=""),IF((E322&lt;=$B$444)*((E323&gt;=$C$444)+(E323&lt;2/24)),1,0),0)</f>
        <v>0</v>
      </c>
      <c r="AF326" s="6">
        <f>IF((F322&lt;&gt;"")*(F326=""),IF((F322&lt;=$B$444)*((F323&gt;=$C$444)+(F323&lt;2/24)),1,0),0)</f>
        <v>1</v>
      </c>
      <c r="AG326" s="6">
        <f>IF((G322&lt;&gt;"")*(G326=""),IF((G322&lt;=$B$444)*((G323&gt;=$C$444)+(G323&lt;2/24)),1,0),0)</f>
        <v>1</v>
      </c>
      <c r="AH326" s="6">
        <f>IF((H322&lt;&gt;"")*(H326=""),IF((H322&lt;=$B$444)*((H323&gt;=$C$444)+(H323&lt;2/24)),1,0),0)</f>
        <v>0</v>
      </c>
      <c r="AI326" s="6">
        <f>IF((I322&lt;&gt;"")*(I326=""),IF((I322&lt;=$B$444)*((I323&gt;=$C$444)+(I323&lt;2/24)),1,0),0)</f>
        <v>0</v>
      </c>
      <c r="AJ326" s="6">
        <f>IF((J322&lt;&gt;"")*(J326=""),IF((J322&lt;=$B$444)*((J323&gt;=$C$444)+(J323&lt;2/24)),1,0),0)</f>
        <v>0</v>
      </c>
    </row>
    <row r="327" spans="1:36" ht="13.5" thickBot="1" x14ac:dyDescent="0.25">
      <c r="A327" s="41"/>
      <c r="B327" s="42"/>
      <c r="C327" s="35" t="s">
        <v>28</v>
      </c>
      <c r="D327" s="54"/>
      <c r="E327" s="36"/>
      <c r="F327" s="36"/>
      <c r="G327" s="36"/>
      <c r="H327" s="36"/>
      <c r="I327" s="36"/>
      <c r="J327" s="36"/>
      <c r="K327" s="34"/>
      <c r="L327" s="6"/>
      <c r="M327" s="25"/>
      <c r="N327" s="6"/>
      <c r="O327" s="6"/>
      <c r="P327" s="6"/>
      <c r="Q327" s="6"/>
      <c r="R327" s="6"/>
      <c r="S327" s="6"/>
      <c r="T327" s="6"/>
      <c r="U327" s="6"/>
      <c r="V327" s="20"/>
      <c r="W327" s="20"/>
      <c r="X327" s="20"/>
      <c r="Y327" s="20"/>
      <c r="Z327" s="20"/>
      <c r="AA327" s="20"/>
      <c r="AB327" s="20"/>
      <c r="AD327" s="6"/>
      <c r="AE327" s="6"/>
      <c r="AF327" s="6"/>
      <c r="AG327" s="6"/>
      <c r="AH327" s="6"/>
      <c r="AI327" s="6"/>
      <c r="AJ327" s="6"/>
    </row>
    <row r="328" spans="1:36" ht="13.5" customHeight="1" x14ac:dyDescent="0.2">
      <c r="A328" s="37" t="s">
        <v>139</v>
      </c>
      <c r="B328" s="38" t="s">
        <v>140</v>
      </c>
      <c r="C328" s="14" t="s">
        <v>0</v>
      </c>
      <c r="D328" s="26"/>
      <c r="E328" s="26"/>
      <c r="F328" s="26"/>
      <c r="G328" s="26"/>
      <c r="H328" s="26"/>
      <c r="I328" s="26"/>
      <c r="J328" s="26"/>
      <c r="K328" s="16"/>
      <c r="L328" s="6"/>
      <c r="M328" s="21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D328" s="6">
        <f>IF((D328&lt;&gt;"")*(D332=""),IF((D328&lt;=#REF!)*((D329&gt;=#REF!)+(D329&lt;2/24)),1,0),0)</f>
        <v>0</v>
      </c>
      <c r="AE328" s="6">
        <f>IF((E328&lt;&gt;"")*(E332=""),IF((E328&lt;=#REF!)*((E329&gt;=#REF!)+(E329&lt;2/24)),1,0),0)</f>
        <v>0</v>
      </c>
      <c r="AF328" s="6">
        <f>IF((F328&lt;&gt;"")*(F332=""),IF((F328&lt;=#REF!)*((F329&gt;=#REF!)+(F329&lt;2/24)),1,0),0)</f>
        <v>0</v>
      </c>
      <c r="AG328" s="6">
        <f>IF((G328&lt;&gt;"")*(G332=""),IF((G328&lt;=#REF!)*((G329&gt;=#REF!)+(G329&lt;2/24)),1,0),0)</f>
        <v>0</v>
      </c>
      <c r="AH328" s="6">
        <f>IF((H328&lt;&gt;"")*(H332=""),IF((H328&lt;=#REF!)*((H329&gt;=#REF!)+(H329&lt;2/24)),1,0),0)</f>
        <v>0</v>
      </c>
      <c r="AI328" s="6">
        <f>IF((I328&lt;&gt;"")*(I332=""),IF((I328&lt;=#REF!)*((I329&gt;=#REF!)+(I329&lt;2/24)),1,0),0)</f>
        <v>0</v>
      </c>
      <c r="AJ328" s="6">
        <f>IF((J328&lt;&gt;"")*(J332=""),IF((J328&lt;=#REF!)*((J329&gt;=#REF!)+(J329&lt;2/24)),1,0),0)</f>
        <v>0</v>
      </c>
    </row>
    <row r="329" spans="1:36" x14ac:dyDescent="0.2">
      <c r="A329" s="39"/>
      <c r="B329" s="40"/>
      <c r="C329" s="15" t="s">
        <v>1</v>
      </c>
      <c r="D329" s="27"/>
      <c r="E329" s="27"/>
      <c r="F329" s="27"/>
      <c r="G329" s="27"/>
      <c r="H329" s="27"/>
      <c r="I329" s="27"/>
      <c r="J329" s="27"/>
      <c r="K329" s="17"/>
      <c r="L329" s="6"/>
      <c r="M329" s="21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D329" s="6">
        <f>IF((D328&lt;&gt;"")*(D332=""),IF((D328&lt;=#REF!)*((D329&gt;=#REF!)+(D329&lt;2/24)),1,0),0)</f>
        <v>0</v>
      </c>
      <c r="AE329" s="6">
        <f>IF((E328&lt;&gt;"")*(E332=""),IF((E328&lt;=#REF!)*((E329&gt;=#REF!)+(E329&lt;2/24)),1,0),0)</f>
        <v>0</v>
      </c>
      <c r="AF329" s="6">
        <f>IF((F328&lt;&gt;"")*(F332=""),IF((F328&lt;=#REF!)*((F329&gt;=#REF!)+(F329&lt;2/24)),1,0),0)</f>
        <v>0</v>
      </c>
      <c r="AG329" s="6">
        <f>IF((G328&lt;&gt;"")*(G332=""),IF((G328&lt;=#REF!)*((G329&gt;=#REF!)+(G329&lt;2/24)),1,0),0)</f>
        <v>0</v>
      </c>
      <c r="AH329" s="6">
        <f>IF((H328&lt;&gt;"")*(H332=""),IF((H328&lt;=#REF!)*((H329&gt;=#REF!)+(H329&lt;2/24)),1,0),0)</f>
        <v>0</v>
      </c>
      <c r="AI329" s="6">
        <f>IF((I328&lt;&gt;"")*(I332=""),IF((I328&lt;=#REF!)*((I329&gt;=#REF!)+(I329&lt;2/24)),1,0),0)</f>
        <v>0</v>
      </c>
      <c r="AJ329" s="6">
        <f>IF((J328&lt;&gt;"")*(J332=""),IF((J328&lt;=#REF!)*((J329&gt;=#REF!)+(J329&lt;2/24)),1,0),0)</f>
        <v>0</v>
      </c>
    </row>
    <row r="330" spans="1:36" x14ac:dyDescent="0.2">
      <c r="A330" s="39"/>
      <c r="B330" s="40"/>
      <c r="C330" s="15" t="s">
        <v>2</v>
      </c>
      <c r="D330" s="4"/>
      <c r="E330" s="4"/>
      <c r="F330" s="4"/>
      <c r="G330" s="58"/>
      <c r="H330" s="4"/>
      <c r="I330" s="4"/>
      <c r="J330" s="4"/>
      <c r="K330" s="17"/>
      <c r="L330" s="6"/>
      <c r="M330" s="21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D330" s="6">
        <f>IF((D328&lt;&gt;"")*(D332=""),IF((D328&lt;=#REF!)*((D329&gt;=#REF!)+(D329&lt;2/24)),1,0),0)</f>
        <v>0</v>
      </c>
      <c r="AE330" s="6">
        <f>IF((E328&lt;&gt;"")*(E332=""),IF((E328&lt;=#REF!)*((E329&gt;=#REF!)+(E329&lt;2/24)),1,0),0)</f>
        <v>0</v>
      </c>
      <c r="AF330" s="6">
        <f>IF((F328&lt;&gt;"")*(F332=""),IF((F328&lt;=#REF!)*((F329&gt;=#REF!)+(F329&lt;2/24)),1,0),0)</f>
        <v>0</v>
      </c>
      <c r="AG330" s="6">
        <f>IF((G328&lt;&gt;"")*(G332=""),IF((G328&lt;=#REF!)*((G329&gt;=#REF!)+(G329&lt;2/24)),1,0),0)</f>
        <v>0</v>
      </c>
      <c r="AH330" s="6">
        <f>IF((H328&lt;&gt;"")*(H332=""),IF((H328&lt;=#REF!)*((H329&gt;=#REF!)+(H329&lt;2/24)),1,0),0)</f>
        <v>0</v>
      </c>
      <c r="AI330" s="6">
        <f>IF((I328&lt;&gt;"")*(I332=""),IF((I328&lt;=#REF!)*((I329&gt;=#REF!)+(I329&lt;2/24)),1,0),0)</f>
        <v>0</v>
      </c>
      <c r="AJ330" s="6">
        <f>IF((J328&lt;&gt;"")*(J332=""),IF((J328&lt;=#REF!)*((J329&gt;=#REF!)+(J329&lt;2/24)),1,0),0)</f>
        <v>0</v>
      </c>
    </row>
    <row r="331" spans="1:36" x14ac:dyDescent="0.2">
      <c r="A331" s="39"/>
      <c r="B331" s="40"/>
      <c r="C331" s="15" t="s">
        <v>3</v>
      </c>
      <c r="D331" s="43" t="str">
        <f t="shared" ref="D331:J331" si="234">IF(D328="","",IF(D329&gt;D328,(D329-D328-D330)*24,(1-D328-D330+D329)*24))</f>
        <v/>
      </c>
      <c r="E331" s="43" t="str">
        <f t="shared" si="234"/>
        <v/>
      </c>
      <c r="F331" s="43" t="str">
        <f t="shared" si="234"/>
        <v/>
      </c>
      <c r="G331" s="55" t="str">
        <f t="shared" si="234"/>
        <v/>
      </c>
      <c r="H331" s="55" t="str">
        <f t="shared" si="234"/>
        <v/>
      </c>
      <c r="I331" s="43" t="str">
        <f t="shared" si="234"/>
        <v/>
      </c>
      <c r="J331" s="44" t="str">
        <f t="shared" si="234"/>
        <v/>
      </c>
      <c r="K331" s="18">
        <f>SUMIF(D332:J332,"",D331:J331)</f>
        <v>0</v>
      </c>
      <c r="L331" s="12">
        <f>SUM(D331:J331)</f>
        <v>0</v>
      </c>
      <c r="M331" s="24"/>
      <c r="N331" s="10" t="str">
        <f t="shared" ref="N331:T331" si="235">IF(D332="",D331,0)</f>
        <v/>
      </c>
      <c r="O331" s="10" t="str">
        <f t="shared" si="235"/>
        <v/>
      </c>
      <c r="P331" s="10" t="str">
        <f t="shared" si="235"/>
        <v/>
      </c>
      <c r="Q331" s="10" t="str">
        <f t="shared" si="235"/>
        <v/>
      </c>
      <c r="R331" s="10" t="str">
        <f t="shared" si="235"/>
        <v/>
      </c>
      <c r="S331" s="10" t="str">
        <f t="shared" si="235"/>
        <v/>
      </c>
      <c r="T331" s="10" t="str">
        <f t="shared" si="235"/>
        <v/>
      </c>
      <c r="U331" s="10"/>
      <c r="V331" s="10" t="str">
        <f t="shared" ref="V331:AB331" si="236">D331</f>
        <v/>
      </c>
      <c r="W331" s="10" t="str">
        <f t="shared" si="236"/>
        <v/>
      </c>
      <c r="X331" s="10" t="str">
        <f t="shared" si="236"/>
        <v/>
      </c>
      <c r="Y331" s="10" t="str">
        <f t="shared" si="236"/>
        <v/>
      </c>
      <c r="Z331" s="10" t="str">
        <f t="shared" si="236"/>
        <v/>
      </c>
      <c r="AA331" s="10" t="str">
        <f t="shared" si="236"/>
        <v/>
      </c>
      <c r="AB331" s="10" t="str">
        <f t="shared" si="236"/>
        <v/>
      </c>
      <c r="AD331" s="6">
        <f>IF((D328&lt;&gt;"")*(D332=""),IF((D328&lt;=#REF!)*((D329&gt;=#REF!)+(D329&lt;2/24)),1,0),0)</f>
        <v>0</v>
      </c>
      <c r="AE331" s="6">
        <f>IF((E328&lt;&gt;"")*(E332=""),IF((E328&lt;=#REF!)*((E329&gt;=#REF!)+(E329&lt;2/24)),1,0),0)</f>
        <v>0</v>
      </c>
      <c r="AF331" s="6">
        <f>IF((F328&lt;&gt;"")*(F332=""),IF((F328&lt;=#REF!)*((F329&gt;=#REF!)+(F329&lt;2/24)),1,0),0)</f>
        <v>0</v>
      </c>
      <c r="AG331" s="6">
        <f>IF((G328&lt;&gt;"")*(G332=""),IF((G328&lt;=#REF!)*((G329&gt;=#REF!)+(G329&lt;2/24)),1,0),0)</f>
        <v>0</v>
      </c>
      <c r="AH331" s="6">
        <f>IF((H328&lt;&gt;"")*(H332=""),IF((H328&lt;=#REF!)*((H329&gt;=#REF!)+(H329&lt;2/24)),1,0),0)</f>
        <v>0</v>
      </c>
      <c r="AI331" s="6">
        <f>IF((I328&lt;&gt;"")*(I332=""),IF((I328&lt;=#REF!)*((I329&gt;=#REF!)+(I329&lt;2/24)),1,0),0)</f>
        <v>0</v>
      </c>
      <c r="AJ331" s="6">
        <f>IF((J328&lt;&gt;"")*(J332=""),IF((J328&lt;=#REF!)*((J329&gt;=#REF!)+(J329&lt;2/24)),1,0),0)</f>
        <v>0</v>
      </c>
    </row>
    <row r="332" spans="1:36" x14ac:dyDescent="0.2">
      <c r="A332" s="39"/>
      <c r="B332" s="40"/>
      <c r="C332" s="32" t="s">
        <v>4</v>
      </c>
      <c r="D332" s="33"/>
      <c r="E332" s="33"/>
      <c r="F332" s="33"/>
      <c r="G332" s="33"/>
      <c r="H332" s="33"/>
      <c r="I332" s="33"/>
      <c r="J332" s="33"/>
      <c r="K332" s="17"/>
      <c r="L332" s="6"/>
      <c r="M332" s="25"/>
      <c r="N332" s="6"/>
      <c r="O332" s="6"/>
      <c r="P332" s="6"/>
      <c r="Q332" s="6"/>
      <c r="R332" s="6"/>
      <c r="S332" s="6"/>
      <c r="T332" s="6"/>
      <c r="U332" s="6"/>
      <c r="V332" s="20"/>
      <c r="W332" s="20"/>
      <c r="X332" s="20"/>
      <c r="Y332" s="20"/>
      <c r="Z332" s="20"/>
      <c r="AA332" s="20"/>
      <c r="AB332" s="20"/>
      <c r="AD332" s="6">
        <f>IF((D328&lt;&gt;"")*(D332=""),IF((D328&lt;=#REF!)*((D329&gt;=#REF!)+(D329&lt;2/24)),1,0),0)</f>
        <v>0</v>
      </c>
      <c r="AE332" s="6">
        <f>IF((E328&lt;&gt;"")*(E332=""),IF((E328&lt;=#REF!)*((E329&gt;=#REF!)+(E329&lt;2/24)),1,0),0)</f>
        <v>0</v>
      </c>
      <c r="AF332" s="6">
        <f>IF((F328&lt;&gt;"")*(F332=""),IF((F328&lt;=#REF!)*((F329&gt;=#REF!)+(F329&lt;2/24)),1,0),0)</f>
        <v>0</v>
      </c>
      <c r="AG332" s="6">
        <f>IF((G328&lt;&gt;"")*(G332=""),IF((G328&lt;=#REF!)*((G329&gt;=#REF!)+(G329&lt;2/24)),1,0),0)</f>
        <v>0</v>
      </c>
      <c r="AH332" s="6">
        <f>IF((H328&lt;&gt;"")*(H332=""),IF((H328&lt;=#REF!)*((H329&gt;=#REF!)+(H329&lt;2/24)),1,0),0)</f>
        <v>0</v>
      </c>
      <c r="AI332" s="6">
        <f>IF((I328&lt;&gt;"")*(I332=""),IF((I328&lt;=#REF!)*((I329&gt;=#REF!)+(I329&lt;2/24)),1,0),0)</f>
        <v>0</v>
      </c>
      <c r="AJ332" s="6">
        <f>IF((J328&lt;&gt;"")*(J332=""),IF((J328&lt;=#REF!)*((J329&gt;=#REF!)+(J329&lt;2/24)),1,0),0)</f>
        <v>0</v>
      </c>
    </row>
    <row r="333" spans="1:36" ht="13.5" thickBot="1" x14ac:dyDescent="0.25">
      <c r="A333" s="41"/>
      <c r="B333" s="42"/>
      <c r="C333" s="35" t="s">
        <v>28</v>
      </c>
      <c r="D333" s="36"/>
      <c r="E333" s="36"/>
      <c r="F333" s="36"/>
      <c r="G333" s="36"/>
      <c r="H333" s="36"/>
      <c r="I333" s="36"/>
      <c r="J333" s="36"/>
      <c r="K333" s="34"/>
      <c r="L333" s="6"/>
      <c r="M333" s="25"/>
      <c r="N333" s="6"/>
      <c r="O333" s="6"/>
      <c r="P333" s="6"/>
      <c r="Q333" s="6"/>
      <c r="R333" s="6"/>
      <c r="S333" s="6"/>
      <c r="T333" s="6"/>
      <c r="U333" s="6"/>
      <c r="V333" s="20"/>
      <c r="W333" s="20"/>
      <c r="X333" s="20"/>
      <c r="Y333" s="20"/>
      <c r="Z333" s="20"/>
      <c r="AA333" s="20"/>
      <c r="AB333" s="20"/>
      <c r="AD333" s="6"/>
      <c r="AE333" s="6"/>
      <c r="AF333" s="6"/>
      <c r="AG333" s="6"/>
      <c r="AH333" s="6"/>
      <c r="AI333" s="6"/>
      <c r="AJ333" s="6"/>
    </row>
    <row r="334" spans="1:36" x14ac:dyDescent="0.2">
      <c r="A334" s="37" t="s">
        <v>100</v>
      </c>
      <c r="B334" s="38" t="s">
        <v>101</v>
      </c>
      <c r="C334" s="14" t="s">
        <v>0</v>
      </c>
      <c r="D334" s="26"/>
      <c r="E334" s="26"/>
      <c r="F334" s="26"/>
      <c r="G334" s="26"/>
      <c r="H334" s="26"/>
      <c r="I334" s="26"/>
      <c r="J334" s="26"/>
      <c r="K334" s="16"/>
      <c r="L334" s="6"/>
      <c r="M334" s="21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D334" s="6">
        <f>IF((D334&lt;&gt;"")*(D338=""),IF((D334&lt;=$B$440)*((D335&gt;=$C$440)+(D335&lt;2/24)),1,0),0)</f>
        <v>0</v>
      </c>
      <c r="AE334" s="6">
        <f>IF((E334&lt;&gt;"")*(E338=""),IF((E334&lt;=$B$440)*((E335&gt;=$C$440)+(E335&lt;2/24)),1,0),0)</f>
        <v>0</v>
      </c>
      <c r="AF334" s="6">
        <f>IF((F334&lt;&gt;"")*(F338=""),IF((F334&lt;=$B$440)*((F335&gt;=$C$440)+(F335&lt;2/24)),1,0),0)</f>
        <v>0</v>
      </c>
      <c r="AG334" s="6">
        <f>IF((G334&lt;&gt;"")*(G338=""),IF((G334&lt;=$B$440)*((G335&gt;=$C$440)+(G335&lt;2/24)),1,0),0)</f>
        <v>0</v>
      </c>
      <c r="AH334" s="6">
        <f>IF((H334&lt;&gt;"")*(H338=""),IF((H334&lt;=$B$440)*((H335&gt;=$C$440)+(H335&lt;2/24)),1,0),0)</f>
        <v>0</v>
      </c>
      <c r="AI334" s="6">
        <f>IF((I334&lt;&gt;"")*(I338=""),IF((I334&lt;=$B$440)*((I335&gt;=$C$440)+(I335&lt;2/24)),1,0),0)</f>
        <v>0</v>
      </c>
      <c r="AJ334" s="6">
        <f>IF((J334&lt;&gt;"")*(J338=""),IF((J334&lt;=$B$440)*((J335&gt;=$C$440)+(J335&lt;2/24)),1,0),0)</f>
        <v>0</v>
      </c>
    </row>
    <row r="335" spans="1:36" x14ac:dyDescent="0.2">
      <c r="A335" s="39"/>
      <c r="B335" s="40"/>
      <c r="C335" s="15" t="s">
        <v>1</v>
      </c>
      <c r="D335" s="27"/>
      <c r="E335" s="27"/>
      <c r="F335" s="27"/>
      <c r="G335" s="27"/>
      <c r="H335" s="27"/>
      <c r="I335" s="27"/>
      <c r="J335" s="27"/>
      <c r="K335" s="17"/>
      <c r="L335" s="6"/>
      <c r="M335" s="21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D335" s="6">
        <f>IF((D334&lt;&gt;"")*(D338=""),IF((D334&lt;=$B$441)*((D335&gt;=$C$441)+(D335&lt;2/24)),1,0),0)</f>
        <v>0</v>
      </c>
      <c r="AE335" s="6">
        <f>IF((E334&lt;&gt;"")*(E338=""),IF((E334&lt;=$B$441)*((E335&gt;=$C$441)+(E335&lt;2/24)),1,0),0)</f>
        <v>0</v>
      </c>
      <c r="AF335" s="6">
        <f>IF((F334&lt;&gt;"")*(F338=""),IF((F334&lt;=$B$441)*((F335&gt;=$C$441)+(F335&lt;2/24)),1,0),0)</f>
        <v>0</v>
      </c>
      <c r="AG335" s="6">
        <f>IF((G334&lt;&gt;"")*(G338=""),IF((G334&lt;=$B$441)*((G335&gt;=$C$441)+(G335&lt;2/24)),1,0),0)</f>
        <v>0</v>
      </c>
      <c r="AH335" s="6">
        <f>IF((H334&lt;&gt;"")*(H338=""),IF((H334&lt;=$B$441)*((H335&gt;=$C$441)+(H335&lt;2/24)),1,0),0)</f>
        <v>0</v>
      </c>
      <c r="AI335" s="6">
        <f>IF((I334&lt;&gt;"")*(I338=""),IF((I334&lt;=$B$441)*((I335&gt;=$C$441)+(I335&lt;2/24)),1,0),0)</f>
        <v>0</v>
      </c>
      <c r="AJ335" s="6">
        <f>IF((J334&lt;&gt;"")*(J338=""),IF((J334&lt;=$B$441)*((J335&gt;=$C$441)+(J335&lt;2/24)),1,0),0)</f>
        <v>0</v>
      </c>
    </row>
    <row r="336" spans="1:36" x14ac:dyDescent="0.2">
      <c r="A336" s="39"/>
      <c r="B336" s="40"/>
      <c r="C336" s="15" t="s">
        <v>2</v>
      </c>
      <c r="D336" s="4"/>
      <c r="E336" s="4"/>
      <c r="F336" s="4"/>
      <c r="G336" s="4"/>
      <c r="H336" s="4"/>
      <c r="I336" s="4"/>
      <c r="J336" s="4"/>
      <c r="K336" s="17"/>
      <c r="L336" s="6"/>
      <c r="M336" s="21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D336" s="6">
        <f>IF((D334&lt;&gt;"")*(D338=""),IF((D334&lt;=$B$442)*((D335&gt;=$C$442)+(D335&lt;2/24)),1,0),0)</f>
        <v>0</v>
      </c>
      <c r="AE336" s="6">
        <f>IF((E334&lt;&gt;"")*(E338=""),IF((E334&lt;=$B$442)*((E335&gt;=$C$442)+(E335&lt;2/24)),1,0),0)</f>
        <v>0</v>
      </c>
      <c r="AF336" s="6">
        <f>IF((F334&lt;&gt;"")*(F338=""),IF((F334&lt;=$B$442)*((F335&gt;=$C$442)+(F335&lt;2/24)),1,0),0)</f>
        <v>0</v>
      </c>
      <c r="AG336" s="6">
        <f>IF((G334&lt;&gt;"")*(G338=""),IF((G334&lt;=$B$442)*((G335&gt;=$C$442)+(G335&lt;2/24)),1,0),0)</f>
        <v>0</v>
      </c>
      <c r="AH336" s="6">
        <f>IF((H334&lt;&gt;"")*(H338=""),IF((H334&lt;=$B$442)*((H335&gt;=$C$442)+(H335&lt;2/24)),1,0),0)</f>
        <v>0</v>
      </c>
      <c r="AI336" s="6">
        <f>IF((I334&lt;&gt;"")*(I338=""),IF((I334&lt;=$B$442)*((I335&gt;=$C$442)+(I335&lt;2/24)),1,0),0)</f>
        <v>0</v>
      </c>
      <c r="AJ336" s="6">
        <f>IF((J334&lt;&gt;"")*(J338=""),IF((J334&lt;=$B$442)*((J335&gt;=$C$442)+(J335&lt;2/24)),1,0),0)</f>
        <v>0</v>
      </c>
    </row>
    <row r="337" spans="1:36" x14ac:dyDescent="0.2">
      <c r="A337" s="39"/>
      <c r="B337" s="40"/>
      <c r="C337" s="15" t="s">
        <v>3</v>
      </c>
      <c r="D337" s="43" t="str">
        <f t="shared" ref="D337:J337" si="237">IF(D334="","",IF(D335&gt;D334,(D335-D334-D336)*24,(1-D334-D336+D335)*24))</f>
        <v/>
      </c>
      <c r="E337" s="43" t="str">
        <f t="shared" si="237"/>
        <v/>
      </c>
      <c r="F337" s="43" t="str">
        <f t="shared" si="237"/>
        <v/>
      </c>
      <c r="G337" s="43" t="str">
        <f t="shared" si="237"/>
        <v/>
      </c>
      <c r="H337" s="43" t="str">
        <f t="shared" si="237"/>
        <v/>
      </c>
      <c r="I337" s="43" t="str">
        <f t="shared" si="237"/>
        <v/>
      </c>
      <c r="J337" s="44" t="str">
        <f t="shared" si="237"/>
        <v/>
      </c>
      <c r="K337" s="18">
        <f>SUMIF(D338:J338,"",D337:J337)</f>
        <v>0</v>
      </c>
      <c r="L337" s="12">
        <f>SUM(D337:J337)</f>
        <v>0</v>
      </c>
      <c r="M337" s="24"/>
      <c r="N337" s="10" t="str">
        <f>IF(D338="",D337,0)</f>
        <v/>
      </c>
      <c r="O337" s="10" t="str">
        <f>IF(E338="",E337,0)</f>
        <v/>
      </c>
      <c r="P337" s="10" t="str">
        <f t="shared" ref="P337" si="238">IF(F338="",F337,0)</f>
        <v/>
      </c>
      <c r="Q337" s="10" t="str">
        <f t="shared" ref="Q337" si="239">IF(G338="",G337,0)</f>
        <v/>
      </c>
      <c r="R337" s="10" t="str">
        <f t="shared" ref="R337" si="240">IF(H338="",H337,0)</f>
        <v/>
      </c>
      <c r="S337" s="10" t="str">
        <f t="shared" ref="S337" si="241">IF(I338="",I337,0)</f>
        <v/>
      </c>
      <c r="T337" s="10" t="str">
        <f t="shared" ref="T337" si="242">IF(J338="",J337,0)</f>
        <v/>
      </c>
      <c r="U337" s="10"/>
      <c r="V337" s="10" t="str">
        <f>D337</f>
        <v/>
      </c>
      <c r="W337" s="10" t="str">
        <f>E337</f>
        <v/>
      </c>
      <c r="X337" s="10" t="str">
        <f t="shared" ref="X337" si="243">F337</f>
        <v/>
      </c>
      <c r="Y337" s="10" t="str">
        <f t="shared" ref="Y337" si="244">G337</f>
        <v/>
      </c>
      <c r="Z337" s="10" t="str">
        <f t="shared" ref="Z337" si="245">H337</f>
        <v/>
      </c>
      <c r="AA337" s="10" t="str">
        <f t="shared" ref="AA337" si="246">I337</f>
        <v/>
      </c>
      <c r="AB337" s="10" t="str">
        <f t="shared" ref="AB337" si="247">J337</f>
        <v/>
      </c>
      <c r="AD337" s="6">
        <f>IF((D334&lt;&gt;"")*(D338=""),IF((D334&lt;=$B$443)*((D335&gt;=$C$443)+(D335&lt;2/24)),1,0),0)</f>
        <v>0</v>
      </c>
      <c r="AE337" s="6">
        <f>IF((E334&lt;&gt;"")*(E338=""),IF((E334&lt;=$B$443)*((E335&gt;=$C$443)+(E335&lt;2/24)),1,0),0)</f>
        <v>0</v>
      </c>
      <c r="AF337" s="6">
        <f>IF((F334&lt;&gt;"")*(F338=""),IF((F334&lt;=$B$443)*((F335&gt;=$C$443)+(F335&lt;2/24)),1,0),0)</f>
        <v>0</v>
      </c>
      <c r="AG337" s="6">
        <f>IF((G334&lt;&gt;"")*(G338=""),IF((G334&lt;=$B$443)*((G335&gt;=$C$443)+(G335&lt;2/24)),1,0),0)</f>
        <v>0</v>
      </c>
      <c r="AH337" s="6">
        <f>IF((H334&lt;&gt;"")*(H338=""),IF((H334&lt;=$B$443)*((H335&gt;=$C$443)+(H335&lt;2/24)),1,0),0)</f>
        <v>0</v>
      </c>
      <c r="AI337" s="6">
        <f>IF((I334&lt;&gt;"")*(I338=""),IF((I334&lt;=$B$443)*((I335&gt;=$C$443)+(I335&lt;2/24)),1,0),0)</f>
        <v>0</v>
      </c>
      <c r="AJ337" s="6">
        <f>IF((J334&lt;&gt;"")*(J338=""),IF((J334&lt;=$B$443)*((J335&gt;=$C$443)+(J335&lt;2/24)),1,0),0)</f>
        <v>0</v>
      </c>
    </row>
    <row r="338" spans="1:36" x14ac:dyDescent="0.2">
      <c r="A338" s="39"/>
      <c r="B338" s="40"/>
      <c r="C338" s="32" t="s">
        <v>4</v>
      </c>
      <c r="D338" s="33"/>
      <c r="E338" s="33"/>
      <c r="F338" s="33"/>
      <c r="G338" s="33"/>
      <c r="H338" s="33"/>
      <c r="I338" s="33"/>
      <c r="J338" s="33"/>
      <c r="K338" s="17"/>
      <c r="L338" s="6"/>
      <c r="M338" s="25"/>
      <c r="N338" s="6"/>
      <c r="O338" s="6"/>
      <c r="P338" s="6"/>
      <c r="Q338" s="6"/>
      <c r="R338" s="6"/>
      <c r="S338" s="6"/>
      <c r="T338" s="6"/>
      <c r="U338" s="6"/>
      <c r="V338" s="20"/>
      <c r="W338" s="20"/>
      <c r="X338" s="20"/>
      <c r="Y338" s="20"/>
      <c r="Z338" s="20"/>
      <c r="AA338" s="20"/>
      <c r="AB338" s="20"/>
      <c r="AD338" s="6">
        <f>IF((D334&lt;&gt;"")*(D338=""),IF((D334&lt;=$B$444)*((D335&gt;=$C$444)+(D335&lt;2/24)),1,0),0)</f>
        <v>0</v>
      </c>
      <c r="AE338" s="6">
        <f>IF((E334&lt;&gt;"")*(E338=""),IF((E334&lt;=$B$444)*((E335&gt;=$C$444)+(E335&lt;2/24)),1,0),0)</f>
        <v>0</v>
      </c>
      <c r="AF338" s="6">
        <f>IF((F334&lt;&gt;"")*(F338=""),IF((F334&lt;=$B$444)*((F335&gt;=$C$444)+(F335&lt;2/24)),1,0),0)</f>
        <v>0</v>
      </c>
      <c r="AG338" s="6">
        <f>IF((G334&lt;&gt;"")*(G338=""),IF((G334&lt;=$B$444)*((G335&gt;=$C$444)+(G335&lt;2/24)),1,0),0)</f>
        <v>0</v>
      </c>
      <c r="AH338" s="6">
        <f>IF((H334&lt;&gt;"")*(H338=""),IF((H334&lt;=$B$444)*((H335&gt;=$C$444)+(H335&lt;2/24)),1,0),0)</f>
        <v>0</v>
      </c>
      <c r="AI338" s="6">
        <f>IF((I334&lt;&gt;"")*(I338=""),IF((I334&lt;=$B$444)*((I335&gt;=$C$444)+(I335&lt;2/24)),1,0),0)</f>
        <v>0</v>
      </c>
      <c r="AJ338" s="6">
        <f>IF((J334&lt;&gt;"")*(J338=""),IF((J334&lt;=$B$444)*((J335&gt;=$C$444)+(J335&lt;2/24)),1,0),0)</f>
        <v>0</v>
      </c>
    </row>
    <row r="339" spans="1:36" ht="13.5" thickBot="1" x14ac:dyDescent="0.25">
      <c r="A339" s="41"/>
      <c r="B339" s="42"/>
      <c r="C339" s="35" t="s">
        <v>28</v>
      </c>
      <c r="D339" s="36"/>
      <c r="E339" s="36"/>
      <c r="F339" s="36"/>
      <c r="G339" s="36"/>
      <c r="H339" s="36"/>
      <c r="I339" s="36"/>
      <c r="J339" s="36"/>
      <c r="K339" s="34"/>
      <c r="L339" s="6"/>
      <c r="M339" s="25"/>
      <c r="N339" s="6"/>
      <c r="O339" s="6"/>
      <c r="P339" s="6"/>
      <c r="Q339" s="6"/>
      <c r="R339" s="6"/>
      <c r="S339" s="6"/>
      <c r="T339" s="6"/>
      <c r="U339" s="6"/>
      <c r="V339" s="20"/>
      <c r="W339" s="20"/>
      <c r="X339" s="20"/>
      <c r="Y339" s="20"/>
      <c r="Z339" s="20"/>
      <c r="AA339" s="20"/>
      <c r="AB339" s="20"/>
      <c r="AD339" s="6"/>
      <c r="AE339" s="6"/>
      <c r="AF339" s="6"/>
      <c r="AG339" s="6"/>
      <c r="AH339" s="6"/>
      <c r="AI339" s="6"/>
      <c r="AJ339" s="6"/>
    </row>
    <row r="340" spans="1:36" x14ac:dyDescent="0.2">
      <c r="A340" s="37" t="s">
        <v>108</v>
      </c>
      <c r="B340" s="38" t="s">
        <v>109</v>
      </c>
      <c r="C340" s="14" t="s">
        <v>0</v>
      </c>
      <c r="D340" s="26"/>
      <c r="E340" s="26"/>
      <c r="F340" s="26"/>
      <c r="G340" s="26"/>
      <c r="H340" s="26"/>
      <c r="I340" s="26"/>
      <c r="J340" s="26"/>
      <c r="K340" s="16"/>
      <c r="L340" s="6"/>
      <c r="M340" s="21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D340" s="6">
        <f>IF((D340&lt;&gt;"")*(D344=""),IF((D340&lt;=$B$440)*((D341&gt;=$C$440)+(D341&lt;2/24)),1,0),0)</f>
        <v>0</v>
      </c>
      <c r="AE340" s="6">
        <f>IF((E340&lt;&gt;"")*(E344=""),IF((E340&lt;=$B$440)*((E341&gt;=$C$440)+(E341&lt;2/24)),1,0),0)</f>
        <v>0</v>
      </c>
      <c r="AF340" s="6">
        <f>IF((F340&lt;&gt;"")*(F344=""),IF((F340&lt;=$B$440)*((F341&gt;=$C$440)+(F341&lt;2/24)),1,0),0)</f>
        <v>0</v>
      </c>
      <c r="AG340" s="6">
        <f>IF((G340&lt;&gt;"")*(G344=""),IF((G340&lt;=$B$440)*((G341&gt;=$C$440)+(G341&lt;2/24)),1,0),0)</f>
        <v>0</v>
      </c>
      <c r="AH340" s="6">
        <f>IF((H340&lt;&gt;"")*(H344=""),IF((H340&lt;=$B$440)*((H341&gt;=$C$440)+(H341&lt;2/24)),1,0),0)</f>
        <v>0</v>
      </c>
      <c r="AI340" s="6">
        <f>IF((I340&lt;&gt;"")*(I344=""),IF((I340&lt;=$B$440)*((I341&gt;=$C$440)+(I341&lt;2/24)),1,0),0)</f>
        <v>0</v>
      </c>
      <c r="AJ340" s="6">
        <f>IF((J340&lt;&gt;"")*(J344=""),IF((J340&lt;=$B$440)*((J341&gt;=$C$440)+(J341&lt;2/24)),1,0),0)</f>
        <v>0</v>
      </c>
    </row>
    <row r="341" spans="1:36" x14ac:dyDescent="0.2">
      <c r="A341" s="39"/>
      <c r="B341" s="40"/>
      <c r="C341" s="15" t="s">
        <v>1</v>
      </c>
      <c r="D341" s="27"/>
      <c r="E341" s="27"/>
      <c r="F341" s="27"/>
      <c r="G341" s="27"/>
      <c r="H341" s="27"/>
      <c r="I341" s="27"/>
      <c r="J341" s="27"/>
      <c r="K341" s="17"/>
      <c r="L341" s="6"/>
      <c r="M341" s="21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D341" s="6">
        <f>IF((D340&lt;&gt;"")*(D344=""),IF((D340&lt;=$B$441)*((D341&gt;=$C$441)+(D341&lt;2/24)),1,0),0)</f>
        <v>0</v>
      </c>
      <c r="AE341" s="6">
        <f>IF((E340&lt;&gt;"")*(E344=""),IF((E340&lt;=$B$441)*((E341&gt;=$C$441)+(E341&lt;2/24)),1,0),0)</f>
        <v>0</v>
      </c>
      <c r="AF341" s="6">
        <f>IF((F340&lt;&gt;"")*(F344=""),IF((F340&lt;=$B$441)*((F341&gt;=$C$441)+(F341&lt;2/24)),1,0),0)</f>
        <v>0</v>
      </c>
      <c r="AG341" s="6">
        <f>IF((G340&lt;&gt;"")*(G344=""),IF((G340&lt;=$B$441)*((G341&gt;=$C$441)+(G341&lt;2/24)),1,0),0)</f>
        <v>0</v>
      </c>
      <c r="AH341" s="6">
        <f>IF((H340&lt;&gt;"")*(H344=""),IF((H340&lt;=$B$441)*((H341&gt;=$C$441)+(H341&lt;2/24)),1,0),0)</f>
        <v>0</v>
      </c>
      <c r="AI341" s="6">
        <f>IF((I340&lt;&gt;"")*(I344=""),IF((I340&lt;=$B$441)*((I341&gt;=$C$441)+(I341&lt;2/24)),1,0),0)</f>
        <v>0</v>
      </c>
      <c r="AJ341" s="6">
        <f>IF((J340&lt;&gt;"")*(J344=""),IF((J340&lt;=$B$441)*((J341&gt;=$C$441)+(J341&lt;2/24)),1,0),0)</f>
        <v>0</v>
      </c>
    </row>
    <row r="342" spans="1:36" x14ac:dyDescent="0.2">
      <c r="A342" s="39"/>
      <c r="B342" s="40"/>
      <c r="C342" s="15" t="s">
        <v>2</v>
      </c>
      <c r="D342" s="4"/>
      <c r="E342" s="4"/>
      <c r="F342" s="4"/>
      <c r="G342" s="4"/>
      <c r="H342" s="4"/>
      <c r="I342" s="4"/>
      <c r="J342" s="4"/>
      <c r="K342" s="17"/>
      <c r="L342" s="6"/>
      <c r="M342" s="21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D342" s="6">
        <f>IF((D340&lt;&gt;"")*(D344=""),IF((D340&lt;=$B$442)*((D341&gt;=$C$442)+(D341&lt;2/24)),1,0),0)</f>
        <v>0</v>
      </c>
      <c r="AE342" s="6">
        <f>IF((E340&lt;&gt;"")*(E344=""),IF((E340&lt;=$B$442)*((E341&gt;=$C$442)+(E341&lt;2/24)),1,0),0)</f>
        <v>0</v>
      </c>
      <c r="AF342" s="6">
        <f>IF((F340&lt;&gt;"")*(F344=""),IF((F340&lt;=$B$442)*((F341&gt;=$C$442)+(F341&lt;2/24)),1,0),0)</f>
        <v>0</v>
      </c>
      <c r="AG342" s="6">
        <f>IF((G340&lt;&gt;"")*(G344=""),IF((G340&lt;=$B$442)*((G341&gt;=$C$442)+(G341&lt;2/24)),1,0),0)</f>
        <v>0</v>
      </c>
      <c r="AH342" s="6">
        <f>IF((H340&lt;&gt;"")*(H344=""),IF((H340&lt;=$B$442)*((H341&gt;=$C$442)+(H341&lt;2/24)),1,0),0)</f>
        <v>0</v>
      </c>
      <c r="AI342" s="6">
        <f>IF((I340&lt;&gt;"")*(I344=""),IF((I340&lt;=$B$442)*((I341&gt;=$C$442)+(I341&lt;2/24)),1,0),0)</f>
        <v>0</v>
      </c>
      <c r="AJ342" s="6">
        <f>IF((J340&lt;&gt;"")*(J344=""),IF((J340&lt;=$B$442)*((J341&gt;=$C$442)+(J341&lt;2/24)),1,0),0)</f>
        <v>0</v>
      </c>
    </row>
    <row r="343" spans="1:36" x14ac:dyDescent="0.2">
      <c r="A343" s="39"/>
      <c r="B343" s="40"/>
      <c r="C343" s="15" t="s">
        <v>3</v>
      </c>
      <c r="D343" s="43" t="str">
        <f t="shared" ref="D343:J343" si="248">IF(D340="","",IF(D341&gt;D340,(D341-D340-D342)*24,(1-D340-D342+D341)*24))</f>
        <v/>
      </c>
      <c r="E343" s="43" t="str">
        <f t="shared" si="248"/>
        <v/>
      </c>
      <c r="F343" s="43" t="str">
        <f t="shared" si="248"/>
        <v/>
      </c>
      <c r="G343" s="43" t="str">
        <f t="shared" si="248"/>
        <v/>
      </c>
      <c r="H343" s="43" t="str">
        <f t="shared" si="248"/>
        <v/>
      </c>
      <c r="I343" s="43" t="str">
        <f t="shared" si="248"/>
        <v/>
      </c>
      <c r="J343" s="44" t="str">
        <f t="shared" si="248"/>
        <v/>
      </c>
      <c r="K343" s="18">
        <f>SUMIF(D344:J344,"",D343:J343)</f>
        <v>0</v>
      </c>
      <c r="L343" s="12">
        <f>SUM(D343:J343)</f>
        <v>0</v>
      </c>
      <c r="M343" s="24"/>
      <c r="N343" s="10" t="str">
        <f>IF(D344="",D343,0)</f>
        <v/>
      </c>
      <c r="O343" s="10" t="str">
        <f>IF(E344="",E343,0)</f>
        <v/>
      </c>
      <c r="P343" s="10" t="str">
        <f t="shared" ref="P343" si="249">IF(F344="",F343,0)</f>
        <v/>
      </c>
      <c r="Q343" s="10" t="str">
        <f t="shared" ref="Q343" si="250">IF(G344="",G343,0)</f>
        <v/>
      </c>
      <c r="R343" s="10" t="str">
        <f t="shared" ref="R343" si="251">IF(H344="",H343,0)</f>
        <v/>
      </c>
      <c r="S343" s="10" t="str">
        <f t="shared" ref="S343" si="252">IF(I344="",I343,0)</f>
        <v/>
      </c>
      <c r="T343" s="10" t="str">
        <f t="shared" ref="T343" si="253">IF(J344="",J343,0)</f>
        <v/>
      </c>
      <c r="U343" s="10"/>
      <c r="V343" s="10" t="str">
        <f>D343</f>
        <v/>
      </c>
      <c r="W343" s="10" t="str">
        <f>E343</f>
        <v/>
      </c>
      <c r="X343" s="10" t="str">
        <f t="shared" ref="X343" si="254">F343</f>
        <v/>
      </c>
      <c r="Y343" s="10" t="str">
        <f t="shared" ref="Y343" si="255">G343</f>
        <v/>
      </c>
      <c r="Z343" s="10" t="str">
        <f t="shared" ref="Z343" si="256">H343</f>
        <v/>
      </c>
      <c r="AA343" s="10" t="str">
        <f t="shared" ref="AA343" si="257">I343</f>
        <v/>
      </c>
      <c r="AB343" s="10" t="str">
        <f t="shared" ref="AB343" si="258">J343</f>
        <v/>
      </c>
      <c r="AD343" s="6">
        <f>IF((D340&lt;&gt;"")*(D344=""),IF((D340&lt;=$B$443)*((D341&gt;=$C$443)+(D341&lt;2/24)),1,0),0)</f>
        <v>0</v>
      </c>
      <c r="AE343" s="6">
        <f>IF((E340&lt;&gt;"")*(E344=""),IF((E340&lt;=$B$443)*((E341&gt;=$C$443)+(E341&lt;2/24)),1,0),0)</f>
        <v>0</v>
      </c>
      <c r="AF343" s="6">
        <f>IF((F340&lt;&gt;"")*(F344=""),IF((F340&lt;=$B$443)*((F341&gt;=$C$443)+(F341&lt;2/24)),1,0),0)</f>
        <v>0</v>
      </c>
      <c r="AG343" s="6">
        <f>IF((G340&lt;&gt;"")*(G344=""),IF((G340&lt;=$B$443)*((G341&gt;=$C$443)+(G341&lt;2/24)),1,0),0)</f>
        <v>0</v>
      </c>
      <c r="AH343" s="6">
        <f>IF((H340&lt;&gt;"")*(H344=""),IF((H340&lt;=$B$443)*((H341&gt;=$C$443)+(H341&lt;2/24)),1,0),0)</f>
        <v>0</v>
      </c>
      <c r="AI343" s="6">
        <f>IF((I340&lt;&gt;"")*(I344=""),IF((I340&lt;=$B$443)*((I341&gt;=$C$443)+(I341&lt;2/24)),1,0),0)</f>
        <v>0</v>
      </c>
      <c r="AJ343" s="6">
        <f>IF((J340&lt;&gt;"")*(J344=""),IF((J340&lt;=$B$443)*((J341&gt;=$C$443)+(J341&lt;2/24)),1,0),0)</f>
        <v>0</v>
      </c>
    </row>
    <row r="344" spans="1:36" x14ac:dyDescent="0.2">
      <c r="A344" s="39"/>
      <c r="B344" s="40"/>
      <c r="C344" s="32" t="s">
        <v>4</v>
      </c>
      <c r="D344" s="33"/>
      <c r="E344" s="33"/>
      <c r="F344" s="33"/>
      <c r="G344" s="33"/>
      <c r="H344" s="33"/>
      <c r="I344" s="33"/>
      <c r="J344" s="33"/>
      <c r="K344" s="17"/>
      <c r="L344" s="6"/>
      <c r="M344" s="25"/>
      <c r="N344" s="6"/>
      <c r="O344" s="6"/>
      <c r="P344" s="6"/>
      <c r="Q344" s="6"/>
      <c r="R344" s="6"/>
      <c r="S344" s="6"/>
      <c r="T344" s="6"/>
      <c r="U344" s="6"/>
      <c r="V344" s="20"/>
      <c r="W344" s="20"/>
      <c r="X344" s="20"/>
      <c r="Y344" s="20"/>
      <c r="Z344" s="20"/>
      <c r="AA344" s="20"/>
      <c r="AB344" s="20"/>
      <c r="AD344" s="6">
        <f>IF((D340&lt;&gt;"")*(D344=""),IF((D340&lt;=$B$444)*((D341&gt;=$C$444)+(D341&lt;2/24)),1,0),0)</f>
        <v>0</v>
      </c>
      <c r="AE344" s="6">
        <f>IF((E340&lt;&gt;"")*(E344=""),IF((E340&lt;=$B$444)*((E341&gt;=$C$444)+(E341&lt;2/24)),1,0),0)</f>
        <v>0</v>
      </c>
      <c r="AF344" s="6">
        <f>IF((F340&lt;&gt;"")*(F344=""),IF((F340&lt;=$B$444)*((F341&gt;=$C$444)+(F341&lt;2/24)),1,0),0)</f>
        <v>0</v>
      </c>
      <c r="AG344" s="6">
        <f>IF((G340&lt;&gt;"")*(G344=""),IF((G340&lt;=$B$444)*((G341&gt;=$C$444)+(G341&lt;2/24)),1,0),0)</f>
        <v>0</v>
      </c>
      <c r="AH344" s="6">
        <f>IF((H340&lt;&gt;"")*(H344=""),IF((H340&lt;=$B$444)*((H341&gt;=$C$444)+(H341&lt;2/24)),1,0),0)</f>
        <v>0</v>
      </c>
      <c r="AI344" s="6">
        <f>IF((I340&lt;&gt;"")*(I344=""),IF((I340&lt;=$B$444)*((I341&gt;=$C$444)+(I341&lt;2/24)),1,0),0)</f>
        <v>0</v>
      </c>
      <c r="AJ344" s="6">
        <f>IF((J340&lt;&gt;"")*(J344=""),IF((J340&lt;=$B$444)*((J341&gt;=$C$444)+(J341&lt;2/24)),1,0),0)</f>
        <v>0</v>
      </c>
    </row>
    <row r="345" spans="1:36" ht="13.5" thickBot="1" x14ac:dyDescent="0.25">
      <c r="A345" s="41"/>
      <c r="B345" s="42"/>
      <c r="C345" s="35" t="s">
        <v>28</v>
      </c>
      <c r="D345" s="93"/>
      <c r="E345" s="93"/>
      <c r="F345" s="93"/>
      <c r="G345" s="93"/>
      <c r="H345" s="93"/>
      <c r="I345" s="93"/>
      <c r="J345" s="93"/>
      <c r="K345" s="94"/>
      <c r="L345" s="6"/>
      <c r="M345" s="25"/>
      <c r="N345" s="6"/>
      <c r="O345" s="6"/>
      <c r="P345" s="6"/>
      <c r="Q345" s="6"/>
      <c r="R345" s="6"/>
      <c r="S345" s="6"/>
      <c r="T345" s="6"/>
      <c r="U345" s="6"/>
      <c r="V345" s="20"/>
      <c r="W345" s="20"/>
      <c r="X345" s="20"/>
      <c r="Y345" s="20"/>
      <c r="Z345" s="20"/>
      <c r="AA345" s="20"/>
      <c r="AB345" s="20"/>
      <c r="AD345" s="6"/>
      <c r="AE345" s="6"/>
      <c r="AF345" s="6"/>
      <c r="AG345" s="6"/>
      <c r="AH345" s="6"/>
      <c r="AI345" s="6"/>
      <c r="AJ345" s="6"/>
    </row>
    <row r="346" spans="1:36" x14ac:dyDescent="0.2">
      <c r="A346" s="37" t="s">
        <v>161</v>
      </c>
      <c r="B346" s="38" t="s">
        <v>143</v>
      </c>
      <c r="C346" s="14" t="s">
        <v>0</v>
      </c>
      <c r="D346" s="26"/>
      <c r="E346" s="26"/>
      <c r="F346" s="26"/>
      <c r="G346" s="26"/>
      <c r="H346" s="26"/>
      <c r="I346" s="26"/>
      <c r="J346" s="26"/>
      <c r="K346" s="16"/>
      <c r="L346" s="6"/>
      <c r="M346" s="25"/>
      <c r="N346" s="6"/>
      <c r="O346" s="6"/>
      <c r="P346" s="6"/>
      <c r="Q346" s="6"/>
      <c r="R346" s="6"/>
      <c r="S346" s="6"/>
      <c r="T346" s="6"/>
      <c r="U346" s="6"/>
      <c r="V346" s="20"/>
      <c r="W346" s="20"/>
      <c r="X346" s="20"/>
      <c r="Y346" s="20"/>
      <c r="Z346" s="20"/>
      <c r="AA346" s="20"/>
      <c r="AB346" s="20"/>
      <c r="AD346" s="6"/>
      <c r="AE346" s="6"/>
      <c r="AF346" s="6"/>
      <c r="AG346" s="6"/>
      <c r="AH346" s="6"/>
      <c r="AI346" s="6"/>
      <c r="AJ346" s="6"/>
    </row>
    <row r="347" spans="1:36" x14ac:dyDescent="0.2">
      <c r="A347" s="39"/>
      <c r="B347" s="40"/>
      <c r="C347" s="15" t="s">
        <v>1</v>
      </c>
      <c r="D347" s="27"/>
      <c r="E347" s="27"/>
      <c r="F347" s="27"/>
      <c r="G347" s="27"/>
      <c r="H347" s="27"/>
      <c r="I347" s="27"/>
      <c r="J347" s="27"/>
      <c r="K347" s="17"/>
      <c r="L347" s="6"/>
      <c r="M347" s="25"/>
      <c r="N347" s="6"/>
      <c r="O347" s="6"/>
      <c r="P347" s="6"/>
      <c r="Q347" s="6"/>
      <c r="R347" s="6"/>
      <c r="S347" s="6"/>
      <c r="T347" s="6"/>
      <c r="U347" s="6"/>
      <c r="V347" s="20"/>
      <c r="W347" s="20"/>
      <c r="X347" s="20"/>
      <c r="Y347" s="20"/>
      <c r="Z347" s="20"/>
      <c r="AA347" s="20"/>
      <c r="AB347" s="20"/>
      <c r="AD347" s="6"/>
      <c r="AE347" s="6"/>
      <c r="AF347" s="6"/>
      <c r="AG347" s="6"/>
      <c r="AH347" s="6"/>
      <c r="AI347" s="6"/>
      <c r="AJ347" s="6"/>
    </row>
    <row r="348" spans="1:36" x14ac:dyDescent="0.2">
      <c r="A348" s="39"/>
      <c r="B348" s="40"/>
      <c r="C348" s="15" t="s">
        <v>2</v>
      </c>
      <c r="D348" s="4"/>
      <c r="E348" s="4"/>
      <c r="F348" s="4"/>
      <c r="G348" s="4"/>
      <c r="H348" s="4"/>
      <c r="I348" s="4"/>
      <c r="J348" s="4"/>
      <c r="K348" s="17"/>
      <c r="L348" s="6"/>
      <c r="M348" s="25"/>
      <c r="N348" s="6"/>
      <c r="O348" s="6"/>
      <c r="P348" s="6"/>
      <c r="Q348" s="6"/>
      <c r="R348" s="6"/>
      <c r="S348" s="6"/>
      <c r="T348" s="6"/>
      <c r="U348" s="6"/>
      <c r="V348" s="20"/>
      <c r="W348" s="20"/>
      <c r="X348" s="20"/>
      <c r="Y348" s="20"/>
      <c r="Z348" s="20"/>
      <c r="AA348" s="20"/>
      <c r="AB348" s="20"/>
      <c r="AD348" s="6"/>
      <c r="AE348" s="6"/>
      <c r="AF348" s="6"/>
      <c r="AG348" s="6"/>
      <c r="AH348" s="6"/>
      <c r="AI348" s="6"/>
      <c r="AJ348" s="6"/>
    </row>
    <row r="349" spans="1:36" x14ac:dyDescent="0.2">
      <c r="A349" s="39"/>
      <c r="B349" s="40"/>
      <c r="C349" s="15" t="s">
        <v>3</v>
      </c>
      <c r="D349" s="43" t="str">
        <f t="shared" ref="D349:J349" si="259">IF(D346="","",IF(D347&gt;D346,(D347-D346-D348)*24,(1-D346-D348+D347)*24))</f>
        <v/>
      </c>
      <c r="E349" s="43" t="str">
        <f t="shared" si="259"/>
        <v/>
      </c>
      <c r="F349" s="43" t="str">
        <f t="shared" si="259"/>
        <v/>
      </c>
      <c r="G349" s="43" t="str">
        <f t="shared" si="259"/>
        <v/>
      </c>
      <c r="H349" s="43" t="str">
        <f t="shared" si="259"/>
        <v/>
      </c>
      <c r="I349" s="43" t="str">
        <f t="shared" si="259"/>
        <v/>
      </c>
      <c r="J349" s="44" t="str">
        <f t="shared" si="259"/>
        <v/>
      </c>
      <c r="K349" s="18">
        <f>SUMIF(D350:J350,"",D349:J349)</f>
        <v>0</v>
      </c>
      <c r="L349" s="12">
        <f>SUM(D349:J349)</f>
        <v>0</v>
      </c>
      <c r="M349" s="25"/>
      <c r="N349" s="6"/>
      <c r="O349" s="6"/>
      <c r="P349" s="6"/>
      <c r="Q349" s="6"/>
      <c r="R349" s="6"/>
      <c r="S349" s="6"/>
      <c r="T349" s="6"/>
      <c r="U349" s="6"/>
      <c r="V349" s="20"/>
      <c r="W349" s="20"/>
      <c r="X349" s="20"/>
      <c r="Y349" s="20"/>
      <c r="Z349" s="20"/>
      <c r="AA349" s="20"/>
      <c r="AB349" s="20"/>
      <c r="AD349" s="6"/>
      <c r="AE349" s="6"/>
      <c r="AF349" s="6"/>
      <c r="AG349" s="6"/>
      <c r="AH349" s="6"/>
      <c r="AI349" s="6"/>
      <c r="AJ349" s="6"/>
    </row>
    <row r="350" spans="1:36" x14ac:dyDescent="0.2">
      <c r="A350" s="39"/>
      <c r="B350" s="40"/>
      <c r="C350" s="32" t="s">
        <v>4</v>
      </c>
      <c r="D350" s="33"/>
      <c r="E350" s="33"/>
      <c r="F350" s="33"/>
      <c r="G350" s="33"/>
      <c r="H350" s="33"/>
      <c r="I350" s="33"/>
      <c r="J350" s="33"/>
      <c r="K350" s="17"/>
      <c r="L350" s="6"/>
      <c r="M350" s="25"/>
      <c r="N350" s="6"/>
      <c r="O350" s="6"/>
      <c r="P350" s="6"/>
      <c r="Q350" s="6"/>
      <c r="R350" s="6"/>
      <c r="S350" s="6"/>
      <c r="T350" s="6"/>
      <c r="U350" s="6"/>
      <c r="V350" s="20"/>
      <c r="W350" s="20"/>
      <c r="X350" s="20"/>
      <c r="Y350" s="20"/>
      <c r="Z350" s="20"/>
      <c r="AA350" s="20"/>
      <c r="AB350" s="20"/>
      <c r="AD350" s="6"/>
      <c r="AE350" s="6"/>
      <c r="AF350" s="6"/>
      <c r="AG350" s="6"/>
      <c r="AH350" s="6"/>
      <c r="AI350" s="6"/>
      <c r="AJ350" s="6"/>
    </row>
    <row r="351" spans="1:36" ht="13.5" thickBot="1" x14ac:dyDescent="0.25">
      <c r="A351" s="41"/>
      <c r="B351" s="42"/>
      <c r="C351" s="35" t="s">
        <v>28</v>
      </c>
      <c r="D351" s="93"/>
      <c r="E351" s="93"/>
      <c r="F351" s="93"/>
      <c r="G351" s="93"/>
      <c r="H351" s="93"/>
      <c r="I351" s="93"/>
      <c r="J351" s="93"/>
      <c r="K351" s="94"/>
      <c r="L351" s="6"/>
      <c r="M351" s="25"/>
      <c r="N351" s="6"/>
      <c r="O351" s="6"/>
      <c r="P351" s="6"/>
      <c r="Q351" s="6"/>
      <c r="R351" s="6"/>
      <c r="S351" s="6"/>
      <c r="T351" s="6"/>
      <c r="U351" s="6"/>
      <c r="V351" s="20"/>
      <c r="W351" s="20"/>
      <c r="X351" s="20"/>
      <c r="Y351" s="20"/>
      <c r="Z351" s="20"/>
      <c r="AA351" s="20"/>
      <c r="AB351" s="20"/>
      <c r="AD351" s="6"/>
      <c r="AE351" s="6"/>
      <c r="AF351" s="6"/>
      <c r="AG351" s="6"/>
      <c r="AH351" s="6"/>
      <c r="AI351" s="6"/>
      <c r="AJ351" s="6"/>
    </row>
    <row r="352" spans="1:36" x14ac:dyDescent="0.2">
      <c r="A352" s="37" t="s">
        <v>100</v>
      </c>
      <c r="B352" s="38" t="s">
        <v>125</v>
      </c>
      <c r="C352" s="14" t="s">
        <v>0</v>
      </c>
      <c r="D352" s="26"/>
      <c r="E352" s="26"/>
      <c r="F352" s="26"/>
      <c r="G352" s="26">
        <v>0.77083333333333337</v>
      </c>
      <c r="H352" s="26"/>
      <c r="I352" s="26"/>
      <c r="J352" s="26"/>
      <c r="K352" s="16"/>
      <c r="L352" s="6"/>
      <c r="M352" s="21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D352" s="6">
        <f>IF((D352&lt;&gt;"")*(D356=""),IF((D352&lt;=$B$440)*((D353&gt;=$C$440)+(D353&lt;2/24)),1,0),0)</f>
        <v>0</v>
      </c>
      <c r="AE352" s="6">
        <f>IF((E352&lt;&gt;"")*(E356=""),IF((E352&lt;=$B$440)*((E353&gt;=$C$440)+(E353&lt;2/24)),1,0),0)</f>
        <v>0</v>
      </c>
      <c r="AF352" s="6">
        <f>IF((F352&lt;&gt;"")*(F356=""),IF((F352&lt;=$B$440)*((F353&gt;=$C$440)+(F353&lt;2/24)),1,0),0)</f>
        <v>0</v>
      </c>
      <c r="AG352" s="6">
        <f>IF((G352&lt;&gt;"")*(G356=""),IF((G352&lt;=$B$440)*((G353&gt;=$C$440)+(G353&lt;2/24)),1,0),0)</f>
        <v>0</v>
      </c>
      <c r="AH352" s="6">
        <f>IF((H352&lt;&gt;"")*(H356=""),IF((H352&lt;=$B$440)*((H353&gt;=$C$440)+(H353&lt;2/24)),1,0),0)</f>
        <v>0</v>
      </c>
      <c r="AI352" s="6">
        <f>IF((I352&lt;&gt;"")*(I356=""),IF((I352&lt;=$B$440)*((I353&gt;=$C$440)+(I353&lt;2/24)),1,0),0)</f>
        <v>0</v>
      </c>
      <c r="AJ352" s="6">
        <f>IF((J352&lt;&gt;"")*(J356=""),IF((J352&lt;=$B$440)*((J353&gt;=$C$440)+(J353&lt;2/24)),1,0),0)</f>
        <v>0</v>
      </c>
    </row>
    <row r="353" spans="1:36" x14ac:dyDescent="0.2">
      <c r="A353" s="39"/>
      <c r="B353" s="40"/>
      <c r="C353" s="15" t="s">
        <v>1</v>
      </c>
      <c r="D353" s="27"/>
      <c r="E353" s="27"/>
      <c r="F353" s="27"/>
      <c r="G353" s="27">
        <v>0.95833333333333337</v>
      </c>
      <c r="H353" s="27"/>
      <c r="I353" s="27"/>
      <c r="J353" s="27"/>
      <c r="K353" s="17"/>
      <c r="L353" s="6"/>
      <c r="M353" s="21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D353" s="6">
        <f>IF((D352&lt;&gt;"")*(D356=""),IF((D352&lt;=$B$441)*((D353&gt;=$C$441)+(D353&lt;2/24)),1,0),0)</f>
        <v>0</v>
      </c>
      <c r="AE353" s="6">
        <f>IF((E352&lt;&gt;"")*(E356=""),IF((E352&lt;=$B$441)*((E353&gt;=$C$441)+(E353&lt;2/24)),1,0),0)</f>
        <v>0</v>
      </c>
      <c r="AF353" s="6">
        <f>IF((F352&lt;&gt;"")*(F356=""),IF((F352&lt;=$B$441)*((F353&gt;=$C$441)+(F353&lt;2/24)),1,0),0)</f>
        <v>0</v>
      </c>
      <c r="AG353" s="6">
        <f>IF((G352&lt;&gt;"")*(G356=""),IF((G352&lt;=$B$441)*((G353&gt;=$C$441)+(G353&lt;2/24)),1,0),0)</f>
        <v>0</v>
      </c>
      <c r="AH353" s="6">
        <f>IF((H352&lt;&gt;"")*(H356=""),IF((H352&lt;=$B$441)*((H353&gt;=$C$441)+(H353&lt;2/24)),1,0),0)</f>
        <v>0</v>
      </c>
      <c r="AI353" s="6">
        <f>IF((I352&lt;&gt;"")*(I356=""),IF((I352&lt;=$B$441)*((I353&gt;=$C$441)+(I353&lt;2/24)),1,0),0)</f>
        <v>0</v>
      </c>
      <c r="AJ353" s="6">
        <f>IF((J352&lt;&gt;"")*(J356=""),IF((J352&lt;=$B$441)*((J353&gt;=$C$441)+(J353&lt;2/24)),1,0),0)</f>
        <v>0</v>
      </c>
    </row>
    <row r="354" spans="1:36" x14ac:dyDescent="0.2">
      <c r="A354" s="39"/>
      <c r="B354" s="40"/>
      <c r="C354" s="15" t="s">
        <v>2</v>
      </c>
      <c r="D354" s="4"/>
      <c r="E354" s="4"/>
      <c r="F354" s="4"/>
      <c r="G354" s="58"/>
      <c r="H354" s="4"/>
      <c r="I354" s="4"/>
      <c r="J354" s="4"/>
      <c r="K354" s="17"/>
      <c r="L354" s="6"/>
      <c r="M354" s="21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D354" s="6">
        <f>IF((D352&lt;&gt;"")*(D356=""),IF((D352&lt;=$B$442)*((D353&gt;=$C$442)+(D353&lt;2/24)),1,0),0)</f>
        <v>0</v>
      </c>
      <c r="AE354" s="6">
        <f>IF((E352&lt;&gt;"")*(E356=""),IF((E352&lt;=$B$442)*((E353&gt;=$C$442)+(E353&lt;2/24)),1,0),0)</f>
        <v>0</v>
      </c>
      <c r="AF354" s="6">
        <f>IF((F352&lt;&gt;"")*(F356=""),IF((F352&lt;=$B$442)*((F353&gt;=$C$442)+(F353&lt;2/24)),1,0),0)</f>
        <v>0</v>
      </c>
      <c r="AG354" s="6">
        <f>IF((G352&lt;&gt;"")*(G356=""),IF((G352&lt;=$B$442)*((G353&gt;=$C$442)+(G353&lt;2/24)),1,0),0)</f>
        <v>0</v>
      </c>
      <c r="AH354" s="6">
        <f>IF((H352&lt;&gt;"")*(H356=""),IF((H352&lt;=$B$442)*((H353&gt;=$C$442)+(H353&lt;2/24)),1,0),0)</f>
        <v>0</v>
      </c>
      <c r="AI354" s="6">
        <f>IF((I352&lt;&gt;"")*(I356=""),IF((I352&lt;=$B$442)*((I353&gt;=$C$442)+(I353&lt;2/24)),1,0),0)</f>
        <v>0</v>
      </c>
      <c r="AJ354" s="6">
        <f>IF((J352&lt;&gt;"")*(J356=""),IF((J352&lt;=$B$442)*((J353&gt;=$C$442)+(J353&lt;2/24)),1,0),0)</f>
        <v>0</v>
      </c>
    </row>
    <row r="355" spans="1:36" x14ac:dyDescent="0.2">
      <c r="A355" s="39"/>
      <c r="B355" s="40"/>
      <c r="C355" s="15" t="s">
        <v>3</v>
      </c>
      <c r="D355" s="43" t="str">
        <f t="shared" ref="D355:J355" si="260">IF(D352="","",IF(D353&gt;D352,(D353-D352-D354)*24,(1-D352-D354+D353)*24))</f>
        <v/>
      </c>
      <c r="E355" s="43" t="str">
        <f t="shared" si="260"/>
        <v/>
      </c>
      <c r="F355" s="43" t="str">
        <f t="shared" si="260"/>
        <v/>
      </c>
      <c r="G355" s="55">
        <f t="shared" si="260"/>
        <v>4.5</v>
      </c>
      <c r="H355" s="55" t="str">
        <f t="shared" si="260"/>
        <v/>
      </c>
      <c r="I355" s="43" t="str">
        <f t="shared" si="260"/>
        <v/>
      </c>
      <c r="J355" s="44" t="str">
        <f t="shared" si="260"/>
        <v/>
      </c>
      <c r="K355" s="18">
        <f>SUMIF(D356:J356,"",D355:J355)</f>
        <v>4.5</v>
      </c>
      <c r="L355" s="12">
        <f>SUM(D355:J355)</f>
        <v>4.5</v>
      </c>
      <c r="M355" s="24"/>
      <c r="N355" s="10" t="str">
        <f t="shared" ref="N355:T355" si="261">IF(D356="",D355,0)</f>
        <v/>
      </c>
      <c r="O355" s="10" t="str">
        <f t="shared" si="261"/>
        <v/>
      </c>
      <c r="P355" s="10" t="str">
        <f t="shared" si="261"/>
        <v/>
      </c>
      <c r="Q355" s="10">
        <f t="shared" si="261"/>
        <v>4.5</v>
      </c>
      <c r="R355" s="10" t="str">
        <f t="shared" si="261"/>
        <v/>
      </c>
      <c r="S355" s="10" t="str">
        <f t="shared" si="261"/>
        <v/>
      </c>
      <c r="T355" s="10" t="str">
        <f t="shared" si="261"/>
        <v/>
      </c>
      <c r="U355" s="10"/>
      <c r="V355" s="10" t="str">
        <f t="shared" ref="V355:AB355" si="262">D355</f>
        <v/>
      </c>
      <c r="W355" s="10" t="str">
        <f t="shared" si="262"/>
        <v/>
      </c>
      <c r="X355" s="10" t="str">
        <f t="shared" si="262"/>
        <v/>
      </c>
      <c r="Y355" s="10">
        <f t="shared" si="262"/>
        <v>4.5</v>
      </c>
      <c r="Z355" s="10" t="str">
        <f t="shared" si="262"/>
        <v/>
      </c>
      <c r="AA355" s="10" t="str">
        <f t="shared" si="262"/>
        <v/>
      </c>
      <c r="AB355" s="10" t="str">
        <f t="shared" si="262"/>
        <v/>
      </c>
      <c r="AD355" s="6">
        <f>IF((D352&lt;&gt;"")*(D356=""),IF((D352&lt;=$B$443)*((D353&gt;=$C$443)+(D353&lt;2/24)),1,0),0)</f>
        <v>0</v>
      </c>
      <c r="AE355" s="6">
        <f>IF((E352&lt;&gt;"")*(E356=""),IF((E352&lt;=$B$443)*((E353&gt;=$C$443)+(E353&lt;2/24)),1,0),0)</f>
        <v>0</v>
      </c>
      <c r="AF355" s="6">
        <f>IF((F352&lt;&gt;"")*(F356=""),IF((F352&lt;=$B$443)*((F353&gt;=$C$443)+(F353&lt;2/24)),1,0),0)</f>
        <v>0</v>
      </c>
      <c r="AG355" s="6">
        <f>IF((G352&lt;&gt;"")*(G356=""),IF((G352&lt;=$B$443)*((G353&gt;=$C$443)+(G353&lt;2/24)),1,0),0)</f>
        <v>1</v>
      </c>
      <c r="AH355" s="6">
        <f>IF((H352&lt;&gt;"")*(H356=""),IF((H352&lt;=$B$443)*((H353&gt;=$C$443)+(H353&lt;2/24)),1,0),0)</f>
        <v>0</v>
      </c>
      <c r="AI355" s="6">
        <f>IF((I352&lt;&gt;"")*(I356=""),IF((I352&lt;=$B$443)*((I353&gt;=$C$443)+(I353&lt;2/24)),1,0),0)</f>
        <v>0</v>
      </c>
      <c r="AJ355" s="6">
        <f>IF((J352&lt;&gt;"")*(J356=""),IF((J352&lt;=$B$443)*((J353&gt;=$C$443)+(J353&lt;2/24)),1,0),0)</f>
        <v>0</v>
      </c>
    </row>
    <row r="356" spans="1:36" x14ac:dyDescent="0.2">
      <c r="A356" s="39"/>
      <c r="B356" s="40"/>
      <c r="C356" s="32" t="s">
        <v>4</v>
      </c>
      <c r="D356" s="33"/>
      <c r="E356" s="33"/>
      <c r="F356" s="33"/>
      <c r="G356" s="33"/>
      <c r="H356" s="33"/>
      <c r="I356" s="33"/>
      <c r="J356" s="33"/>
      <c r="K356" s="17"/>
      <c r="L356" s="6"/>
      <c r="M356" s="25"/>
      <c r="N356" s="6"/>
      <c r="O356" s="6"/>
      <c r="P356" s="6"/>
      <c r="Q356" s="6"/>
      <c r="R356" s="6"/>
      <c r="S356" s="6"/>
      <c r="T356" s="6"/>
      <c r="U356" s="6"/>
      <c r="V356" s="20"/>
      <c r="W356" s="20"/>
      <c r="X356" s="20"/>
      <c r="Y356" s="20"/>
      <c r="Z356" s="20"/>
      <c r="AA356" s="20"/>
      <c r="AB356" s="20"/>
      <c r="AD356" s="6">
        <f>IF((D352&lt;&gt;"")*(D356=""),IF((D352&lt;=$B$444)*((D353&gt;=$C$444)+(D353&lt;2/24)),1,0),0)</f>
        <v>0</v>
      </c>
      <c r="AE356" s="6">
        <f>IF((E352&lt;&gt;"")*(E356=""),IF((E352&lt;=$B$444)*((E353&gt;=$C$444)+(E353&lt;2/24)),1,0),0)</f>
        <v>0</v>
      </c>
      <c r="AF356" s="6">
        <f>IF((F352&lt;&gt;"")*(F356=""),IF((F352&lt;=$B$444)*((F353&gt;=$C$444)+(F353&lt;2/24)),1,0),0)</f>
        <v>0</v>
      </c>
      <c r="AG356" s="6">
        <f>IF((G352&lt;&gt;"")*(G356=""),IF((G352&lt;=$B$444)*((G353&gt;=$C$444)+(G353&lt;2/24)),1,0),0)</f>
        <v>1</v>
      </c>
      <c r="AH356" s="6">
        <f>IF((H352&lt;&gt;"")*(H356=""),IF((H352&lt;=$B$444)*((H353&gt;=$C$444)+(H353&lt;2/24)),1,0),0)</f>
        <v>0</v>
      </c>
      <c r="AI356" s="6">
        <f>IF((I352&lt;&gt;"")*(I356=""),IF((I352&lt;=$B$444)*((I353&gt;=$C$444)+(I353&lt;2/24)),1,0),0)</f>
        <v>0</v>
      </c>
      <c r="AJ356" s="6">
        <f>IF((J352&lt;&gt;"")*(J356=""),IF((J352&lt;=$B$444)*((J353&gt;=$C$444)+(J353&lt;2/24)),1,0),0)</f>
        <v>0</v>
      </c>
    </row>
    <row r="357" spans="1:36" ht="13.5" thickBot="1" x14ac:dyDescent="0.25">
      <c r="A357" s="41"/>
      <c r="B357" s="42"/>
      <c r="C357" s="35" t="s">
        <v>28</v>
      </c>
      <c r="D357" s="36"/>
      <c r="E357" s="36"/>
      <c r="F357" s="36"/>
      <c r="G357" s="36"/>
      <c r="H357" s="36"/>
      <c r="I357" s="36"/>
      <c r="J357" s="36"/>
      <c r="K357" s="34"/>
      <c r="L357" s="6"/>
      <c r="M357" s="25"/>
      <c r="N357" s="6"/>
      <c r="O357" s="6"/>
      <c r="P357" s="6"/>
      <c r="Q357" s="6"/>
      <c r="R357" s="6"/>
      <c r="S357" s="6"/>
      <c r="T357" s="6"/>
      <c r="U357" s="6"/>
      <c r="V357" s="20"/>
      <c r="W357" s="20"/>
      <c r="X357" s="20"/>
      <c r="Y357" s="20"/>
      <c r="Z357" s="20"/>
      <c r="AA357" s="20"/>
      <c r="AB357" s="20"/>
      <c r="AD357" s="6"/>
      <c r="AE357" s="6"/>
      <c r="AF357" s="6"/>
      <c r="AG357" s="6"/>
      <c r="AH357" s="6"/>
      <c r="AI357" s="6"/>
      <c r="AJ357" s="6"/>
    </row>
    <row r="358" spans="1:36" x14ac:dyDescent="0.2">
      <c r="A358" s="37" t="s">
        <v>157</v>
      </c>
      <c r="B358" s="38" t="s">
        <v>158</v>
      </c>
      <c r="C358" s="14" t="s">
        <v>0</v>
      </c>
      <c r="D358" s="26"/>
      <c r="E358" s="26"/>
      <c r="F358" s="26">
        <v>0.77083333333333337</v>
      </c>
      <c r="G358" s="26">
        <v>0.54166666666666663</v>
      </c>
      <c r="H358" s="26"/>
      <c r="I358" s="26"/>
      <c r="J358" s="26"/>
      <c r="K358" s="16"/>
      <c r="L358" s="6"/>
      <c r="M358" s="21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D358" s="6">
        <f>IF((D358&lt;&gt;"")*(D362=""),IF((D358&lt;=$B$440)*((D359&gt;=$C$440)+(D359&lt;2/24)),1,0),0)</f>
        <v>0</v>
      </c>
      <c r="AE358" s="6">
        <f>IF((E358&lt;&gt;"")*(E362=""),IF((E358&lt;=$B$440)*((E359&gt;=$C$440)+(E359&lt;2/24)),1,0),0)</f>
        <v>0</v>
      </c>
      <c r="AF358" s="6">
        <f>IF((F358&lt;&gt;"")*(F362=""),IF((F358&lt;=$B$440)*((F359&gt;=$C$440)+(F359&lt;2/24)),1,0),0)</f>
        <v>0</v>
      </c>
      <c r="AG358" s="6">
        <f>IF((G358&lt;&gt;"")*(G362=""),IF((G358&lt;=$B$440)*((G359&gt;=$C$440)+(G359&lt;2/24)),1,0),0)</f>
        <v>0</v>
      </c>
      <c r="AH358" s="6">
        <f>IF((H358&lt;&gt;"")*(H362=""),IF((H358&lt;=$B$440)*((H359&gt;=$C$440)+(H359&lt;2/24)),1,0),0)</f>
        <v>0</v>
      </c>
      <c r="AI358" s="6">
        <f>IF((I358&lt;&gt;"")*(I362=""),IF((I358&lt;=$B$440)*((I359&gt;=$C$440)+(I359&lt;2/24)),1,0),0)</f>
        <v>0</v>
      </c>
      <c r="AJ358" s="6">
        <f>IF((J358&lt;&gt;"")*(J362=""),IF((J358&lt;=$B$440)*((J359&gt;=$C$440)+(J359&lt;2/24)),1,0),0)</f>
        <v>0</v>
      </c>
    </row>
    <row r="359" spans="1:36" x14ac:dyDescent="0.2">
      <c r="A359" s="39"/>
      <c r="B359" s="40"/>
      <c r="C359" s="15" t="s">
        <v>1</v>
      </c>
      <c r="D359" s="27"/>
      <c r="E359" s="27"/>
      <c r="F359" s="27">
        <v>0.95833333333333337</v>
      </c>
      <c r="G359" s="27">
        <v>0.75</v>
      </c>
      <c r="H359" s="27"/>
      <c r="I359" s="27"/>
      <c r="J359" s="27"/>
      <c r="K359" s="17"/>
      <c r="L359" s="6"/>
      <c r="M359" s="21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D359" s="6">
        <f>IF((D358&lt;&gt;"")*(D362=""),IF((D358&lt;=$B$441)*((D359&gt;=$C$441)+(D359&lt;2/24)),1,0),0)</f>
        <v>0</v>
      </c>
      <c r="AE359" s="6">
        <f>IF((E358&lt;&gt;"")*(E362=""),IF((E358&lt;=$B$441)*((E359&gt;=$C$441)+(E359&lt;2/24)),1,0),0)</f>
        <v>0</v>
      </c>
      <c r="AF359" s="6">
        <f>IF((F358&lt;&gt;"")*(F362=""),IF((F358&lt;=$B$441)*((F359&gt;=$C$441)+(F359&lt;2/24)),1,0),0)</f>
        <v>0</v>
      </c>
      <c r="AG359" s="6">
        <f>IF((G358&lt;&gt;"")*(G362=""),IF((G358&lt;=$B$441)*((G359&gt;=$C$441)+(G359&lt;2/24)),1,0),0)</f>
        <v>1</v>
      </c>
      <c r="AH359" s="6">
        <f>IF((H358&lt;&gt;"")*(H362=""),IF((H358&lt;=$B$441)*((H359&gt;=$C$441)+(H359&lt;2/24)),1,0),0)</f>
        <v>0</v>
      </c>
      <c r="AI359" s="6">
        <f>IF((I358&lt;&gt;"")*(I362=""),IF((I358&lt;=$B$441)*((I359&gt;=$C$441)+(I359&lt;2/24)),1,0),0)</f>
        <v>0</v>
      </c>
      <c r="AJ359" s="6">
        <f>IF((J358&lt;&gt;"")*(J362=""),IF((J358&lt;=$B$441)*((J359&gt;=$C$441)+(J359&lt;2/24)),1,0),0)</f>
        <v>0</v>
      </c>
    </row>
    <row r="360" spans="1:36" x14ac:dyDescent="0.2">
      <c r="A360" s="39"/>
      <c r="B360" s="40"/>
      <c r="C360" s="15" t="s">
        <v>2</v>
      </c>
      <c r="D360" s="4"/>
      <c r="E360" s="4"/>
      <c r="F360" s="4"/>
      <c r="G360" s="4"/>
      <c r="H360" s="4"/>
      <c r="I360" s="4"/>
      <c r="J360" s="4"/>
      <c r="K360" s="17"/>
      <c r="L360" s="6"/>
      <c r="M360" s="21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D360" s="6">
        <f>IF((D358&lt;&gt;"")*(D362=""),IF((D358&lt;=$B$442)*((D359&gt;=$C$442)+(D359&lt;2/24)),1,0),0)</f>
        <v>0</v>
      </c>
      <c r="AE360" s="6">
        <f>IF((E358&lt;&gt;"")*(E362=""),IF((E358&lt;=$B$442)*((E359&gt;=$C$442)+(E359&lt;2/24)),1,0),0)</f>
        <v>0</v>
      </c>
      <c r="AF360" s="6">
        <f>IF((F358&lt;&gt;"")*(F362=""),IF((F358&lt;=$B$442)*((F359&gt;=$C$442)+(F359&lt;2/24)),1,0),0)</f>
        <v>0</v>
      </c>
      <c r="AG360" s="6">
        <f>IF((G358&lt;&gt;"")*(G362=""),IF((G358&lt;=$B$442)*((G359&gt;=$C$442)+(G359&lt;2/24)),1,0),0)</f>
        <v>1</v>
      </c>
      <c r="AH360" s="6">
        <f>IF((H358&lt;&gt;"")*(H362=""),IF((H358&lt;=$B$442)*((H359&gt;=$C$442)+(H359&lt;2/24)),1,0),0)</f>
        <v>0</v>
      </c>
      <c r="AI360" s="6">
        <f>IF((I358&lt;&gt;"")*(I362=""),IF((I358&lt;=$B$442)*((I359&gt;=$C$442)+(I359&lt;2/24)),1,0),0)</f>
        <v>0</v>
      </c>
      <c r="AJ360" s="6">
        <f>IF((J358&lt;&gt;"")*(J362=""),IF((J358&lt;=$B$442)*((J359&gt;=$C$442)+(J359&lt;2/24)),1,0),0)</f>
        <v>0</v>
      </c>
    </row>
    <row r="361" spans="1:36" x14ac:dyDescent="0.2">
      <c r="A361" s="39"/>
      <c r="B361" s="40"/>
      <c r="C361" s="15" t="s">
        <v>3</v>
      </c>
      <c r="D361" s="43" t="str">
        <f t="shared" ref="D361:J361" si="263">IF(D358="","",IF(D359&gt;D358,(D359-D358-D360)*24,(1-D358-D360+D359)*24))</f>
        <v/>
      </c>
      <c r="E361" s="43" t="str">
        <f t="shared" si="263"/>
        <v/>
      </c>
      <c r="F361" s="43">
        <f t="shared" si="263"/>
        <v>4.5</v>
      </c>
      <c r="G361" s="43">
        <f t="shared" si="263"/>
        <v>5.0000000000000009</v>
      </c>
      <c r="H361" s="43" t="str">
        <f t="shared" si="263"/>
        <v/>
      </c>
      <c r="I361" s="43" t="str">
        <f t="shared" si="263"/>
        <v/>
      </c>
      <c r="J361" s="44" t="str">
        <f t="shared" si="263"/>
        <v/>
      </c>
      <c r="K361" s="18">
        <f>SUMIF(D362:J362,"",D361:J361)</f>
        <v>9.5</v>
      </c>
      <c r="L361" s="12">
        <f>SUM(D361:J361)</f>
        <v>9.5</v>
      </c>
      <c r="M361" s="24"/>
      <c r="N361" s="10" t="str">
        <f>IF(D362="",D361,0)</f>
        <v/>
      </c>
      <c r="O361" s="10" t="str">
        <f>IF(E362="",E361,0)</f>
        <v/>
      </c>
      <c r="P361" s="10">
        <f t="shared" ref="P361" si="264">IF(F362="",F361,0)</f>
        <v>4.5</v>
      </c>
      <c r="Q361" s="10">
        <f t="shared" ref="Q361" si="265">IF(G362="",G361,0)</f>
        <v>5.0000000000000009</v>
      </c>
      <c r="R361" s="10" t="str">
        <f t="shared" ref="R361" si="266">IF(H362="",H361,0)</f>
        <v/>
      </c>
      <c r="S361" s="10" t="str">
        <f t="shared" ref="S361" si="267">IF(I362="",I361,0)</f>
        <v/>
      </c>
      <c r="T361" s="10" t="str">
        <f t="shared" ref="T361" si="268">IF(J362="",J361,0)</f>
        <v/>
      </c>
      <c r="U361" s="10"/>
      <c r="V361" s="10" t="str">
        <f>D361</f>
        <v/>
      </c>
      <c r="W361" s="10" t="str">
        <f>E361</f>
        <v/>
      </c>
      <c r="X361" s="10">
        <f t="shared" ref="X361" si="269">F361</f>
        <v>4.5</v>
      </c>
      <c r="Y361" s="10">
        <f t="shared" ref="Y361" si="270">G361</f>
        <v>5.0000000000000009</v>
      </c>
      <c r="Z361" s="10" t="str">
        <f t="shared" ref="Z361" si="271">H361</f>
        <v/>
      </c>
      <c r="AA361" s="10" t="str">
        <f t="shared" ref="AA361" si="272">I361</f>
        <v/>
      </c>
      <c r="AB361" s="10" t="str">
        <f t="shared" ref="AB361" si="273">J361</f>
        <v/>
      </c>
      <c r="AD361" s="6">
        <f>IF((D358&lt;&gt;"")*(D362=""),IF((D358&lt;=$B$443)*((D359&gt;=$C$443)+(D359&lt;2/24)),1,0),0)</f>
        <v>0</v>
      </c>
      <c r="AE361" s="6">
        <f>IF((E358&lt;&gt;"")*(E362=""),IF((E358&lt;=$B$443)*((E359&gt;=$C$443)+(E359&lt;2/24)),1,0),0)</f>
        <v>0</v>
      </c>
      <c r="AF361" s="6">
        <f>IF((F358&lt;&gt;"")*(F362=""),IF((F358&lt;=$B$443)*((F359&gt;=$C$443)+(F359&lt;2/24)),1,0),0)</f>
        <v>1</v>
      </c>
      <c r="AG361" s="6">
        <f>IF((G358&lt;&gt;"")*(G362=""),IF((G358&lt;=$B$443)*((G359&gt;=$C$443)+(G359&lt;2/24)),1,0),0)</f>
        <v>0</v>
      </c>
      <c r="AH361" s="6">
        <f>IF((H358&lt;&gt;"")*(H362=""),IF((H358&lt;=$B$443)*((H359&gt;=$C$443)+(H359&lt;2/24)),1,0),0)</f>
        <v>0</v>
      </c>
      <c r="AI361" s="6">
        <f>IF((I358&lt;&gt;"")*(I362=""),IF((I358&lt;=$B$443)*((I359&gt;=$C$443)+(I359&lt;2/24)),1,0),0)</f>
        <v>0</v>
      </c>
      <c r="AJ361" s="6">
        <f>IF((J358&lt;&gt;"")*(J362=""),IF((J358&lt;=$B$443)*((J359&gt;=$C$443)+(J359&lt;2/24)),1,0),0)</f>
        <v>0</v>
      </c>
    </row>
    <row r="362" spans="1:36" x14ac:dyDescent="0.2">
      <c r="A362" s="39"/>
      <c r="B362" s="40"/>
      <c r="C362" s="32" t="s">
        <v>4</v>
      </c>
      <c r="D362" s="33"/>
      <c r="E362" s="33"/>
      <c r="F362" s="33"/>
      <c r="G362" s="33"/>
      <c r="H362" s="33"/>
      <c r="I362" s="33"/>
      <c r="J362" s="33"/>
      <c r="K362" s="17"/>
      <c r="L362" s="6"/>
      <c r="M362" s="25"/>
      <c r="N362" s="6"/>
      <c r="O362" s="6"/>
      <c r="P362" s="6"/>
      <c r="Q362" s="6"/>
      <c r="R362" s="6"/>
      <c r="S362" s="6"/>
      <c r="T362" s="6"/>
      <c r="U362" s="6"/>
      <c r="V362" s="20"/>
      <c r="W362" s="20"/>
      <c r="X362" s="20"/>
      <c r="Y362" s="20"/>
      <c r="Z362" s="20"/>
      <c r="AA362" s="20"/>
      <c r="AB362" s="20"/>
      <c r="AD362" s="6">
        <f>IF((D358&lt;&gt;"")*(D362=""),IF((D358&lt;=$B$444)*((D359&gt;=$C$444)+(D359&lt;2/24)),1,0),0)</f>
        <v>0</v>
      </c>
      <c r="AE362" s="6">
        <f>IF((E358&lt;&gt;"")*(E362=""),IF((E358&lt;=$B$444)*((E359&gt;=$C$444)+(E359&lt;2/24)),1,0),0)</f>
        <v>0</v>
      </c>
      <c r="AF362" s="6">
        <f>IF((F358&lt;&gt;"")*(F362=""),IF((F358&lt;=$B$444)*((F359&gt;=$C$444)+(F359&lt;2/24)),1,0),0)</f>
        <v>1</v>
      </c>
      <c r="AG362" s="6">
        <f>IF((G358&lt;&gt;"")*(G362=""),IF((G358&lt;=$B$444)*((G359&gt;=$C$444)+(G359&lt;2/24)),1,0),0)</f>
        <v>0</v>
      </c>
      <c r="AH362" s="6">
        <f>IF((H358&lt;&gt;"")*(H362=""),IF((H358&lt;=$B$444)*((H359&gt;=$C$444)+(H359&lt;2/24)),1,0),0)</f>
        <v>0</v>
      </c>
      <c r="AI362" s="6">
        <f>IF((I358&lt;&gt;"")*(I362=""),IF((I358&lt;=$B$444)*((I359&gt;=$C$444)+(I359&lt;2/24)),1,0),0)</f>
        <v>0</v>
      </c>
      <c r="AJ362" s="6">
        <f>IF((J358&lt;&gt;"")*(J362=""),IF((J358&lt;=$B$444)*((J359&gt;=$C$444)+(J359&lt;2/24)),1,0),0)</f>
        <v>0</v>
      </c>
    </row>
    <row r="363" spans="1:36" ht="13.5" thickBot="1" x14ac:dyDescent="0.25">
      <c r="A363" s="41"/>
      <c r="B363" s="42"/>
      <c r="C363" s="35" t="s">
        <v>28</v>
      </c>
      <c r="D363" s="36"/>
      <c r="E363" s="36"/>
      <c r="F363" s="36"/>
      <c r="G363" s="36"/>
      <c r="H363" s="36"/>
      <c r="I363" s="36"/>
      <c r="J363" s="36"/>
      <c r="K363" s="34"/>
      <c r="L363" s="6"/>
      <c r="M363" s="25"/>
      <c r="N363" s="6"/>
      <c r="O363" s="6"/>
      <c r="P363" s="6"/>
      <c r="Q363" s="6"/>
      <c r="R363" s="6"/>
      <c r="S363" s="6"/>
      <c r="T363" s="6"/>
      <c r="U363" s="6"/>
      <c r="V363" s="20"/>
      <c r="W363" s="20"/>
      <c r="X363" s="20"/>
      <c r="Y363" s="20"/>
      <c r="Z363" s="20"/>
      <c r="AA363" s="20"/>
      <c r="AB363" s="20"/>
      <c r="AD363" s="6"/>
      <c r="AE363" s="6"/>
      <c r="AF363" s="6"/>
      <c r="AG363" s="6"/>
      <c r="AH363" s="6"/>
      <c r="AI363" s="6"/>
      <c r="AJ363" s="6"/>
    </row>
    <row r="364" spans="1:36" x14ac:dyDescent="0.2">
      <c r="A364" s="37" t="s">
        <v>73</v>
      </c>
      <c r="B364" s="38" t="s">
        <v>72</v>
      </c>
      <c r="C364" s="14" t="s">
        <v>0</v>
      </c>
      <c r="D364" s="26"/>
      <c r="E364" s="26"/>
      <c r="F364" s="26"/>
      <c r="G364" s="26"/>
      <c r="H364" s="26"/>
      <c r="I364" s="26"/>
      <c r="J364" s="26"/>
      <c r="K364" s="16"/>
      <c r="L364" s="6"/>
      <c r="M364" s="21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D364" s="6">
        <f>IF((D364&lt;&gt;"")*(D368=""),IF((D364&lt;=$B$440)*((D365&gt;=$C$440)+(D365&lt;2/24)),1,0),0)</f>
        <v>0</v>
      </c>
      <c r="AE364" s="6">
        <f>IF((E364&lt;&gt;"")*(E368=""),IF((E364&lt;=$B$440)*((E365&gt;=$C$440)+(E365&lt;2/24)),1,0),0)</f>
        <v>0</v>
      </c>
      <c r="AF364" s="6">
        <f>IF((F364&lt;&gt;"")*(F368=""),IF((F364&lt;=$B$440)*((F365&gt;=$C$440)+(F365&lt;2/24)),1,0),0)</f>
        <v>0</v>
      </c>
      <c r="AG364" s="6">
        <f>IF((G364&lt;&gt;"")*(G368=""),IF((G364&lt;=$B$440)*((G365&gt;=$C$440)+(G365&lt;2/24)),1,0),0)</f>
        <v>0</v>
      </c>
      <c r="AH364" s="6">
        <f>IF((H364&lt;&gt;"")*(H368=""),IF((H364&lt;=$B$440)*((H365&gt;=$C$440)+(H365&lt;2/24)),1,0),0)</f>
        <v>0</v>
      </c>
      <c r="AI364" s="6">
        <f>IF((I364&lt;&gt;"")*(I368=""),IF((I364&lt;=$B$440)*((I365&gt;=$C$440)+(I365&lt;2/24)),1,0),0)</f>
        <v>0</v>
      </c>
      <c r="AJ364" s="6">
        <f>IF((J364&lt;&gt;"")*(J368=""),IF((J364&lt;=$B$440)*((J365&gt;=$C$440)+(J365&lt;2/24)),1,0),0)</f>
        <v>0</v>
      </c>
    </row>
    <row r="365" spans="1:36" x14ac:dyDescent="0.2">
      <c r="A365" s="39"/>
      <c r="B365" s="40"/>
      <c r="C365" s="15" t="s">
        <v>1</v>
      </c>
      <c r="D365" s="27"/>
      <c r="E365" s="27"/>
      <c r="F365" s="27"/>
      <c r="G365" s="27"/>
      <c r="H365" s="27"/>
      <c r="I365" s="27"/>
      <c r="J365" s="27"/>
      <c r="K365" s="17"/>
      <c r="L365" s="6"/>
      <c r="M365" s="21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D365" s="6">
        <f>IF((D364&lt;&gt;"")*(D368=""),IF((D364&lt;=$B$441)*((D365&gt;=$C$441)+(D365&lt;2/24)),1,0),0)</f>
        <v>0</v>
      </c>
      <c r="AE365" s="6">
        <f>IF((E364&lt;&gt;"")*(E368=""),IF((E364&lt;=$B$441)*((E365&gt;=$C$441)+(E365&lt;2/24)),1,0),0)</f>
        <v>0</v>
      </c>
      <c r="AF365" s="6">
        <f>IF((F364&lt;&gt;"")*(F368=""),IF((F364&lt;=$B$441)*((F365&gt;=$C$441)+(F365&lt;2/24)),1,0),0)</f>
        <v>0</v>
      </c>
      <c r="AG365" s="6">
        <f>IF((G364&lt;&gt;"")*(G368=""),IF((G364&lt;=$B$441)*((G365&gt;=$C$441)+(G365&lt;2/24)),1,0),0)</f>
        <v>0</v>
      </c>
      <c r="AH365" s="6">
        <f>IF((H364&lt;&gt;"")*(H368=""),IF((H364&lt;=$B$441)*((H365&gt;=$C$441)+(H365&lt;2/24)),1,0),0)</f>
        <v>0</v>
      </c>
      <c r="AI365" s="6">
        <f>IF((I364&lt;&gt;"")*(I368=""),IF((I364&lt;=$B$441)*((I365&gt;=$C$441)+(I365&lt;2/24)),1,0),0)</f>
        <v>0</v>
      </c>
      <c r="AJ365" s="6">
        <f>IF((J364&lt;&gt;"")*(J368=""),IF((J364&lt;=$B$441)*((J365&gt;=$C$441)+(J365&lt;2/24)),1,0),0)</f>
        <v>0</v>
      </c>
    </row>
    <row r="366" spans="1:36" x14ac:dyDescent="0.2">
      <c r="A366" s="39"/>
      <c r="B366" s="40"/>
      <c r="C366" s="15" t="s">
        <v>2</v>
      </c>
      <c r="D366" s="4"/>
      <c r="E366" s="4"/>
      <c r="F366" s="4"/>
      <c r="G366" s="4"/>
      <c r="H366" s="4"/>
      <c r="I366" s="4"/>
      <c r="J366" s="4"/>
      <c r="K366" s="17"/>
      <c r="L366" s="6"/>
      <c r="M366" s="21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D366" s="6">
        <f>IF((D364&lt;&gt;"")*(D368=""),IF((D364&lt;=$B$442)*((D365&gt;=$C$442)+(D365&lt;2/24)),1,0),0)</f>
        <v>0</v>
      </c>
      <c r="AE366" s="6">
        <f>IF((E364&lt;&gt;"")*(E368=""),IF((E364&lt;=$B$442)*((E365&gt;=$C$442)+(E365&lt;2/24)),1,0),0)</f>
        <v>0</v>
      </c>
      <c r="AF366" s="6">
        <f>IF((F364&lt;&gt;"")*(F368=""),IF((F364&lt;=$B$442)*((F365&gt;=$C$442)+(F365&lt;2/24)),1,0),0)</f>
        <v>0</v>
      </c>
      <c r="AG366" s="6">
        <f>IF((G364&lt;&gt;"")*(G368=""),IF((G364&lt;=$B$442)*((G365&gt;=$C$442)+(G365&lt;2/24)),1,0),0)</f>
        <v>0</v>
      </c>
      <c r="AH366" s="6">
        <f>IF((H364&lt;&gt;"")*(H368=""),IF((H364&lt;=$B$442)*((H365&gt;=$C$442)+(H365&lt;2/24)),1,0),0)</f>
        <v>0</v>
      </c>
      <c r="AI366" s="6">
        <f>IF((I364&lt;&gt;"")*(I368=""),IF((I364&lt;=$B$442)*((I365&gt;=$C$442)+(I365&lt;2/24)),1,0),0)</f>
        <v>0</v>
      </c>
      <c r="AJ366" s="6">
        <f>IF((J364&lt;&gt;"")*(J368=""),IF((J364&lt;=$B$442)*((J365&gt;=$C$442)+(J365&lt;2/24)),1,0),0)</f>
        <v>0</v>
      </c>
    </row>
    <row r="367" spans="1:36" x14ac:dyDescent="0.2">
      <c r="A367" s="39"/>
      <c r="B367" s="40"/>
      <c r="C367" s="15" t="s">
        <v>3</v>
      </c>
      <c r="D367" s="43" t="str">
        <f t="shared" ref="D367:J367" si="274">IF(D364="","",IF(D365&gt;D364,(D365-D364-D366)*24,(1-D364-D366+D365)*24))</f>
        <v/>
      </c>
      <c r="E367" s="43" t="str">
        <f t="shared" si="274"/>
        <v/>
      </c>
      <c r="F367" s="43" t="str">
        <f t="shared" si="274"/>
        <v/>
      </c>
      <c r="G367" s="43" t="str">
        <f t="shared" si="274"/>
        <v/>
      </c>
      <c r="H367" s="43" t="str">
        <f t="shared" si="274"/>
        <v/>
      </c>
      <c r="I367" s="43" t="str">
        <f t="shared" si="274"/>
        <v/>
      </c>
      <c r="J367" s="44" t="str">
        <f t="shared" si="274"/>
        <v/>
      </c>
      <c r="K367" s="18">
        <f>SUMIF(D368:J368,"",D367:J367)</f>
        <v>0</v>
      </c>
      <c r="L367" s="12">
        <f>SUM(D367:J367)</f>
        <v>0</v>
      </c>
      <c r="M367" s="24"/>
      <c r="N367" s="10" t="str">
        <f>IF(D368="",D367,0)</f>
        <v/>
      </c>
      <c r="O367" s="10" t="str">
        <f>IF(E368="",E367,0)</f>
        <v/>
      </c>
      <c r="P367" s="10" t="str">
        <f t="shared" ref="P367" si="275">IF(F368="",F367,0)</f>
        <v/>
      </c>
      <c r="Q367" s="10" t="str">
        <f t="shared" ref="Q367" si="276">IF(G368="",G367,0)</f>
        <v/>
      </c>
      <c r="R367" s="10" t="str">
        <f t="shared" ref="R367" si="277">IF(H368="",H367,0)</f>
        <v/>
      </c>
      <c r="S367" s="10" t="str">
        <f t="shared" ref="S367" si="278">IF(I368="",I367,0)</f>
        <v/>
      </c>
      <c r="T367" s="10" t="str">
        <f t="shared" ref="T367" si="279">IF(J368="",J367,0)</f>
        <v/>
      </c>
      <c r="U367" s="10"/>
      <c r="V367" s="10" t="str">
        <f>D367</f>
        <v/>
      </c>
      <c r="W367" s="10" t="str">
        <f>E367</f>
        <v/>
      </c>
      <c r="X367" s="10" t="str">
        <f t="shared" ref="X367" si="280">F367</f>
        <v/>
      </c>
      <c r="Y367" s="10" t="str">
        <f t="shared" ref="Y367" si="281">G367</f>
        <v/>
      </c>
      <c r="Z367" s="10" t="str">
        <f t="shared" ref="Z367" si="282">H367</f>
        <v/>
      </c>
      <c r="AA367" s="10" t="str">
        <f t="shared" ref="AA367" si="283">I367</f>
        <v/>
      </c>
      <c r="AB367" s="10" t="str">
        <f t="shared" ref="AB367" si="284">J367</f>
        <v/>
      </c>
      <c r="AD367" s="6">
        <f>IF((D364&lt;&gt;"")*(D368=""),IF((D364&lt;=$B$443)*((D365&gt;=$C$443)+(D365&lt;2/24)),1,0),0)</f>
        <v>0</v>
      </c>
      <c r="AE367" s="6">
        <f>IF((E364&lt;&gt;"")*(E368=""),IF((E364&lt;=$B$443)*((E365&gt;=$C$443)+(E365&lt;2/24)),1,0),0)</f>
        <v>0</v>
      </c>
      <c r="AF367" s="6">
        <f>IF((F364&lt;&gt;"")*(F368=""),IF((F364&lt;=$B$443)*((F365&gt;=$C$443)+(F365&lt;2/24)),1,0),0)</f>
        <v>0</v>
      </c>
      <c r="AG367" s="6">
        <f>IF((G364&lt;&gt;"")*(G368=""),IF((G364&lt;=$B$443)*((G365&gt;=$C$443)+(G365&lt;2/24)),1,0),0)</f>
        <v>0</v>
      </c>
      <c r="AH367" s="6">
        <f>IF((H364&lt;&gt;"")*(H368=""),IF((H364&lt;=$B$443)*((H365&gt;=$C$443)+(H365&lt;2/24)),1,0),0)</f>
        <v>0</v>
      </c>
      <c r="AI367" s="6">
        <f>IF((I364&lt;&gt;"")*(I368=""),IF((I364&lt;=$B$443)*((I365&gt;=$C$443)+(I365&lt;2/24)),1,0),0)</f>
        <v>0</v>
      </c>
      <c r="AJ367" s="6">
        <f>IF((J364&lt;&gt;"")*(J368=""),IF((J364&lt;=$B$443)*((J365&gt;=$C$443)+(J365&lt;2/24)),1,0),0)</f>
        <v>0</v>
      </c>
    </row>
    <row r="368" spans="1:36" x14ac:dyDescent="0.2">
      <c r="A368" s="39"/>
      <c r="B368" s="40"/>
      <c r="C368" s="32" t="s">
        <v>4</v>
      </c>
      <c r="D368" s="33"/>
      <c r="E368" s="33"/>
      <c r="F368" s="33"/>
      <c r="G368" s="33"/>
      <c r="H368" s="33"/>
      <c r="I368" s="33"/>
      <c r="J368" s="33"/>
      <c r="K368" s="17"/>
      <c r="L368" s="6"/>
      <c r="M368" s="25"/>
      <c r="N368" s="6"/>
      <c r="O368" s="6"/>
      <c r="P368" s="6"/>
      <c r="Q368" s="6"/>
      <c r="R368" s="6"/>
      <c r="S368" s="6"/>
      <c r="T368" s="6"/>
      <c r="U368" s="6"/>
      <c r="V368" s="20"/>
      <c r="W368" s="20"/>
      <c r="X368" s="20"/>
      <c r="Y368" s="20"/>
      <c r="Z368" s="20"/>
      <c r="AA368" s="20"/>
      <c r="AB368" s="20"/>
      <c r="AD368" s="6">
        <f>IF((D364&lt;&gt;"")*(D368=""),IF((D364&lt;=$B$444)*((D365&gt;=$C$444)+(D365&lt;2/24)),1,0),0)</f>
        <v>0</v>
      </c>
      <c r="AE368" s="6">
        <f>IF((E364&lt;&gt;"")*(E368=""),IF((E364&lt;=$B$444)*((E365&gt;=$C$444)+(E365&lt;2/24)),1,0),0)</f>
        <v>0</v>
      </c>
      <c r="AF368" s="6">
        <f>IF((F364&lt;&gt;"")*(F368=""),IF((F364&lt;=$B$444)*((F365&gt;=$C$444)+(F365&lt;2/24)),1,0),0)</f>
        <v>0</v>
      </c>
      <c r="AG368" s="6">
        <f>IF((G364&lt;&gt;"")*(G368=""),IF((G364&lt;=$B$444)*((G365&gt;=$C$444)+(G365&lt;2/24)),1,0),0)</f>
        <v>0</v>
      </c>
      <c r="AH368" s="6">
        <f>IF((H364&lt;&gt;"")*(H368=""),IF((H364&lt;=$B$444)*((H365&gt;=$C$444)+(H365&lt;2/24)),1,0),0)</f>
        <v>0</v>
      </c>
      <c r="AI368" s="6">
        <f>IF((I364&lt;&gt;"")*(I368=""),IF((I364&lt;=$B$444)*((I365&gt;=$C$444)+(I365&lt;2/24)),1,0),0)</f>
        <v>0</v>
      </c>
      <c r="AJ368" s="6">
        <f>IF((J364&lt;&gt;"")*(J368=""),IF((J364&lt;=$B$444)*((J365&gt;=$C$444)+(J365&lt;2/24)),1,0),0)</f>
        <v>0</v>
      </c>
    </row>
    <row r="369" spans="1:36" ht="13.5" thickBot="1" x14ac:dyDescent="0.25">
      <c r="A369" s="41"/>
      <c r="B369" s="42"/>
      <c r="C369" s="35" t="s">
        <v>28</v>
      </c>
      <c r="D369" s="36"/>
      <c r="E369" s="36"/>
      <c r="F369" s="36"/>
      <c r="G369" s="36"/>
      <c r="H369" s="36"/>
      <c r="I369" s="36"/>
      <c r="J369" s="36"/>
      <c r="K369" s="34"/>
      <c r="L369" s="6"/>
      <c r="M369" s="25"/>
      <c r="N369" s="6"/>
      <c r="O369" s="6"/>
      <c r="P369" s="6"/>
      <c r="Q369" s="6"/>
      <c r="R369" s="6"/>
      <c r="S369" s="6"/>
      <c r="T369" s="6"/>
      <c r="U369" s="6"/>
      <c r="V369" s="20"/>
      <c r="W369" s="20"/>
      <c r="X369" s="20"/>
      <c r="Y369" s="20"/>
      <c r="Z369" s="20"/>
      <c r="AA369" s="20"/>
      <c r="AB369" s="20"/>
      <c r="AD369" s="6"/>
      <c r="AE369" s="6"/>
      <c r="AF369" s="6"/>
      <c r="AG369" s="6"/>
      <c r="AH369" s="6"/>
      <c r="AI369" s="6"/>
      <c r="AJ369" s="6"/>
    </row>
    <row r="370" spans="1:36" x14ac:dyDescent="0.2">
      <c r="A370" s="37" t="s">
        <v>126</v>
      </c>
      <c r="B370" s="38" t="s">
        <v>127</v>
      </c>
      <c r="C370" s="14" t="s">
        <v>0</v>
      </c>
      <c r="D370" s="26"/>
      <c r="E370" s="26"/>
      <c r="F370" s="26"/>
      <c r="G370" s="26">
        <v>0.77083333333333337</v>
      </c>
      <c r="H370" s="26"/>
      <c r="I370" s="26"/>
      <c r="J370" s="26"/>
      <c r="K370" s="16"/>
      <c r="L370" s="6"/>
      <c r="M370" s="21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D370" s="6">
        <f>IF((D370&lt;&gt;"")*(D374=""),IF((D370&lt;=#REF!)*((D371&gt;=#REF!)+(D371&lt;2/24)),1,0),0)</f>
        <v>0</v>
      </c>
      <c r="AE370" s="6">
        <f>IF((E370&lt;&gt;"")*(E374=""),IF((E370&lt;=#REF!)*((E371&gt;=#REF!)+(E371&lt;2/24)),1,0),0)</f>
        <v>0</v>
      </c>
      <c r="AF370" s="6">
        <f>IF((F370&lt;&gt;"")*(F374=""),IF((F370&lt;=#REF!)*((F371&gt;=#REF!)+(F371&lt;2/24)),1,0),0)</f>
        <v>0</v>
      </c>
      <c r="AG370" s="6" t="e">
        <f>IF((G370&lt;&gt;"")*(G374=""),IF((G370&lt;=#REF!)*((G371&gt;=#REF!)+(G371&lt;2/24)),1,0),0)</f>
        <v>#REF!</v>
      </c>
      <c r="AH370" s="6">
        <f>IF((H370&lt;&gt;"")*(H374=""),IF((H370&lt;=#REF!)*((H371&gt;=#REF!)+(H371&lt;2/24)),1,0),0)</f>
        <v>0</v>
      </c>
      <c r="AI370" s="6">
        <f>IF((I370&lt;&gt;"")*(I374=""),IF((I370&lt;=#REF!)*((I371&gt;=#REF!)+(I371&lt;2/24)),1,0),0)</f>
        <v>0</v>
      </c>
      <c r="AJ370" s="6">
        <f>IF((J370&lt;&gt;"")*(J374=""),IF((J370&lt;=#REF!)*((J371&gt;=#REF!)+(J371&lt;2/24)),1,0),0)</f>
        <v>0</v>
      </c>
    </row>
    <row r="371" spans="1:36" x14ac:dyDescent="0.2">
      <c r="A371" s="39"/>
      <c r="B371" s="40"/>
      <c r="C371" s="15" t="s">
        <v>1</v>
      </c>
      <c r="D371" s="27"/>
      <c r="E371" s="27"/>
      <c r="F371" s="27"/>
      <c r="G371" s="27">
        <v>0.95833333333333337</v>
      </c>
      <c r="H371" s="27"/>
      <c r="I371" s="27"/>
      <c r="J371" s="27"/>
      <c r="K371" s="17"/>
      <c r="L371" s="6"/>
      <c r="M371" s="21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D371" s="6">
        <f>IF((D370&lt;&gt;"")*(D374=""),IF((D370&lt;=#REF!)*((D371&gt;=#REF!)+(D371&lt;2/24)),1,0),0)</f>
        <v>0</v>
      </c>
      <c r="AE371" s="6">
        <f>IF((E370&lt;&gt;"")*(E374=""),IF((E370&lt;=#REF!)*((E371&gt;=#REF!)+(E371&lt;2/24)),1,0),0)</f>
        <v>0</v>
      </c>
      <c r="AF371" s="6">
        <f>IF((F370&lt;&gt;"")*(F374=""),IF((F370&lt;=#REF!)*((F371&gt;=#REF!)+(F371&lt;2/24)),1,0),0)</f>
        <v>0</v>
      </c>
      <c r="AG371" s="6" t="e">
        <f>IF((G370&lt;&gt;"")*(G374=""),IF((G370&lt;=#REF!)*((G371&gt;=#REF!)+(G371&lt;2/24)),1,0),0)</f>
        <v>#REF!</v>
      </c>
      <c r="AH371" s="6">
        <f>IF((H370&lt;&gt;"")*(H374=""),IF((H370&lt;=#REF!)*((H371&gt;=#REF!)+(H371&lt;2/24)),1,0),0)</f>
        <v>0</v>
      </c>
      <c r="AI371" s="6">
        <f>IF((I370&lt;&gt;"")*(I374=""),IF((I370&lt;=#REF!)*((I371&gt;=#REF!)+(I371&lt;2/24)),1,0),0)</f>
        <v>0</v>
      </c>
      <c r="AJ371" s="6">
        <f>IF((J370&lt;&gt;"")*(J374=""),IF((J370&lt;=#REF!)*((J371&gt;=#REF!)+(J371&lt;2/24)),1,0),0)</f>
        <v>0</v>
      </c>
    </row>
    <row r="372" spans="1:36" x14ac:dyDescent="0.2">
      <c r="A372" s="39"/>
      <c r="B372" s="40"/>
      <c r="C372" s="15" t="s">
        <v>2</v>
      </c>
      <c r="D372" s="27"/>
      <c r="E372" s="27"/>
      <c r="F372" s="27"/>
      <c r="G372" s="27"/>
      <c r="H372" s="27"/>
      <c r="I372" s="27"/>
      <c r="J372" s="4"/>
      <c r="K372" s="17"/>
      <c r="L372" s="6"/>
      <c r="M372" s="21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D372" s="6">
        <f>IF((D370&lt;&gt;"")*(D374=""),IF((D370&lt;=#REF!)*((D371&gt;=#REF!)+(D371&lt;2/24)),1,0),0)</f>
        <v>0</v>
      </c>
      <c r="AE372" s="6">
        <f>IF((E370&lt;&gt;"")*(E374=""),IF((E370&lt;=#REF!)*((E371&gt;=#REF!)+(E371&lt;2/24)),1,0),0)</f>
        <v>0</v>
      </c>
      <c r="AF372" s="6">
        <f>IF((F370&lt;&gt;"")*(F374=""),IF((F370&lt;=#REF!)*((F371&gt;=#REF!)+(F371&lt;2/24)),1,0),0)</f>
        <v>0</v>
      </c>
      <c r="AG372" s="6" t="e">
        <f>IF((G370&lt;&gt;"")*(G374=""),IF((G370&lt;=#REF!)*((G371&gt;=#REF!)+(G371&lt;2/24)),1,0),0)</f>
        <v>#REF!</v>
      </c>
      <c r="AH372" s="6">
        <f>IF((H370&lt;&gt;"")*(H374=""),IF((H370&lt;=#REF!)*((H371&gt;=#REF!)+(H371&lt;2/24)),1,0),0)</f>
        <v>0</v>
      </c>
      <c r="AI372" s="6">
        <f>IF((I370&lt;&gt;"")*(I374=""),IF((I370&lt;=#REF!)*((I371&gt;=#REF!)+(I371&lt;2/24)),1,0),0)</f>
        <v>0</v>
      </c>
      <c r="AJ372" s="6">
        <f>IF((J370&lt;&gt;"")*(J374=""),IF((J370&lt;=#REF!)*((J371&gt;=#REF!)+(J371&lt;2/24)),1,0),0)</f>
        <v>0</v>
      </c>
    </row>
    <row r="373" spans="1:36" x14ac:dyDescent="0.2">
      <c r="A373" s="39"/>
      <c r="B373" s="40"/>
      <c r="C373" s="15" t="s">
        <v>3</v>
      </c>
      <c r="D373" s="57" t="str">
        <f t="shared" ref="D373:J373" si="285">IF(D370="","",IF(D371&gt;D370,(D371-D370-D372)*24,(1-D370-D372+D371)*24))</f>
        <v/>
      </c>
      <c r="E373" s="43" t="str">
        <f t="shared" si="285"/>
        <v/>
      </c>
      <c r="F373" s="43" t="str">
        <f t="shared" si="285"/>
        <v/>
      </c>
      <c r="G373" s="43">
        <f t="shared" si="285"/>
        <v>4.5</v>
      </c>
      <c r="H373" s="43" t="str">
        <f t="shared" si="285"/>
        <v/>
      </c>
      <c r="I373" s="57" t="str">
        <f t="shared" si="285"/>
        <v/>
      </c>
      <c r="J373" s="44" t="str">
        <f t="shared" si="285"/>
        <v/>
      </c>
      <c r="K373" s="18">
        <f>SUMIF(D374:J374,"",D373:J373)</f>
        <v>4.5</v>
      </c>
      <c r="L373" s="12">
        <f>SUM(D373:J373)</f>
        <v>4.5</v>
      </c>
      <c r="M373" s="24"/>
      <c r="N373" s="10" t="str">
        <f t="shared" ref="N373:T373" si="286">IF(D374="",D373,0)</f>
        <v/>
      </c>
      <c r="O373" s="10" t="str">
        <f t="shared" si="286"/>
        <v/>
      </c>
      <c r="P373" s="10" t="str">
        <f t="shared" si="286"/>
        <v/>
      </c>
      <c r="Q373" s="10">
        <f t="shared" si="286"/>
        <v>4.5</v>
      </c>
      <c r="R373" s="10" t="str">
        <f t="shared" si="286"/>
        <v/>
      </c>
      <c r="S373" s="10" t="str">
        <f t="shared" si="286"/>
        <v/>
      </c>
      <c r="T373" s="10" t="str">
        <f t="shared" si="286"/>
        <v/>
      </c>
      <c r="U373" s="10"/>
      <c r="V373" s="10" t="str">
        <f t="shared" ref="V373:AB373" si="287">D373</f>
        <v/>
      </c>
      <c r="W373" s="10" t="str">
        <f t="shared" si="287"/>
        <v/>
      </c>
      <c r="X373" s="10" t="str">
        <f t="shared" si="287"/>
        <v/>
      </c>
      <c r="Y373" s="10">
        <f t="shared" si="287"/>
        <v>4.5</v>
      </c>
      <c r="Z373" s="10" t="str">
        <f t="shared" si="287"/>
        <v/>
      </c>
      <c r="AA373" s="10" t="str">
        <f t="shared" si="287"/>
        <v/>
      </c>
      <c r="AB373" s="10" t="str">
        <f t="shared" si="287"/>
        <v/>
      </c>
      <c r="AD373" s="6">
        <f>IF((D370&lt;&gt;"")*(D374=""),IF((D370&lt;=#REF!)*((D371&gt;=#REF!)+(D371&lt;2/24)),1,0),0)</f>
        <v>0</v>
      </c>
      <c r="AE373" s="6">
        <f>IF((E370&lt;&gt;"")*(E374=""),IF((E370&lt;=#REF!)*((E371&gt;=#REF!)+(E371&lt;2/24)),1,0),0)</f>
        <v>0</v>
      </c>
      <c r="AF373" s="6">
        <f>IF((F370&lt;&gt;"")*(F374=""),IF((F370&lt;=#REF!)*((F371&gt;=#REF!)+(F371&lt;2/24)),1,0),0)</f>
        <v>0</v>
      </c>
      <c r="AG373" s="6" t="e">
        <f>IF((G370&lt;&gt;"")*(G374=""),IF((G370&lt;=#REF!)*((G371&gt;=#REF!)+(G371&lt;2/24)),1,0),0)</f>
        <v>#REF!</v>
      </c>
      <c r="AH373" s="6">
        <f>IF((H370&lt;&gt;"")*(H374=""),IF((H370&lt;=#REF!)*((H371&gt;=#REF!)+(H371&lt;2/24)),1,0),0)</f>
        <v>0</v>
      </c>
      <c r="AI373" s="6">
        <f>IF((I370&lt;&gt;"")*(I374=""),IF((I370&lt;=#REF!)*((I371&gt;=#REF!)+(I371&lt;2/24)),1,0),0)</f>
        <v>0</v>
      </c>
      <c r="AJ373" s="6">
        <f>IF((J370&lt;&gt;"")*(J374=""),IF((J370&lt;=#REF!)*((J371&gt;=#REF!)+(J371&lt;2/24)),1,0),0)</f>
        <v>0</v>
      </c>
    </row>
    <row r="374" spans="1:36" x14ac:dyDescent="0.2">
      <c r="A374" s="39"/>
      <c r="B374" s="40"/>
      <c r="C374" s="32" t="s">
        <v>4</v>
      </c>
      <c r="D374" s="33"/>
      <c r="E374" s="33"/>
      <c r="F374" s="33"/>
      <c r="G374" s="33"/>
      <c r="H374" s="33"/>
      <c r="I374" s="33"/>
      <c r="J374" s="33"/>
      <c r="K374" s="17"/>
      <c r="L374" s="6"/>
      <c r="M374" s="25"/>
      <c r="N374" s="6"/>
      <c r="O374" s="6"/>
      <c r="P374" s="6"/>
      <c r="Q374" s="6"/>
      <c r="R374" s="6"/>
      <c r="S374" s="6"/>
      <c r="T374" s="6"/>
      <c r="U374" s="6"/>
      <c r="V374" s="20"/>
      <c r="W374" s="20"/>
      <c r="X374" s="20"/>
      <c r="Y374" s="20"/>
      <c r="Z374" s="20"/>
      <c r="AA374" s="20"/>
      <c r="AB374" s="20"/>
      <c r="AD374" s="6">
        <f>IF((D370&lt;&gt;"")*(D374=""),IF((D370&lt;=#REF!)*((D371&gt;=#REF!)+(D371&lt;2/24)),1,0),0)</f>
        <v>0</v>
      </c>
      <c r="AE374" s="6">
        <f>IF((E370&lt;&gt;"")*(E374=""),IF((E370&lt;=#REF!)*((E371&gt;=#REF!)+(E371&lt;2/24)),1,0),0)</f>
        <v>0</v>
      </c>
      <c r="AF374" s="6">
        <f>IF((F370&lt;&gt;"")*(F374=""),IF((F370&lt;=#REF!)*((F371&gt;=#REF!)+(F371&lt;2/24)),1,0),0)</f>
        <v>0</v>
      </c>
      <c r="AG374" s="6" t="e">
        <f>IF((G370&lt;&gt;"")*(G374=""),IF((G370&lt;=#REF!)*((G371&gt;=#REF!)+(G371&lt;2/24)),1,0),0)</f>
        <v>#REF!</v>
      </c>
      <c r="AH374" s="6">
        <f>IF((H370&lt;&gt;"")*(H374=""),IF((H370&lt;=#REF!)*((H371&gt;=#REF!)+(H371&lt;2/24)),1,0),0)</f>
        <v>0</v>
      </c>
      <c r="AI374" s="6">
        <f>IF((I370&lt;&gt;"")*(I374=""),IF((I370&lt;=#REF!)*((I371&gt;=#REF!)+(I371&lt;2/24)),1,0),0)</f>
        <v>0</v>
      </c>
      <c r="AJ374" s="6">
        <f>IF((J370&lt;&gt;"")*(J374=""),IF((J370&lt;=#REF!)*((J371&gt;=#REF!)+(J371&lt;2/24)),1,0),0)</f>
        <v>0</v>
      </c>
    </row>
    <row r="375" spans="1:36" ht="13.5" thickBot="1" x14ac:dyDescent="0.25">
      <c r="A375" s="41"/>
      <c r="B375" s="42"/>
      <c r="C375" s="35" t="s">
        <v>28</v>
      </c>
      <c r="D375" s="36"/>
      <c r="E375" s="36"/>
      <c r="F375" s="36"/>
      <c r="G375" s="36"/>
      <c r="H375" s="36"/>
      <c r="I375" s="36"/>
      <c r="J375" s="36"/>
      <c r="K375" s="34"/>
      <c r="L375" s="6"/>
      <c r="M375" s="25"/>
      <c r="N375" s="6"/>
      <c r="O375" s="6"/>
      <c r="P375" s="6"/>
      <c r="Q375" s="6"/>
      <c r="R375" s="6"/>
      <c r="S375" s="6"/>
      <c r="T375" s="6"/>
      <c r="U375" s="6"/>
      <c r="V375" s="20"/>
      <c r="W375" s="20"/>
      <c r="X375" s="20"/>
      <c r="Y375" s="20"/>
      <c r="Z375" s="20"/>
      <c r="AA375" s="20"/>
      <c r="AB375" s="20"/>
      <c r="AD375" s="6"/>
      <c r="AE375" s="6"/>
      <c r="AF375" s="6"/>
      <c r="AG375" s="6"/>
      <c r="AH375" s="6"/>
      <c r="AI375" s="6"/>
      <c r="AJ375" s="6"/>
    </row>
    <row r="376" spans="1:36" x14ac:dyDescent="0.2">
      <c r="A376" s="37" t="s">
        <v>86</v>
      </c>
      <c r="B376" s="38" t="s">
        <v>87</v>
      </c>
      <c r="C376" s="14" t="s">
        <v>0</v>
      </c>
      <c r="D376" s="26"/>
      <c r="E376" s="26"/>
      <c r="F376" s="26">
        <v>0.77083333333333337</v>
      </c>
      <c r="G376" s="26"/>
      <c r="H376" s="26"/>
      <c r="I376" s="26"/>
      <c r="J376" s="26"/>
      <c r="K376" s="16"/>
      <c r="L376" s="6"/>
      <c r="M376" s="21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D376" s="6">
        <f>IF((D376&lt;&gt;"")*(D380=""),IF((D376&lt;=$B$440)*((D377&gt;=$C$440)+(D377&lt;2/24)),1,0),0)</f>
        <v>0</v>
      </c>
      <c r="AE376" s="6">
        <f>IF((E376&lt;&gt;"")*(E380=""),IF((E376&lt;=$B$440)*((E377&gt;=$C$440)+(E377&lt;2/24)),1,0),0)</f>
        <v>0</v>
      </c>
      <c r="AF376" s="6">
        <f>IF((F376&lt;&gt;"")*(F380=""),IF((F376&lt;=$B$440)*((F377&gt;=$C$440)+(F377&lt;2/24)),1,0),0)</f>
        <v>0</v>
      </c>
      <c r="AG376" s="6">
        <f>IF((G376&lt;&gt;"")*(G380=""),IF((G376&lt;=$B$440)*((G377&gt;=$C$440)+(G377&lt;2/24)),1,0),0)</f>
        <v>0</v>
      </c>
      <c r="AH376" s="6">
        <f>IF((H376&lt;&gt;"")*(H380=""),IF((H376&lt;=$B$440)*((H377&gt;=$C$440)+(H377&lt;2/24)),1,0),0)</f>
        <v>0</v>
      </c>
      <c r="AI376" s="6">
        <f>IF((I376&lt;&gt;"")*(I380=""),IF((I376&lt;=$B$440)*((I377&gt;=$C$440)+(I377&lt;2/24)),1,0),0)</f>
        <v>0</v>
      </c>
      <c r="AJ376" s="6">
        <f>IF((J376&lt;&gt;"")*(J380=""),IF((J376&lt;=$B$440)*((J377&gt;=$C$440)+(J377&lt;2/24)),1,0),0)</f>
        <v>0</v>
      </c>
    </row>
    <row r="377" spans="1:36" x14ac:dyDescent="0.2">
      <c r="A377" s="39"/>
      <c r="B377" s="40"/>
      <c r="C377" s="15" t="s">
        <v>1</v>
      </c>
      <c r="D377" s="27"/>
      <c r="E377" s="27"/>
      <c r="F377" s="27">
        <v>0.95833333333333337</v>
      </c>
      <c r="G377" s="27"/>
      <c r="H377" s="27"/>
      <c r="I377" s="27"/>
      <c r="J377" s="27"/>
      <c r="K377" s="17"/>
      <c r="L377" s="6"/>
      <c r="M377" s="21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D377" s="6">
        <f>IF((D376&lt;&gt;"")*(D380=""),IF((D376&lt;=$B$441)*((D377&gt;=$C$441)+(D377&lt;2/24)),1,0),0)</f>
        <v>0</v>
      </c>
      <c r="AE377" s="6">
        <f>IF((E376&lt;&gt;"")*(E380=""),IF((E376&lt;=$B$441)*((E377&gt;=$C$441)+(E377&lt;2/24)),1,0),0)</f>
        <v>0</v>
      </c>
      <c r="AF377" s="6">
        <f>IF((F376&lt;&gt;"")*(F380=""),IF((F376&lt;=$B$441)*((F377&gt;=$C$441)+(F377&lt;2/24)),1,0),0)</f>
        <v>0</v>
      </c>
      <c r="AG377" s="6">
        <f>IF((G376&lt;&gt;"")*(G380=""),IF((G376&lt;=$B$441)*((G377&gt;=$C$441)+(G377&lt;2/24)),1,0),0)</f>
        <v>0</v>
      </c>
      <c r="AH377" s="6">
        <f>IF((H376&lt;&gt;"")*(H380=""),IF((H376&lt;=$B$441)*((H377&gt;=$C$441)+(H377&lt;2/24)),1,0),0)</f>
        <v>0</v>
      </c>
      <c r="AI377" s="6">
        <f>IF((I376&lt;&gt;"")*(I380=""),IF((I376&lt;=$B$441)*((I377&gt;=$C$441)+(I377&lt;2/24)),1,0),0)</f>
        <v>0</v>
      </c>
      <c r="AJ377" s="6">
        <f>IF((J376&lt;&gt;"")*(J380=""),IF((J376&lt;=$B$441)*((J377&gt;=$C$441)+(J377&lt;2/24)),1,0),0)</f>
        <v>0</v>
      </c>
    </row>
    <row r="378" spans="1:36" x14ac:dyDescent="0.2">
      <c r="A378" s="39"/>
      <c r="B378" s="40"/>
      <c r="C378" s="15" t="s">
        <v>2</v>
      </c>
      <c r="D378" s="4"/>
      <c r="E378" s="4"/>
      <c r="F378" s="4"/>
      <c r="G378" s="4"/>
      <c r="H378" s="4"/>
      <c r="I378" s="4"/>
      <c r="J378" s="4"/>
      <c r="K378" s="17"/>
      <c r="L378" s="6"/>
      <c r="M378" s="21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D378" s="6">
        <f>IF((D376&lt;&gt;"")*(D380=""),IF((D376&lt;=$B$442)*((D377&gt;=$C$442)+(D377&lt;2/24)),1,0),0)</f>
        <v>0</v>
      </c>
      <c r="AE378" s="6">
        <f>IF((E376&lt;&gt;"")*(E380=""),IF((E376&lt;=$B$442)*((E377&gt;=$C$442)+(E377&lt;2/24)),1,0),0)</f>
        <v>0</v>
      </c>
      <c r="AF378" s="6">
        <f>IF((F376&lt;&gt;"")*(F380=""),IF((F376&lt;=$B$442)*((F377&gt;=$C$442)+(F377&lt;2/24)),1,0),0)</f>
        <v>0</v>
      </c>
      <c r="AG378" s="6">
        <f>IF((G376&lt;&gt;"")*(G380=""),IF((G376&lt;=$B$442)*((G377&gt;=$C$442)+(G377&lt;2/24)),1,0),0)</f>
        <v>0</v>
      </c>
      <c r="AH378" s="6">
        <f>IF((H376&lt;&gt;"")*(H380=""),IF((H376&lt;=$B$442)*((H377&gt;=$C$442)+(H377&lt;2/24)),1,0),0)</f>
        <v>0</v>
      </c>
      <c r="AI378" s="6">
        <f>IF((I376&lt;&gt;"")*(I380=""),IF((I376&lt;=$B$442)*((I377&gt;=$C$442)+(I377&lt;2/24)),1,0),0)</f>
        <v>0</v>
      </c>
      <c r="AJ378" s="6">
        <f>IF((J376&lt;&gt;"")*(J380=""),IF((J376&lt;=$B$442)*((J377&gt;=$C$442)+(J377&lt;2/24)),1,0),0)</f>
        <v>0</v>
      </c>
    </row>
    <row r="379" spans="1:36" x14ac:dyDescent="0.2">
      <c r="A379" s="39"/>
      <c r="B379" s="40"/>
      <c r="C379" s="15" t="s">
        <v>3</v>
      </c>
      <c r="D379" s="43" t="str">
        <f t="shared" ref="D379:J379" si="288">IF(D376="","",IF(D377&gt;D376,(D377-D376-D378)*24,(1-D376-D378+D377)*24))</f>
        <v/>
      </c>
      <c r="E379" s="43" t="str">
        <f t="shared" si="288"/>
        <v/>
      </c>
      <c r="F379" s="43">
        <f t="shared" si="288"/>
        <v>4.5</v>
      </c>
      <c r="G379" s="43" t="str">
        <f t="shared" si="288"/>
        <v/>
      </c>
      <c r="H379" s="43" t="str">
        <f t="shared" si="288"/>
        <v/>
      </c>
      <c r="I379" s="43" t="str">
        <f t="shared" si="288"/>
        <v/>
      </c>
      <c r="J379" s="44" t="str">
        <f t="shared" si="288"/>
        <v/>
      </c>
      <c r="K379" s="18">
        <f>SUMIF(D380:J380,"",D379:J379)</f>
        <v>4.5</v>
      </c>
      <c r="L379" s="12">
        <f>SUM(D379:J379)</f>
        <v>4.5</v>
      </c>
      <c r="M379" s="24"/>
      <c r="N379" s="10" t="str">
        <f>IF(D380="",D379,0)</f>
        <v/>
      </c>
      <c r="O379" s="10" t="str">
        <f>IF(E380="",E379,0)</f>
        <v/>
      </c>
      <c r="P379" s="10">
        <f t="shared" ref="P379" si="289">IF(F380="",F379,0)</f>
        <v>4.5</v>
      </c>
      <c r="Q379" s="10" t="str">
        <f t="shared" ref="Q379" si="290">IF(G380="",G379,0)</f>
        <v/>
      </c>
      <c r="R379" s="10" t="str">
        <f t="shared" ref="R379" si="291">IF(H380="",H379,0)</f>
        <v/>
      </c>
      <c r="S379" s="10" t="str">
        <f t="shared" ref="S379" si="292">IF(I380="",I379,0)</f>
        <v/>
      </c>
      <c r="T379" s="10" t="str">
        <f t="shared" ref="T379" si="293">IF(J380="",J379,0)</f>
        <v/>
      </c>
      <c r="U379" s="10"/>
      <c r="V379" s="10" t="str">
        <f>D379</f>
        <v/>
      </c>
      <c r="W379" s="10" t="str">
        <f>E379</f>
        <v/>
      </c>
      <c r="X379" s="10">
        <f t="shared" ref="X379" si="294">F379</f>
        <v>4.5</v>
      </c>
      <c r="Y379" s="10" t="str">
        <f t="shared" ref="Y379" si="295">G379</f>
        <v/>
      </c>
      <c r="Z379" s="10" t="str">
        <f t="shared" ref="Z379" si="296">H379</f>
        <v/>
      </c>
      <c r="AA379" s="10" t="str">
        <f t="shared" ref="AA379" si="297">I379</f>
        <v/>
      </c>
      <c r="AB379" s="10" t="str">
        <f t="shared" ref="AB379" si="298">J379</f>
        <v/>
      </c>
      <c r="AD379" s="6">
        <f>IF((D376&lt;&gt;"")*(D380=""),IF((D376&lt;=$B$443)*((D377&gt;=$C$443)+(D377&lt;2/24)),1,0),0)</f>
        <v>0</v>
      </c>
      <c r="AE379" s="6">
        <f>IF((E376&lt;&gt;"")*(E380=""),IF((E376&lt;=$B$443)*((E377&gt;=$C$443)+(E377&lt;2/24)),1,0),0)</f>
        <v>0</v>
      </c>
      <c r="AF379" s="6">
        <f>IF((F376&lt;&gt;"")*(F380=""),IF((F376&lt;=$B$443)*((F377&gt;=$C$443)+(F377&lt;2/24)),1,0),0)</f>
        <v>1</v>
      </c>
      <c r="AG379" s="6">
        <f>IF((G376&lt;&gt;"")*(G380=""),IF((G376&lt;=$B$443)*((G377&gt;=$C$443)+(G377&lt;2/24)),1,0),0)</f>
        <v>0</v>
      </c>
      <c r="AH379" s="6">
        <f>IF((H376&lt;&gt;"")*(H380=""),IF((H376&lt;=$B$443)*((H377&gt;=$C$443)+(H377&lt;2/24)),1,0),0)</f>
        <v>0</v>
      </c>
      <c r="AI379" s="6">
        <f>IF((I376&lt;&gt;"")*(I380=""),IF((I376&lt;=$B$443)*((I377&gt;=$C$443)+(I377&lt;2/24)),1,0),0)</f>
        <v>0</v>
      </c>
      <c r="AJ379" s="6">
        <f>IF((J376&lt;&gt;"")*(J380=""),IF((J376&lt;=$B$443)*((J377&gt;=$C$443)+(J377&lt;2/24)),1,0),0)</f>
        <v>0</v>
      </c>
    </row>
    <row r="380" spans="1:36" x14ac:dyDescent="0.2">
      <c r="A380" s="39"/>
      <c r="B380" s="40"/>
      <c r="C380" s="32" t="s">
        <v>4</v>
      </c>
      <c r="D380" s="33"/>
      <c r="E380" s="33"/>
      <c r="F380" s="33"/>
      <c r="G380" s="33"/>
      <c r="H380" s="33"/>
      <c r="I380" s="33"/>
      <c r="J380" s="33"/>
      <c r="K380" s="17"/>
      <c r="L380" s="6"/>
      <c r="M380" s="25"/>
      <c r="N380" s="6"/>
      <c r="O380" s="6"/>
      <c r="P380" s="6"/>
      <c r="Q380" s="6"/>
      <c r="R380" s="6"/>
      <c r="S380" s="6"/>
      <c r="T380" s="6"/>
      <c r="U380" s="6"/>
      <c r="V380" s="20"/>
      <c r="W380" s="20"/>
      <c r="X380" s="20"/>
      <c r="Y380" s="20"/>
      <c r="Z380" s="20"/>
      <c r="AA380" s="20"/>
      <c r="AB380" s="20"/>
      <c r="AD380" s="6">
        <f>IF((D376&lt;&gt;"")*(D380=""),IF((D376&lt;=$B$444)*((D377&gt;=$C$444)+(D377&lt;2/24)),1,0),0)</f>
        <v>0</v>
      </c>
      <c r="AE380" s="6">
        <f>IF((E376&lt;&gt;"")*(E380=""),IF((E376&lt;=$B$444)*((E377&gt;=$C$444)+(E377&lt;2/24)),1,0),0)</f>
        <v>0</v>
      </c>
      <c r="AF380" s="6">
        <f>IF((F376&lt;&gt;"")*(F380=""),IF((F376&lt;=$B$444)*((F377&gt;=$C$444)+(F377&lt;2/24)),1,0),0)</f>
        <v>1</v>
      </c>
      <c r="AG380" s="6">
        <f>IF((G376&lt;&gt;"")*(G380=""),IF((G376&lt;=$B$444)*((G377&gt;=$C$444)+(G377&lt;2/24)),1,0),0)</f>
        <v>0</v>
      </c>
      <c r="AH380" s="6">
        <f>IF((H376&lt;&gt;"")*(H380=""),IF((H376&lt;=$B$444)*((H377&gt;=$C$444)+(H377&lt;2/24)),1,0),0)</f>
        <v>0</v>
      </c>
      <c r="AI380" s="6">
        <f>IF((I376&lt;&gt;"")*(I380=""),IF((I376&lt;=$B$444)*((I377&gt;=$C$444)+(I377&lt;2/24)),1,0),0)</f>
        <v>0</v>
      </c>
      <c r="AJ380" s="6">
        <f>IF((J376&lt;&gt;"")*(J380=""),IF((J376&lt;=$B$444)*((J377&gt;=$C$444)+(J377&lt;2/24)),1,0),0)</f>
        <v>0</v>
      </c>
    </row>
    <row r="381" spans="1:36" ht="13.5" thickBot="1" x14ac:dyDescent="0.25">
      <c r="A381" s="41"/>
      <c r="B381" s="42"/>
      <c r="C381" s="35" t="s">
        <v>28</v>
      </c>
      <c r="D381" s="66"/>
      <c r="E381" s="36"/>
      <c r="F381" s="36" t="s">
        <v>160</v>
      </c>
      <c r="G381" s="36"/>
      <c r="H381" s="54"/>
      <c r="I381" s="36"/>
      <c r="J381" s="36"/>
      <c r="K381" s="34"/>
      <c r="L381" s="6"/>
      <c r="M381" s="25"/>
      <c r="N381" s="6"/>
      <c r="O381" s="6"/>
      <c r="P381" s="6"/>
      <c r="Q381" s="6"/>
      <c r="R381" s="6"/>
      <c r="S381" s="6"/>
      <c r="T381" s="6"/>
      <c r="U381" s="6"/>
      <c r="V381" s="20"/>
      <c r="W381" s="20"/>
      <c r="X381" s="20"/>
      <c r="Y381" s="20"/>
      <c r="Z381" s="20"/>
      <c r="AA381" s="20"/>
      <c r="AB381" s="20"/>
      <c r="AD381" s="6"/>
      <c r="AE381" s="6"/>
      <c r="AF381" s="6"/>
      <c r="AG381" s="6"/>
      <c r="AH381" s="6"/>
      <c r="AI381" s="6"/>
      <c r="AJ381" s="6"/>
    </row>
    <row r="382" spans="1:36" x14ac:dyDescent="0.2">
      <c r="A382" s="37" t="s">
        <v>110</v>
      </c>
      <c r="B382" s="38" t="s">
        <v>111</v>
      </c>
      <c r="C382" s="14" t="s">
        <v>0</v>
      </c>
      <c r="D382" s="26"/>
      <c r="E382" s="26">
        <v>0.77083333333333337</v>
      </c>
      <c r="F382" s="26"/>
      <c r="G382" s="26">
        <v>0.77083333333333337</v>
      </c>
      <c r="H382" s="26"/>
      <c r="I382" s="26"/>
      <c r="J382" s="26"/>
      <c r="K382" s="16"/>
      <c r="L382" s="6"/>
      <c r="M382" s="21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D382" s="6">
        <f>IF((D382&lt;&gt;"")*(D386=""),IF((D382&lt;=$B$440)*((D383&gt;=$C$440)+(D383&lt;2/24)),1,0),0)</f>
        <v>0</v>
      </c>
      <c r="AE382" s="6">
        <f>IF((E382&lt;&gt;"")*(E386=""),IF((E382&lt;=$B$440)*((E383&gt;=$C$440)+(E383&lt;2/24)),1,0),0)</f>
        <v>0</v>
      </c>
      <c r="AF382" s="6">
        <f>IF((F382&lt;&gt;"")*(F386=""),IF((F382&lt;=$B$440)*((F383&gt;=$C$440)+(F383&lt;2/24)),1,0),0)</f>
        <v>0</v>
      </c>
      <c r="AG382" s="6">
        <f>IF((G382&lt;&gt;"")*(G386=""),IF((G382&lt;=$B$440)*((G383&gt;=$C$440)+(G383&lt;2/24)),1,0),0)</f>
        <v>0</v>
      </c>
      <c r="AH382" s="6">
        <f>IF((H382&lt;&gt;"")*(H386=""),IF((H382&lt;=$B$440)*((H383&gt;=$C$440)+(H383&lt;2/24)),1,0),0)</f>
        <v>0</v>
      </c>
      <c r="AI382" s="6">
        <f>IF((I382&lt;&gt;"")*(I386=""),IF((I382&lt;=$B$440)*((I383&gt;=$C$440)+(I383&lt;2/24)),1,0),0)</f>
        <v>0</v>
      </c>
      <c r="AJ382" s="6">
        <f>IF((J382&lt;&gt;"")*(J386=""),IF((J382&lt;=$B$440)*((J383&gt;=$C$440)+(J383&lt;2/24)),1,0),0)</f>
        <v>0</v>
      </c>
    </row>
    <row r="383" spans="1:36" x14ac:dyDescent="0.2">
      <c r="A383" s="39"/>
      <c r="B383" s="40"/>
      <c r="C383" s="15" t="s">
        <v>1</v>
      </c>
      <c r="D383" s="27"/>
      <c r="E383" s="27">
        <v>0.95833333333333337</v>
      </c>
      <c r="F383" s="27"/>
      <c r="G383" s="27">
        <v>0.95833333333333337</v>
      </c>
      <c r="H383" s="27"/>
      <c r="I383" s="27"/>
      <c r="J383" s="27"/>
      <c r="K383" s="17"/>
      <c r="L383" s="6"/>
      <c r="M383" s="21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D383" s="6">
        <f>IF((D382&lt;&gt;"")*(D386=""),IF((D382&lt;=$B$441)*((D383&gt;=$C$441)+(D383&lt;2/24)),1,0),0)</f>
        <v>0</v>
      </c>
      <c r="AE383" s="6">
        <f>IF((E382&lt;&gt;"")*(E386=""),IF((E382&lt;=$B$441)*((E383&gt;=$C$441)+(E383&lt;2/24)),1,0),0)</f>
        <v>0</v>
      </c>
      <c r="AF383" s="6">
        <f>IF((F382&lt;&gt;"")*(F386=""),IF((F382&lt;=$B$441)*((F383&gt;=$C$441)+(F383&lt;2/24)),1,0),0)</f>
        <v>0</v>
      </c>
      <c r="AG383" s="6">
        <f>IF((G382&lt;&gt;"")*(G386=""),IF((G382&lt;=$B$441)*((G383&gt;=$C$441)+(G383&lt;2/24)),1,0),0)</f>
        <v>0</v>
      </c>
      <c r="AH383" s="6">
        <f>IF((H382&lt;&gt;"")*(H386=""),IF((H382&lt;=$B$441)*((H383&gt;=$C$441)+(H383&lt;2/24)),1,0),0)</f>
        <v>0</v>
      </c>
      <c r="AI383" s="6">
        <f>IF((I382&lt;&gt;"")*(I386=""),IF((I382&lt;=$B$441)*((I383&gt;=$C$441)+(I383&lt;2/24)),1,0),0)</f>
        <v>0</v>
      </c>
      <c r="AJ383" s="6">
        <f>IF((J382&lt;&gt;"")*(J386=""),IF((J382&lt;=$B$441)*((J383&gt;=$C$441)+(J383&lt;2/24)),1,0),0)</f>
        <v>0</v>
      </c>
    </row>
    <row r="384" spans="1:36" x14ac:dyDescent="0.2">
      <c r="A384" s="39"/>
      <c r="B384" s="40"/>
      <c r="C384" s="15" t="s">
        <v>2</v>
      </c>
      <c r="D384" s="4"/>
      <c r="E384" s="4"/>
      <c r="F384" s="4"/>
      <c r="G384" s="4"/>
      <c r="H384" s="4"/>
      <c r="I384" s="4"/>
      <c r="J384" s="4"/>
      <c r="K384" s="17"/>
      <c r="L384" s="6"/>
      <c r="M384" s="21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D384" s="6">
        <f>IF((D382&lt;&gt;"")*(D386=""),IF((D382&lt;=$B$442)*((D383&gt;=$C$442)+(D383&lt;2/24)),1,0),0)</f>
        <v>0</v>
      </c>
      <c r="AE384" s="6">
        <f>IF((E382&lt;&gt;"")*(E386=""),IF((E382&lt;=$B$442)*((E383&gt;=$C$442)+(E383&lt;2/24)),1,0),0)</f>
        <v>0</v>
      </c>
      <c r="AF384" s="6">
        <f>IF((F382&lt;&gt;"")*(F386=""),IF((F382&lt;=$B$442)*((F383&gt;=$C$442)+(F383&lt;2/24)),1,0),0)</f>
        <v>0</v>
      </c>
      <c r="AG384" s="6">
        <f>IF((G382&lt;&gt;"")*(G386=""),IF((G382&lt;=$B$442)*((G383&gt;=$C$442)+(G383&lt;2/24)),1,0),0)</f>
        <v>0</v>
      </c>
      <c r="AH384" s="6">
        <f>IF((H382&lt;&gt;"")*(H386=""),IF((H382&lt;=$B$442)*((H383&gt;=$C$442)+(H383&lt;2/24)),1,0),0)</f>
        <v>0</v>
      </c>
      <c r="AI384" s="6">
        <f>IF((I382&lt;&gt;"")*(I386=""),IF((I382&lt;=$B$442)*((I383&gt;=$C$442)+(I383&lt;2/24)),1,0),0)</f>
        <v>0</v>
      </c>
      <c r="AJ384" s="6">
        <f>IF((J382&lt;&gt;"")*(J386=""),IF((J382&lt;=$B$442)*((J383&gt;=$C$442)+(J383&lt;2/24)),1,0),0)</f>
        <v>0</v>
      </c>
    </row>
    <row r="385" spans="1:36" x14ac:dyDescent="0.2">
      <c r="A385" s="39"/>
      <c r="B385" s="40"/>
      <c r="C385" s="15" t="s">
        <v>3</v>
      </c>
      <c r="D385" s="43" t="str">
        <f t="shared" ref="D385:J385" si="299">IF(D382="","",IF(D383&gt;D382,(D383-D382-D384)*24,(1-D382-D384+D383)*24))</f>
        <v/>
      </c>
      <c r="E385" s="43">
        <f t="shared" si="299"/>
        <v>4.5</v>
      </c>
      <c r="F385" s="43" t="str">
        <f t="shared" si="299"/>
        <v/>
      </c>
      <c r="G385" s="43">
        <f t="shared" si="299"/>
        <v>4.5</v>
      </c>
      <c r="H385" s="43" t="str">
        <f t="shared" si="299"/>
        <v/>
      </c>
      <c r="I385" s="43" t="str">
        <f t="shared" si="299"/>
        <v/>
      </c>
      <c r="J385" s="44" t="str">
        <f t="shared" si="299"/>
        <v/>
      </c>
      <c r="K385" s="18">
        <f>SUMIF(D386:J386,"",D385:J385)</f>
        <v>9</v>
      </c>
      <c r="L385" s="12">
        <f>SUM(D385:J385)</f>
        <v>9</v>
      </c>
      <c r="M385" s="24"/>
      <c r="N385" s="10" t="str">
        <f>IF(D386="",D385,0)</f>
        <v/>
      </c>
      <c r="O385" s="10">
        <f>IF(E386="",E385,0)</f>
        <v>4.5</v>
      </c>
      <c r="P385" s="10" t="str">
        <f t="shared" ref="P385" si="300">IF(F386="",F385,0)</f>
        <v/>
      </c>
      <c r="Q385" s="10">
        <f t="shared" ref="Q385" si="301">IF(G386="",G385,0)</f>
        <v>4.5</v>
      </c>
      <c r="R385" s="10" t="str">
        <f t="shared" ref="R385" si="302">IF(H386="",H385,0)</f>
        <v/>
      </c>
      <c r="S385" s="10" t="str">
        <f t="shared" ref="S385" si="303">IF(I386="",I385,0)</f>
        <v/>
      </c>
      <c r="T385" s="10" t="str">
        <f t="shared" ref="T385" si="304">IF(J386="",J385,0)</f>
        <v/>
      </c>
      <c r="U385" s="10"/>
      <c r="V385" s="10" t="str">
        <f>D385</f>
        <v/>
      </c>
      <c r="W385" s="10">
        <f>E385</f>
        <v>4.5</v>
      </c>
      <c r="X385" s="10" t="str">
        <f t="shared" ref="X385" si="305">F385</f>
        <v/>
      </c>
      <c r="Y385" s="10">
        <f t="shared" ref="Y385" si="306">G385</f>
        <v>4.5</v>
      </c>
      <c r="Z385" s="10" t="str">
        <f t="shared" ref="Z385" si="307">H385</f>
        <v/>
      </c>
      <c r="AA385" s="10" t="str">
        <f t="shared" ref="AA385" si="308">I385</f>
        <v/>
      </c>
      <c r="AB385" s="10" t="str">
        <f t="shared" ref="AB385" si="309">J385</f>
        <v/>
      </c>
      <c r="AD385" s="6">
        <f>IF((D382&lt;&gt;"")*(D386=""),IF((D382&lt;=$B$443)*((D383&gt;=$C$443)+(D383&lt;2/24)),1,0),0)</f>
        <v>0</v>
      </c>
      <c r="AE385" s="6">
        <f>IF((E382&lt;&gt;"")*(E386=""),IF((E382&lt;=$B$443)*((E383&gt;=$C$443)+(E383&lt;2/24)),1,0),0)</f>
        <v>1</v>
      </c>
      <c r="AF385" s="6">
        <f>IF((F382&lt;&gt;"")*(F386=""),IF((F382&lt;=$B$443)*((F383&gt;=$C$443)+(F383&lt;2/24)),1,0),0)</f>
        <v>0</v>
      </c>
      <c r="AG385" s="6">
        <f>IF((G382&lt;&gt;"")*(G386=""),IF((G382&lt;=$B$443)*((G383&gt;=$C$443)+(G383&lt;2/24)),1,0),0)</f>
        <v>1</v>
      </c>
      <c r="AH385" s="6">
        <f>IF((H382&lt;&gt;"")*(H386=""),IF((H382&lt;=$B$443)*((H383&gt;=$C$443)+(H383&lt;2/24)),1,0),0)</f>
        <v>0</v>
      </c>
      <c r="AI385" s="6">
        <f>IF((I382&lt;&gt;"")*(I386=""),IF((I382&lt;=$B$443)*((I383&gt;=$C$443)+(I383&lt;2/24)),1,0),0)</f>
        <v>0</v>
      </c>
      <c r="AJ385" s="6">
        <f>IF((J382&lt;&gt;"")*(J386=""),IF((J382&lt;=$B$443)*((J383&gt;=$C$443)+(J383&lt;2/24)),1,0),0)</f>
        <v>0</v>
      </c>
    </row>
    <row r="386" spans="1:36" x14ac:dyDescent="0.2">
      <c r="A386" s="39"/>
      <c r="B386" s="40"/>
      <c r="C386" s="32" t="s">
        <v>4</v>
      </c>
      <c r="D386" s="33"/>
      <c r="E386" s="33"/>
      <c r="F386" s="33"/>
      <c r="G386" s="33"/>
      <c r="H386" s="33"/>
      <c r="I386" s="33"/>
      <c r="J386" s="33"/>
      <c r="K386" s="17"/>
      <c r="L386" s="6"/>
      <c r="M386" s="25"/>
      <c r="N386" s="6"/>
      <c r="O386" s="6"/>
      <c r="P386" s="6"/>
      <c r="Q386" s="6"/>
      <c r="R386" s="6"/>
      <c r="S386" s="6"/>
      <c r="T386" s="6"/>
      <c r="U386" s="6"/>
      <c r="V386" s="20"/>
      <c r="W386" s="20"/>
      <c r="X386" s="20"/>
      <c r="Y386" s="20"/>
      <c r="Z386" s="20"/>
      <c r="AA386" s="20"/>
      <c r="AB386" s="20"/>
      <c r="AD386" s="6">
        <f>IF((D382&lt;&gt;"")*(D386=""),IF((D382&lt;=$B$444)*((D383&gt;=$C$444)+(D383&lt;2/24)),1,0),0)</f>
        <v>0</v>
      </c>
      <c r="AE386" s="6">
        <f>IF((E382&lt;&gt;"")*(E386=""),IF((E382&lt;=$B$444)*((E383&gt;=$C$444)+(E383&lt;2/24)),1,0),0)</f>
        <v>1</v>
      </c>
      <c r="AF386" s="6">
        <f>IF((F382&lt;&gt;"")*(F386=""),IF((F382&lt;=$B$444)*((F383&gt;=$C$444)+(F383&lt;2/24)),1,0),0)</f>
        <v>0</v>
      </c>
      <c r="AG386" s="6">
        <f>IF((G382&lt;&gt;"")*(G386=""),IF((G382&lt;=$B$444)*((G383&gt;=$C$444)+(G383&lt;2/24)),1,0),0)</f>
        <v>1</v>
      </c>
      <c r="AH386" s="6">
        <f>IF((H382&lt;&gt;"")*(H386=""),IF((H382&lt;=$B$444)*((H383&gt;=$C$444)+(H383&lt;2/24)),1,0),0)</f>
        <v>0</v>
      </c>
      <c r="AI386" s="6">
        <f>IF((I382&lt;&gt;"")*(I386=""),IF((I382&lt;=$B$444)*((I383&gt;=$C$444)+(I383&lt;2/24)),1,0),0)</f>
        <v>0</v>
      </c>
      <c r="AJ386" s="6">
        <f>IF((J382&lt;&gt;"")*(J386=""),IF((J382&lt;=$B$444)*((J383&gt;=$C$444)+(J383&lt;2/24)),1,0),0)</f>
        <v>0</v>
      </c>
    </row>
    <row r="387" spans="1:36" ht="13.5" thickBot="1" x14ac:dyDescent="0.25">
      <c r="A387" s="41"/>
      <c r="B387" s="42"/>
      <c r="C387" s="35" t="s">
        <v>28</v>
      </c>
      <c r="D387" s="66"/>
      <c r="E387" s="36"/>
      <c r="F387" s="36"/>
      <c r="G387" s="36"/>
      <c r="H387" s="54"/>
      <c r="I387" s="36"/>
      <c r="J387" s="36"/>
      <c r="K387" s="34"/>
      <c r="L387" s="6"/>
      <c r="M387" s="25"/>
      <c r="N387" s="6"/>
      <c r="O387" s="6"/>
      <c r="P387" s="6"/>
      <c r="Q387" s="6"/>
      <c r="R387" s="6"/>
      <c r="S387" s="6"/>
      <c r="T387" s="6"/>
      <c r="U387" s="6"/>
      <c r="V387" s="20"/>
      <c r="W387" s="20"/>
      <c r="X387" s="20"/>
      <c r="Y387" s="20"/>
      <c r="Z387" s="20"/>
      <c r="AA387" s="20"/>
      <c r="AB387" s="20"/>
      <c r="AD387" s="6"/>
      <c r="AE387" s="6"/>
      <c r="AF387" s="6"/>
      <c r="AG387" s="6"/>
      <c r="AH387" s="6"/>
      <c r="AI387" s="6"/>
      <c r="AJ387" s="6"/>
    </row>
    <row r="388" spans="1:36" x14ac:dyDescent="0.2">
      <c r="A388" s="37" t="s">
        <v>133</v>
      </c>
      <c r="B388" s="38" t="s">
        <v>134</v>
      </c>
      <c r="C388" s="14" t="s">
        <v>0</v>
      </c>
      <c r="D388" s="26"/>
      <c r="E388" s="26">
        <v>0.54166666666666663</v>
      </c>
      <c r="F388" s="26">
        <v>0.54166666666666663</v>
      </c>
      <c r="G388" s="26"/>
      <c r="H388" s="26"/>
      <c r="I388" s="26"/>
      <c r="J388" s="26"/>
      <c r="K388" s="16"/>
      <c r="L388" s="6"/>
      <c r="M388" s="21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D388" s="6">
        <f>IF((D388&lt;&gt;"")*(D392=""),IF((D388&lt;=$B$440)*((D389&gt;=$C$440)+(D389&lt;2/24)),1,0),0)</f>
        <v>0</v>
      </c>
      <c r="AE388" s="6">
        <f>IF((E388&lt;&gt;"")*(E392=""),IF((E388&lt;=$B$440)*((E389&gt;=$C$440)+(E389&lt;2/24)),1,0),0)</f>
        <v>0</v>
      </c>
      <c r="AF388" s="6">
        <f>IF((F388&lt;&gt;"")*(F392=""),IF((F388&lt;=$B$440)*((F389&gt;=$C$440)+(F389&lt;2/24)),1,0),0)</f>
        <v>0</v>
      </c>
      <c r="AG388" s="6">
        <f>IF((G388&lt;&gt;"")*(G392=""),IF((G388&lt;=$B$440)*((G389&gt;=$C$440)+(G389&lt;2/24)),1,0),0)</f>
        <v>0</v>
      </c>
      <c r="AH388" s="6">
        <f>IF((H388&lt;&gt;"")*(H392=""),IF((H388&lt;=$B$440)*((H389&gt;=$C$440)+(H389&lt;2/24)),1,0),0)</f>
        <v>0</v>
      </c>
      <c r="AI388" s="6">
        <f>IF((I388&lt;&gt;"")*(I392=""),IF((I388&lt;=$B$440)*((I389&gt;=$C$440)+(I389&lt;2/24)),1,0),0)</f>
        <v>0</v>
      </c>
      <c r="AJ388" s="6">
        <f>IF((J388&lt;&gt;"")*(J392=""),IF((J388&lt;=$B$440)*((J389&gt;=$C$440)+(J389&lt;2/24)),1,0),0)</f>
        <v>0</v>
      </c>
    </row>
    <row r="389" spans="1:36" x14ac:dyDescent="0.2">
      <c r="A389" s="39"/>
      <c r="B389" s="40"/>
      <c r="C389" s="15" t="s">
        <v>1</v>
      </c>
      <c r="D389" s="27"/>
      <c r="E389" s="27">
        <v>0.75</v>
      </c>
      <c r="F389" s="27">
        <v>0.75</v>
      </c>
      <c r="G389" s="27"/>
      <c r="H389" s="27"/>
      <c r="I389" s="27"/>
      <c r="J389" s="27"/>
      <c r="K389" s="17"/>
      <c r="L389" s="6"/>
      <c r="M389" s="21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D389" s="6">
        <f>IF((D388&lt;&gt;"")*(D392=""),IF((D388&lt;=$B$441)*((D389&gt;=$C$441)+(D389&lt;2/24)),1,0),0)</f>
        <v>0</v>
      </c>
      <c r="AE389" s="6">
        <f>IF((E388&lt;&gt;"")*(E392=""),IF((E388&lt;=$B$441)*((E389&gt;=$C$441)+(E389&lt;2/24)),1,0),0)</f>
        <v>1</v>
      </c>
      <c r="AF389" s="6">
        <f>IF((F388&lt;&gt;"")*(F392=""),IF((F388&lt;=$B$441)*((F389&gt;=$C$441)+(F389&lt;2/24)),1,0),0)</f>
        <v>1</v>
      </c>
      <c r="AG389" s="6">
        <f>IF((G388&lt;&gt;"")*(G392=""),IF((G388&lt;=$B$441)*((G389&gt;=$C$441)+(G389&lt;2/24)),1,0),0)</f>
        <v>0</v>
      </c>
      <c r="AH389" s="6">
        <f>IF((H388&lt;&gt;"")*(H392=""),IF((H388&lt;=$B$441)*((H389&gt;=$C$441)+(H389&lt;2/24)),1,0),0)</f>
        <v>0</v>
      </c>
      <c r="AI389" s="6">
        <f>IF((I388&lt;&gt;"")*(I392=""),IF((I388&lt;=$B$441)*((I389&gt;=$C$441)+(I389&lt;2/24)),1,0),0)</f>
        <v>0</v>
      </c>
      <c r="AJ389" s="6">
        <f>IF((J388&lt;&gt;"")*(J392=""),IF((J388&lt;=$B$441)*((J389&gt;=$C$441)+(J389&lt;2/24)),1,0),0)</f>
        <v>0</v>
      </c>
    </row>
    <row r="390" spans="1:36" x14ac:dyDescent="0.2">
      <c r="A390" s="39"/>
      <c r="B390" s="40"/>
      <c r="C390" s="15" t="s">
        <v>2</v>
      </c>
      <c r="D390" s="4"/>
      <c r="E390" s="4"/>
      <c r="F390" s="4"/>
      <c r="G390" s="4"/>
      <c r="H390" s="4"/>
      <c r="I390" s="4"/>
      <c r="J390" s="4"/>
      <c r="K390" s="17"/>
      <c r="L390" s="6"/>
      <c r="M390" s="21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D390" s="6">
        <f>IF((D388&lt;&gt;"")*(D392=""),IF((D388&lt;=$B$442)*((D389&gt;=$C$442)+(D389&lt;2/24)),1,0),0)</f>
        <v>0</v>
      </c>
      <c r="AE390" s="6">
        <f>IF((E388&lt;&gt;"")*(E392=""),IF((E388&lt;=$B$442)*((E389&gt;=$C$442)+(E389&lt;2/24)),1,0),0)</f>
        <v>1</v>
      </c>
      <c r="AF390" s="6">
        <f>IF((F388&lt;&gt;"")*(F392=""),IF((F388&lt;=$B$442)*((F389&gt;=$C$442)+(F389&lt;2/24)),1,0),0)</f>
        <v>1</v>
      </c>
      <c r="AG390" s="6">
        <f>IF((G388&lt;&gt;"")*(G392=""),IF((G388&lt;=$B$442)*((G389&gt;=$C$442)+(G389&lt;2/24)),1,0),0)</f>
        <v>0</v>
      </c>
      <c r="AH390" s="6">
        <f>IF((H388&lt;&gt;"")*(H392=""),IF((H388&lt;=$B$442)*((H389&gt;=$C$442)+(H389&lt;2/24)),1,0),0)</f>
        <v>0</v>
      </c>
      <c r="AI390" s="6">
        <f>IF((I388&lt;&gt;"")*(I392=""),IF((I388&lt;=$B$442)*((I389&gt;=$C$442)+(I389&lt;2/24)),1,0),0)</f>
        <v>0</v>
      </c>
      <c r="AJ390" s="6">
        <f>IF((J388&lt;&gt;"")*(J392=""),IF((J388&lt;=$B$442)*((J389&gt;=$C$442)+(J389&lt;2/24)),1,0),0)</f>
        <v>0</v>
      </c>
    </row>
    <row r="391" spans="1:36" x14ac:dyDescent="0.2">
      <c r="A391" s="39"/>
      <c r="B391" s="40"/>
      <c r="C391" s="15" t="s">
        <v>3</v>
      </c>
      <c r="D391" s="43" t="str">
        <f t="shared" ref="D391:J391" si="310">IF(D388="","",IF(D389&gt;D388,(D389-D388-D390)*24,(1-D388-D390+D389)*24))</f>
        <v/>
      </c>
      <c r="E391" s="43">
        <f t="shared" si="310"/>
        <v>5.0000000000000009</v>
      </c>
      <c r="F391" s="43">
        <f t="shared" si="310"/>
        <v>5.0000000000000009</v>
      </c>
      <c r="G391" s="43" t="str">
        <f t="shared" si="310"/>
        <v/>
      </c>
      <c r="H391" s="43" t="str">
        <f t="shared" si="310"/>
        <v/>
      </c>
      <c r="I391" s="43" t="str">
        <f t="shared" si="310"/>
        <v/>
      </c>
      <c r="J391" s="44" t="str">
        <f t="shared" si="310"/>
        <v/>
      </c>
      <c r="K391" s="18">
        <f>SUMIF(D392:J392,"",D391:J391)</f>
        <v>10.000000000000002</v>
      </c>
      <c r="L391" s="12">
        <f>SUM(D391:J391)</f>
        <v>10.000000000000002</v>
      </c>
      <c r="M391" s="24"/>
      <c r="N391" s="10" t="str">
        <f>IF(D392="",D391,0)</f>
        <v/>
      </c>
      <c r="O391" s="10">
        <f>IF(E392="",E391,0)</f>
        <v>5.0000000000000009</v>
      </c>
      <c r="P391" s="10">
        <f t="shared" ref="P391" si="311">IF(F392="",F391,0)</f>
        <v>5.0000000000000009</v>
      </c>
      <c r="Q391" s="10" t="str">
        <f t="shared" ref="Q391" si="312">IF(G392="",G391,0)</f>
        <v/>
      </c>
      <c r="R391" s="10" t="str">
        <f t="shared" ref="R391" si="313">IF(H392="",H391,0)</f>
        <v/>
      </c>
      <c r="S391" s="10" t="str">
        <f t="shared" ref="S391" si="314">IF(I392="",I391,0)</f>
        <v/>
      </c>
      <c r="T391" s="10" t="str">
        <f t="shared" ref="T391" si="315">IF(J392="",J391,0)</f>
        <v/>
      </c>
      <c r="U391" s="10"/>
      <c r="V391" s="10" t="str">
        <f>D391</f>
        <v/>
      </c>
      <c r="W391" s="10">
        <f>E391</f>
        <v>5.0000000000000009</v>
      </c>
      <c r="X391" s="10">
        <f t="shared" ref="X391" si="316">F391</f>
        <v>5.0000000000000009</v>
      </c>
      <c r="Y391" s="10" t="str">
        <f t="shared" ref="Y391" si="317">G391</f>
        <v/>
      </c>
      <c r="Z391" s="10" t="str">
        <f t="shared" ref="Z391" si="318">H391</f>
        <v/>
      </c>
      <c r="AA391" s="10" t="str">
        <f t="shared" ref="AA391" si="319">I391</f>
        <v/>
      </c>
      <c r="AB391" s="10" t="str">
        <f t="shared" ref="AB391" si="320">J391</f>
        <v/>
      </c>
      <c r="AD391" s="6">
        <f>IF((D388&lt;&gt;"")*(D392=""),IF((D388&lt;=$B$443)*((D389&gt;=$C$443)+(D389&lt;2/24)),1,0),0)</f>
        <v>0</v>
      </c>
      <c r="AE391" s="6">
        <f>IF((E388&lt;&gt;"")*(E392=""),IF((E388&lt;=$B$443)*((E389&gt;=$C$443)+(E389&lt;2/24)),1,0),0)</f>
        <v>0</v>
      </c>
      <c r="AF391" s="6">
        <f>IF((F388&lt;&gt;"")*(F392=""),IF((F388&lt;=$B$443)*((F389&gt;=$C$443)+(F389&lt;2/24)),1,0),0)</f>
        <v>0</v>
      </c>
      <c r="AG391" s="6">
        <f>IF((G388&lt;&gt;"")*(G392=""),IF((G388&lt;=$B$443)*((G389&gt;=$C$443)+(G389&lt;2/24)),1,0),0)</f>
        <v>0</v>
      </c>
      <c r="AH391" s="6">
        <f>IF((H388&lt;&gt;"")*(H392=""),IF((H388&lt;=$B$443)*((H389&gt;=$C$443)+(H389&lt;2/24)),1,0),0)</f>
        <v>0</v>
      </c>
      <c r="AI391" s="6">
        <f>IF((I388&lt;&gt;"")*(I392=""),IF((I388&lt;=$B$443)*((I389&gt;=$C$443)+(I389&lt;2/24)),1,0),0)</f>
        <v>0</v>
      </c>
      <c r="AJ391" s="6">
        <f>IF((J388&lt;&gt;"")*(J392=""),IF((J388&lt;=$B$443)*((J389&gt;=$C$443)+(J389&lt;2/24)),1,0),0)</f>
        <v>0</v>
      </c>
    </row>
    <row r="392" spans="1:36" x14ac:dyDescent="0.2">
      <c r="A392" s="39"/>
      <c r="B392" s="40"/>
      <c r="C392" s="32" t="s">
        <v>4</v>
      </c>
      <c r="D392" s="33"/>
      <c r="E392" s="33"/>
      <c r="F392" s="33"/>
      <c r="G392" s="33"/>
      <c r="H392" s="33"/>
      <c r="I392" s="33"/>
      <c r="J392" s="33"/>
      <c r="K392" s="17"/>
      <c r="L392" s="6"/>
      <c r="M392" s="25"/>
      <c r="N392" s="6"/>
      <c r="O392" s="6"/>
      <c r="P392" s="6"/>
      <c r="Q392" s="6"/>
      <c r="R392" s="6"/>
      <c r="S392" s="6"/>
      <c r="T392" s="6"/>
      <c r="U392" s="6"/>
      <c r="V392" s="20"/>
      <c r="W392" s="20"/>
      <c r="X392" s="20"/>
      <c r="Y392" s="20"/>
      <c r="Z392" s="20"/>
      <c r="AA392" s="20"/>
      <c r="AB392" s="20"/>
      <c r="AD392" s="6">
        <f>IF((D388&lt;&gt;"")*(D392=""),IF((D388&lt;=$B$444)*((D389&gt;=$C$444)+(D389&lt;2/24)),1,0),0)</f>
        <v>0</v>
      </c>
      <c r="AE392" s="6">
        <f>IF((E388&lt;&gt;"")*(E392=""),IF((E388&lt;=$B$444)*((E389&gt;=$C$444)+(E389&lt;2/24)),1,0),0)</f>
        <v>0</v>
      </c>
      <c r="AF392" s="6">
        <f>IF((F388&lt;&gt;"")*(F392=""),IF((F388&lt;=$B$444)*((F389&gt;=$C$444)+(F389&lt;2/24)),1,0),0)</f>
        <v>0</v>
      </c>
      <c r="AG392" s="6">
        <f>IF((G388&lt;&gt;"")*(G392=""),IF((G388&lt;=$B$444)*((G389&gt;=$C$444)+(G389&lt;2/24)),1,0),0)</f>
        <v>0</v>
      </c>
      <c r="AH392" s="6">
        <f>IF((H388&lt;&gt;"")*(H392=""),IF((H388&lt;=$B$444)*((H389&gt;=$C$444)+(H389&lt;2/24)),1,0),0)</f>
        <v>0</v>
      </c>
      <c r="AI392" s="6">
        <f>IF((I388&lt;&gt;"")*(I392=""),IF((I388&lt;=$B$444)*((I389&gt;=$C$444)+(I389&lt;2/24)),1,0),0)</f>
        <v>0</v>
      </c>
      <c r="AJ392" s="6">
        <f>IF((J388&lt;&gt;"")*(J392=""),IF((J388&lt;=$B$444)*((J389&gt;=$C$444)+(J389&lt;2/24)),1,0),0)</f>
        <v>0</v>
      </c>
    </row>
    <row r="393" spans="1:36" ht="13.5" thickBot="1" x14ac:dyDescent="0.25">
      <c r="A393" s="41"/>
      <c r="B393" s="42"/>
      <c r="C393" s="35" t="s">
        <v>28</v>
      </c>
      <c r="D393" s="66"/>
      <c r="E393" s="36"/>
      <c r="F393" s="36"/>
      <c r="G393" s="36"/>
      <c r="H393" s="54"/>
      <c r="I393" s="36"/>
      <c r="J393" s="36"/>
      <c r="K393" s="34"/>
      <c r="L393" s="6"/>
      <c r="M393" s="25"/>
      <c r="N393" s="6"/>
      <c r="O393" s="6"/>
      <c r="P393" s="6"/>
      <c r="Q393" s="6"/>
      <c r="R393" s="6"/>
      <c r="S393" s="6"/>
      <c r="T393" s="6"/>
      <c r="U393" s="6"/>
      <c r="V393" s="20"/>
      <c r="W393" s="20"/>
      <c r="X393" s="20"/>
      <c r="Y393" s="20"/>
      <c r="Z393" s="20"/>
      <c r="AA393" s="20"/>
      <c r="AB393" s="20"/>
      <c r="AD393" s="6"/>
      <c r="AE393" s="6"/>
      <c r="AF393" s="6"/>
      <c r="AG393" s="6"/>
      <c r="AH393" s="6"/>
      <c r="AI393" s="6"/>
      <c r="AJ393" s="6"/>
    </row>
    <row r="394" spans="1:36" x14ac:dyDescent="0.2">
      <c r="A394" s="37" t="s">
        <v>147</v>
      </c>
      <c r="B394" s="38" t="s">
        <v>146</v>
      </c>
      <c r="C394" s="14" t="s">
        <v>0</v>
      </c>
      <c r="D394" s="26"/>
      <c r="E394" s="26"/>
      <c r="F394" s="26"/>
      <c r="G394" s="26"/>
      <c r="H394" s="26"/>
      <c r="I394" s="26"/>
      <c r="J394" s="26"/>
      <c r="K394" s="16"/>
      <c r="L394" s="6"/>
      <c r="M394" s="21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D394" s="6">
        <f>IF((D394&lt;&gt;"")*(D398=""),IF((D394&lt;=#REF!)*((D395&gt;=#REF!)+(D395&lt;2/24)),1,0),0)</f>
        <v>0</v>
      </c>
      <c r="AE394" s="6">
        <f>IF((E394&lt;&gt;"")*(E398=""),IF((E394&lt;=#REF!)*((E395&gt;=#REF!)+(E395&lt;2/24)),1,0),0)</f>
        <v>0</v>
      </c>
      <c r="AF394" s="6">
        <f>IF((F394&lt;&gt;"")*(F398=""),IF((F394&lt;=#REF!)*((F395&gt;=#REF!)+(F395&lt;2/24)),1,0),0)</f>
        <v>0</v>
      </c>
      <c r="AG394" s="6">
        <f>IF((G394&lt;&gt;"")*(G398=""),IF((G394&lt;=#REF!)*((G395&gt;=#REF!)+(G395&lt;2/24)),1,0),0)</f>
        <v>0</v>
      </c>
      <c r="AH394" s="6">
        <f>IF((H394&lt;&gt;"")*(H398=""),IF((H394&lt;=#REF!)*((H395&gt;=#REF!)+(H395&lt;2/24)),1,0),0)</f>
        <v>0</v>
      </c>
      <c r="AI394" s="6">
        <f>IF((I394&lt;&gt;"")*(I398=""),IF((I394&lt;=#REF!)*((I395&gt;=#REF!)+(I395&lt;2/24)),1,0),0)</f>
        <v>0</v>
      </c>
      <c r="AJ394" s="6">
        <f>IF((J394&lt;&gt;"")*(J398=""),IF((J394&lt;=#REF!)*((J395&gt;=#REF!)+(J395&lt;2/24)),1,0),0)</f>
        <v>0</v>
      </c>
    </row>
    <row r="395" spans="1:36" x14ac:dyDescent="0.2">
      <c r="A395" s="39"/>
      <c r="B395" s="40"/>
      <c r="C395" s="15" t="s">
        <v>1</v>
      </c>
      <c r="D395" s="27"/>
      <c r="E395" s="27"/>
      <c r="F395" s="27"/>
      <c r="G395" s="27"/>
      <c r="H395" s="27"/>
      <c r="I395" s="27"/>
      <c r="J395" s="27"/>
      <c r="K395" s="17"/>
      <c r="L395" s="6"/>
      <c r="M395" s="21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D395" s="6">
        <f>IF((D394&lt;&gt;"")*(D398=""),IF((D394&lt;=$B$430)*((D395&gt;=$C$430)+(D395&lt;2/24)),1,0),0)</f>
        <v>0</v>
      </c>
      <c r="AE395" s="6">
        <f>IF((E394&lt;&gt;"")*(E398=""),IF((E394&lt;=$B$430)*((E395&gt;=$C$430)+(E395&lt;2/24)),1,0),0)</f>
        <v>0</v>
      </c>
      <c r="AF395" s="6">
        <f>IF((F394&lt;&gt;"")*(F398=""),IF((F394&lt;=$B$430)*((F395&gt;=$C$430)+(F395&lt;2/24)),1,0),0)</f>
        <v>0</v>
      </c>
      <c r="AG395" s="6">
        <f>IF((G394&lt;&gt;"")*(G398=""),IF((G394&lt;=$B$430)*((G395&gt;=$C$430)+(G395&lt;2/24)),1,0),0)</f>
        <v>0</v>
      </c>
      <c r="AH395" s="6">
        <f>IF((H394&lt;&gt;"")*(H398=""),IF((H394&lt;=$B$430)*((H395&gt;=$C$430)+(H395&lt;2/24)),1,0),0)</f>
        <v>0</v>
      </c>
      <c r="AI395" s="6">
        <f>IF((I394&lt;&gt;"")*(I398=""),IF((I394&lt;=$B$430)*((I395&gt;=$C$430)+(I395&lt;2/24)),1,0),0)</f>
        <v>0</v>
      </c>
      <c r="AJ395" s="6">
        <f>IF((J394&lt;&gt;"")*(J398=""),IF((J394&lt;=$B$430)*((J395&gt;=$C$430)+(J395&lt;2/24)),1,0),0)</f>
        <v>0</v>
      </c>
    </row>
    <row r="396" spans="1:36" x14ac:dyDescent="0.2">
      <c r="A396" s="39"/>
      <c r="B396" s="40"/>
      <c r="C396" s="15" t="s">
        <v>2</v>
      </c>
      <c r="D396" s="4"/>
      <c r="E396" s="4"/>
      <c r="F396" s="4"/>
      <c r="G396" s="4"/>
      <c r="H396" s="4"/>
      <c r="I396" s="4"/>
      <c r="J396" s="4"/>
      <c r="K396" s="17"/>
      <c r="L396" s="6"/>
      <c r="M396" s="21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D396" s="6">
        <f>IF((D394&lt;&gt;"")*(D398=""),IF((D394&lt;=$B$431)*((D395&gt;=$C$431)+(D395&lt;2/24)),1,0),0)</f>
        <v>0</v>
      </c>
      <c r="AE396" s="6">
        <f>IF((E394&lt;&gt;"")*(E398=""),IF((E394&lt;=$B$431)*((E395&gt;=$C$431)+(E395&lt;2/24)),1,0),0)</f>
        <v>0</v>
      </c>
      <c r="AF396" s="6">
        <f>IF((F394&lt;&gt;"")*(F398=""),IF((F394&lt;=$B$431)*((F395&gt;=$C$431)+(F395&lt;2/24)),1,0),0)</f>
        <v>0</v>
      </c>
      <c r="AG396" s="6">
        <f>IF((G394&lt;&gt;"")*(G398=""),IF((G394&lt;=$B$431)*((G395&gt;=$C$431)+(G395&lt;2/24)),1,0),0)</f>
        <v>0</v>
      </c>
      <c r="AH396" s="6">
        <f>IF((H394&lt;&gt;"")*(H398=""),IF((H394&lt;=$B$431)*((H395&gt;=$C$431)+(H395&lt;2/24)),1,0),0)</f>
        <v>0</v>
      </c>
      <c r="AI396" s="6">
        <f>IF((I394&lt;&gt;"")*(I398=""),IF((I394&lt;=$B$431)*((I395&gt;=$C$431)+(I395&lt;2/24)),1,0),0)</f>
        <v>0</v>
      </c>
      <c r="AJ396" s="6">
        <f>IF((J394&lt;&gt;"")*(J398=""),IF((J394&lt;=$B$431)*((J395&gt;=$C$431)+(J395&lt;2/24)),1,0),0)</f>
        <v>0</v>
      </c>
    </row>
    <row r="397" spans="1:36" x14ac:dyDescent="0.2">
      <c r="A397" s="39"/>
      <c r="B397" s="40"/>
      <c r="C397" s="15" t="s">
        <v>3</v>
      </c>
      <c r="D397" s="43" t="str">
        <f t="shared" ref="D397:J397" si="321">IF(D394="","",IF(D395&gt;D394,(D395-D394-D396)*24,(1-D394-D396+D395)*24))</f>
        <v/>
      </c>
      <c r="E397" s="43" t="str">
        <f t="shared" si="321"/>
        <v/>
      </c>
      <c r="F397" s="43" t="str">
        <f t="shared" si="321"/>
        <v/>
      </c>
      <c r="G397" s="43" t="str">
        <f t="shared" si="321"/>
        <v/>
      </c>
      <c r="H397" s="43" t="str">
        <f t="shared" si="321"/>
        <v/>
      </c>
      <c r="I397" s="55" t="str">
        <f t="shared" si="321"/>
        <v/>
      </c>
      <c r="J397" s="44" t="str">
        <f t="shared" si="321"/>
        <v/>
      </c>
      <c r="K397" s="18">
        <f>SUMIF(D398:J398,"",D397:J397)</f>
        <v>0</v>
      </c>
      <c r="L397" s="12">
        <f>SUM(D397:J397)</f>
        <v>0</v>
      </c>
      <c r="M397" s="24"/>
      <c r="N397" s="10" t="str">
        <f>IF(D398="",D397,0)</f>
        <v/>
      </c>
      <c r="O397" s="10" t="str">
        <f>IF(E398="",E397,0)</f>
        <v/>
      </c>
      <c r="P397" s="10" t="str">
        <f t="shared" ref="P397" si="322">IF(F398="",F397,0)</f>
        <v/>
      </c>
      <c r="Q397" s="10" t="str">
        <f t="shared" ref="Q397" si="323">IF(G398="",G397,0)</f>
        <v/>
      </c>
      <c r="R397" s="10" t="str">
        <f t="shared" ref="R397" si="324">IF(H398="",H397,0)</f>
        <v/>
      </c>
      <c r="S397" s="10" t="str">
        <f t="shared" ref="S397" si="325">IF(I398="",I397,0)</f>
        <v/>
      </c>
      <c r="T397" s="10" t="str">
        <f t="shared" ref="T397" si="326">IF(J398="",J397,0)</f>
        <v/>
      </c>
      <c r="U397" s="10"/>
      <c r="V397" s="10" t="str">
        <f>D397</f>
        <v/>
      </c>
      <c r="W397" s="10" t="str">
        <f>E397</f>
        <v/>
      </c>
      <c r="X397" s="10" t="str">
        <f t="shared" ref="X397" si="327">F397</f>
        <v/>
      </c>
      <c r="Y397" s="10" t="str">
        <f t="shared" ref="Y397" si="328">G397</f>
        <v/>
      </c>
      <c r="Z397" s="10" t="str">
        <f t="shared" ref="Z397" si="329">H397</f>
        <v/>
      </c>
      <c r="AA397" s="10" t="str">
        <f t="shared" ref="AA397" si="330">I397</f>
        <v/>
      </c>
      <c r="AB397" s="10" t="str">
        <f t="shared" ref="AB397" si="331">J397</f>
        <v/>
      </c>
      <c r="AD397" s="6">
        <f>IF((D394&lt;&gt;"")*(D398=""),IF((D394&lt;=$B$432)*((D395&gt;=$C$432)+(D395&lt;2/24)),1,0),0)</f>
        <v>0</v>
      </c>
      <c r="AE397" s="6">
        <f>IF((E394&lt;&gt;"")*(E398=""),IF((E394&lt;=$B$432)*((E395&gt;=$C$432)+(E395&lt;2/24)),1,0),0)</f>
        <v>0</v>
      </c>
      <c r="AF397" s="6">
        <f>IF((F394&lt;&gt;"")*(F398=""),IF((F394&lt;=$B$432)*((F395&gt;=$C$432)+(F395&lt;2/24)),1,0),0)</f>
        <v>0</v>
      </c>
      <c r="AG397" s="6">
        <f>IF((G394&lt;&gt;"")*(G398=""),IF((G394&lt;=$B$432)*((G395&gt;=$C$432)+(G395&lt;2/24)),1,0),0)</f>
        <v>0</v>
      </c>
      <c r="AH397" s="6">
        <f>IF((H394&lt;&gt;"")*(H398=""),IF((H394&lt;=$B$432)*((H395&gt;=$C$432)+(H395&lt;2/24)),1,0),0)</f>
        <v>0</v>
      </c>
      <c r="AI397" s="6">
        <f>IF((I394&lt;&gt;"")*(I398=""),IF((I394&lt;=$B$432)*((I395&gt;=$C$432)+(I395&lt;2/24)),1,0),0)</f>
        <v>0</v>
      </c>
      <c r="AJ397" s="6">
        <f>IF((J394&lt;&gt;"")*(J398=""),IF((J394&lt;=$B$432)*((J395&gt;=$C$432)+(J395&lt;2/24)),1,0),0)</f>
        <v>0</v>
      </c>
    </row>
    <row r="398" spans="1:36" x14ac:dyDescent="0.2">
      <c r="A398" s="39"/>
      <c r="B398" s="40"/>
      <c r="C398" s="32" t="s">
        <v>4</v>
      </c>
      <c r="D398" s="33"/>
      <c r="E398" s="33"/>
      <c r="F398" s="33"/>
      <c r="G398" s="33"/>
      <c r="H398" s="33"/>
      <c r="I398" s="33"/>
      <c r="J398" s="33"/>
      <c r="K398" s="17"/>
      <c r="L398" s="6"/>
      <c r="M398" s="25"/>
      <c r="N398" s="6"/>
      <c r="O398" s="6"/>
      <c r="P398" s="6"/>
      <c r="Q398" s="6"/>
      <c r="R398" s="6"/>
      <c r="S398" s="6"/>
      <c r="T398" s="6"/>
      <c r="U398" s="6"/>
      <c r="V398" s="20"/>
      <c r="W398" s="20"/>
      <c r="X398" s="20"/>
      <c r="Y398" s="20"/>
      <c r="Z398" s="20"/>
      <c r="AA398" s="20"/>
      <c r="AB398" s="20"/>
      <c r="AD398" s="6">
        <f>IF((D394&lt;&gt;"")*(D398=""),IF((D394&lt;=$B$433)*((D395&gt;=$C$433)+(D395&lt;2/24)),1,0),0)</f>
        <v>0</v>
      </c>
      <c r="AE398" s="6">
        <f>IF((E394&lt;&gt;"")*(E398=""),IF((E394&lt;=$B$433)*((E395&gt;=$C$433)+(E395&lt;2/24)),1,0),0)</f>
        <v>0</v>
      </c>
      <c r="AF398" s="6">
        <f>IF((F394&lt;&gt;"")*(F398=""),IF((F394&lt;=$B$433)*((F395&gt;=$C$433)+(F395&lt;2/24)),1,0),0)</f>
        <v>0</v>
      </c>
      <c r="AG398" s="6">
        <f>IF((G394&lt;&gt;"")*(G398=""),IF((G394&lt;=$B$433)*((G395&gt;=$C$433)+(G395&lt;2/24)),1,0),0)</f>
        <v>0</v>
      </c>
      <c r="AH398" s="6">
        <f>IF((H394&lt;&gt;"")*(H398=""),IF((H394&lt;=$B$433)*((H395&gt;=$C$433)+(H395&lt;2/24)),1,0),0)</f>
        <v>0</v>
      </c>
      <c r="AI398" s="6">
        <f>IF((I394&lt;&gt;"")*(I398=""),IF((I394&lt;=$B$433)*((I395&gt;=$C$433)+(I395&lt;2/24)),1,0),0)</f>
        <v>0</v>
      </c>
      <c r="AJ398" s="6">
        <f>IF((J394&lt;&gt;"")*(J398=""),IF((J394&lt;=$B$433)*((J395&gt;=$C$433)+(J395&lt;2/24)),1,0),0)</f>
        <v>0</v>
      </c>
    </row>
    <row r="399" spans="1:36" ht="13.5" thickBot="1" x14ac:dyDescent="0.25">
      <c r="A399" s="41"/>
      <c r="B399" s="42"/>
      <c r="C399" s="35" t="s">
        <v>28</v>
      </c>
      <c r="D399" s="54"/>
      <c r="E399" s="36"/>
      <c r="F399" s="36"/>
      <c r="G399" s="36"/>
      <c r="H399" s="36"/>
      <c r="I399" s="36"/>
      <c r="J399" s="36"/>
      <c r="K399" s="34"/>
      <c r="L399" s="6"/>
      <c r="M399" s="25"/>
      <c r="N399" s="6"/>
      <c r="O399" s="6"/>
      <c r="P399" s="6"/>
      <c r="Q399" s="6"/>
      <c r="R399" s="6"/>
      <c r="S399" s="6"/>
      <c r="T399" s="6"/>
      <c r="U399" s="6"/>
      <c r="V399" s="20"/>
      <c r="W399" s="20"/>
      <c r="X399" s="20"/>
      <c r="Y399" s="20"/>
      <c r="Z399" s="20"/>
      <c r="AA399" s="20"/>
      <c r="AB399" s="20"/>
      <c r="AD399" s="6"/>
      <c r="AE399" s="6"/>
      <c r="AF399" s="6"/>
      <c r="AG399" s="6"/>
      <c r="AH399" s="6"/>
      <c r="AI399" s="6"/>
      <c r="AJ399" s="6"/>
    </row>
    <row r="400" spans="1:36" x14ac:dyDescent="0.2">
      <c r="A400" s="37" t="s">
        <v>154</v>
      </c>
      <c r="B400" s="38" t="s">
        <v>155</v>
      </c>
      <c r="C400" s="14" t="s">
        <v>0</v>
      </c>
      <c r="D400" s="26">
        <v>0.54166666666666663</v>
      </c>
      <c r="E400" s="26"/>
      <c r="F400" s="26">
        <v>0.54166666666666663</v>
      </c>
      <c r="G400" s="26"/>
      <c r="H400" s="26"/>
      <c r="I400" s="26"/>
      <c r="J400" s="26"/>
      <c r="K400" s="16"/>
      <c r="L400" s="6"/>
      <c r="M400" s="21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D400" s="6" t="e">
        <f>IF((D400&lt;&gt;"")*(D404=""),IF((D400&lt;=#REF!)*((D401&gt;=#REF!)+(D401&lt;2/24)),1,0),0)</f>
        <v>#REF!</v>
      </c>
      <c r="AE400" s="6">
        <f>IF((E400&lt;&gt;"")*(E404=""),IF((E400&lt;=#REF!)*((E401&gt;=#REF!)+(E401&lt;2/24)),1,0),0)</f>
        <v>0</v>
      </c>
      <c r="AF400" s="6" t="e">
        <f>IF((F400&lt;&gt;"")*(F404=""),IF((F400&lt;=#REF!)*((F401&gt;=#REF!)+(F401&lt;2/24)),1,0),0)</f>
        <v>#REF!</v>
      </c>
      <c r="AG400" s="6">
        <f>IF((G400&lt;&gt;"")*(G404=""),IF((G400&lt;=#REF!)*((G401&gt;=#REF!)+(G401&lt;2/24)),1,0),0)</f>
        <v>0</v>
      </c>
      <c r="AH400" s="6">
        <f>IF((H400&lt;&gt;"")*(H404=""),IF((H400&lt;=#REF!)*((H401&gt;=#REF!)+(H401&lt;2/24)),1,0),0)</f>
        <v>0</v>
      </c>
      <c r="AI400" s="6">
        <f>IF((I400&lt;&gt;"")*(I404=""),IF((I400&lt;=#REF!)*((I401&gt;=#REF!)+(I401&lt;2/24)),1,0),0)</f>
        <v>0</v>
      </c>
      <c r="AJ400" s="6">
        <f>IF((J400&lt;&gt;"")*(J404=""),IF((J400&lt;=#REF!)*((J401&gt;=#REF!)+(J401&lt;2/24)),1,0),0)</f>
        <v>0</v>
      </c>
    </row>
    <row r="401" spans="1:36" x14ac:dyDescent="0.2">
      <c r="A401" s="39"/>
      <c r="B401" s="40"/>
      <c r="C401" s="15" t="s">
        <v>1</v>
      </c>
      <c r="D401" s="27">
        <v>0.75</v>
      </c>
      <c r="E401" s="27"/>
      <c r="F401" s="27">
        <v>0.75</v>
      </c>
      <c r="G401" s="27"/>
      <c r="H401" s="27"/>
      <c r="I401" s="27"/>
      <c r="J401" s="27"/>
      <c r="K401" s="17"/>
      <c r="L401" s="6"/>
      <c r="M401" s="21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D401" s="6">
        <f>IF((D400&lt;&gt;"")*(D404=""),IF((D400&lt;=$B$430)*((D401&gt;=$C$430)+(D401&lt;2/24)),1,0),0)</f>
        <v>0</v>
      </c>
      <c r="AE401" s="6">
        <f>IF((E400&lt;&gt;"")*(E404=""),IF((E400&lt;=$B$430)*((E401&gt;=$C$430)+(E401&lt;2/24)),1,0),0)</f>
        <v>0</v>
      </c>
      <c r="AF401" s="6">
        <f>IF((F400&lt;&gt;"")*(F404=""),IF((F400&lt;=$B$430)*((F401&gt;=$C$430)+(F401&lt;2/24)),1,0),0)</f>
        <v>0</v>
      </c>
      <c r="AG401" s="6">
        <f>IF((G400&lt;&gt;"")*(G404=""),IF((G400&lt;=$B$430)*((G401&gt;=$C$430)+(G401&lt;2/24)),1,0),0)</f>
        <v>0</v>
      </c>
      <c r="AH401" s="6">
        <f>IF((H400&lt;&gt;"")*(H404=""),IF((H400&lt;=$B$430)*((H401&gt;=$C$430)+(H401&lt;2/24)),1,0),0)</f>
        <v>0</v>
      </c>
      <c r="AI401" s="6">
        <f>IF((I400&lt;&gt;"")*(I404=""),IF((I400&lt;=$B$430)*((I401&gt;=$C$430)+(I401&lt;2/24)),1,0),0)</f>
        <v>0</v>
      </c>
      <c r="AJ401" s="6">
        <f>IF((J400&lt;&gt;"")*(J404=""),IF((J400&lt;=$B$430)*((J401&gt;=$C$430)+(J401&lt;2/24)),1,0),0)</f>
        <v>0</v>
      </c>
    </row>
    <row r="402" spans="1:36" x14ac:dyDescent="0.2">
      <c r="A402" s="39"/>
      <c r="B402" s="40"/>
      <c r="C402" s="15" t="s">
        <v>2</v>
      </c>
      <c r="D402" s="4"/>
      <c r="E402" s="4"/>
      <c r="F402" s="4"/>
      <c r="G402" s="4"/>
      <c r="H402" s="4"/>
      <c r="I402" s="4"/>
      <c r="J402" s="4"/>
      <c r="K402" s="17"/>
      <c r="L402" s="6"/>
      <c r="M402" s="21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D402" s="6">
        <f>IF((D400&lt;&gt;"")*(D404=""),IF((D400&lt;=$B$431)*((D401&gt;=$C$431)+(D401&lt;2/24)),1,0),0)</f>
        <v>0</v>
      </c>
      <c r="AE402" s="6">
        <f>IF((E400&lt;&gt;"")*(E404=""),IF((E400&lt;=$B$431)*((E401&gt;=$C$431)+(E401&lt;2/24)),1,0),0)</f>
        <v>0</v>
      </c>
      <c r="AF402" s="6">
        <f>IF((F400&lt;&gt;"")*(F404=""),IF((F400&lt;=$B$431)*((F401&gt;=$C$431)+(F401&lt;2/24)),1,0),0)</f>
        <v>0</v>
      </c>
      <c r="AG402" s="6">
        <f>IF((G400&lt;&gt;"")*(G404=""),IF((G400&lt;=$B$431)*((G401&gt;=$C$431)+(G401&lt;2/24)),1,0),0)</f>
        <v>0</v>
      </c>
      <c r="AH402" s="6">
        <f>IF((H400&lt;&gt;"")*(H404=""),IF((H400&lt;=$B$431)*((H401&gt;=$C$431)+(H401&lt;2/24)),1,0),0)</f>
        <v>0</v>
      </c>
      <c r="AI402" s="6">
        <f>IF((I400&lt;&gt;"")*(I404=""),IF((I400&lt;=$B$431)*((I401&gt;=$C$431)+(I401&lt;2/24)),1,0),0)</f>
        <v>0</v>
      </c>
      <c r="AJ402" s="6">
        <f>IF((J400&lt;&gt;"")*(J404=""),IF((J400&lt;=$B$431)*((J401&gt;=$C$431)+(J401&lt;2/24)),1,0),0)</f>
        <v>0</v>
      </c>
    </row>
    <row r="403" spans="1:36" x14ac:dyDescent="0.2">
      <c r="A403" s="39"/>
      <c r="B403" s="40"/>
      <c r="C403" s="15" t="s">
        <v>3</v>
      </c>
      <c r="D403" s="43">
        <f t="shared" ref="D403:J403" si="332">IF(D400="","",IF(D401&gt;D400,(D401-D400-D402)*24,(1-D400-D402+D401)*24))</f>
        <v>5.0000000000000009</v>
      </c>
      <c r="E403" s="43" t="str">
        <f t="shared" si="332"/>
        <v/>
      </c>
      <c r="F403" s="43">
        <f t="shared" si="332"/>
        <v>5.0000000000000009</v>
      </c>
      <c r="G403" s="43" t="str">
        <f t="shared" si="332"/>
        <v/>
      </c>
      <c r="H403" s="43" t="str">
        <f t="shared" si="332"/>
        <v/>
      </c>
      <c r="I403" s="55" t="str">
        <f t="shared" si="332"/>
        <v/>
      </c>
      <c r="J403" s="44" t="str">
        <f t="shared" si="332"/>
        <v/>
      </c>
      <c r="K403" s="18">
        <f>SUMIF(D404:J404,"",D403:J403)</f>
        <v>10.000000000000002</v>
      </c>
      <c r="L403" s="12">
        <f>SUM(D403:J403)</f>
        <v>10.000000000000002</v>
      </c>
      <c r="M403" s="24"/>
      <c r="N403" s="10">
        <f>IF(D404="",D403,0)</f>
        <v>5.0000000000000009</v>
      </c>
      <c r="O403" s="10" t="str">
        <f>IF(E404="",E403,0)</f>
        <v/>
      </c>
      <c r="P403" s="10">
        <f t="shared" ref="P403" si="333">IF(F404="",F403,0)</f>
        <v>5.0000000000000009</v>
      </c>
      <c r="Q403" s="10" t="str">
        <f t="shared" ref="Q403" si="334">IF(G404="",G403,0)</f>
        <v/>
      </c>
      <c r="R403" s="10" t="str">
        <f t="shared" ref="R403" si="335">IF(H404="",H403,0)</f>
        <v/>
      </c>
      <c r="S403" s="10" t="str">
        <f t="shared" ref="S403" si="336">IF(I404="",I403,0)</f>
        <v/>
      </c>
      <c r="T403" s="10" t="str">
        <f t="shared" ref="T403" si="337">IF(J404="",J403,0)</f>
        <v/>
      </c>
      <c r="U403" s="10"/>
      <c r="V403" s="10">
        <f>D403</f>
        <v>5.0000000000000009</v>
      </c>
      <c r="W403" s="10" t="str">
        <f>E403</f>
        <v/>
      </c>
      <c r="X403" s="10">
        <f t="shared" ref="X403" si="338">F403</f>
        <v>5.0000000000000009</v>
      </c>
      <c r="Y403" s="10" t="str">
        <f t="shared" ref="Y403" si="339">G403</f>
        <v/>
      </c>
      <c r="Z403" s="10" t="str">
        <f t="shared" ref="Z403" si="340">H403</f>
        <v/>
      </c>
      <c r="AA403" s="10" t="str">
        <f t="shared" ref="AA403" si="341">I403</f>
        <v/>
      </c>
      <c r="AB403" s="10" t="str">
        <f t="shared" ref="AB403" si="342">J403</f>
        <v/>
      </c>
      <c r="AD403" s="6">
        <f>IF((D400&lt;&gt;"")*(D404=""),IF((D400&lt;=$B$432)*((D401&gt;=$C$432)+(D401&lt;2/24)),1,0),0)</f>
        <v>0</v>
      </c>
      <c r="AE403" s="6">
        <f>IF((E400&lt;&gt;"")*(E404=""),IF((E400&lt;=$B$432)*((E401&gt;=$C$432)+(E401&lt;2/24)),1,0),0)</f>
        <v>0</v>
      </c>
      <c r="AF403" s="6">
        <f>IF((F400&lt;&gt;"")*(F404=""),IF((F400&lt;=$B$432)*((F401&gt;=$C$432)+(F401&lt;2/24)),1,0),0)</f>
        <v>0</v>
      </c>
      <c r="AG403" s="6">
        <f>IF((G400&lt;&gt;"")*(G404=""),IF((G400&lt;=$B$432)*((G401&gt;=$C$432)+(G401&lt;2/24)),1,0),0)</f>
        <v>0</v>
      </c>
      <c r="AH403" s="6">
        <f>IF((H400&lt;&gt;"")*(H404=""),IF((H400&lt;=$B$432)*((H401&gt;=$C$432)+(H401&lt;2/24)),1,0),0)</f>
        <v>0</v>
      </c>
      <c r="AI403" s="6">
        <f>IF((I400&lt;&gt;"")*(I404=""),IF((I400&lt;=$B$432)*((I401&gt;=$C$432)+(I401&lt;2/24)),1,0),0)</f>
        <v>0</v>
      </c>
      <c r="AJ403" s="6">
        <f>IF((J400&lt;&gt;"")*(J404=""),IF((J400&lt;=$B$432)*((J401&gt;=$C$432)+(J401&lt;2/24)),1,0),0)</f>
        <v>0</v>
      </c>
    </row>
    <row r="404" spans="1:36" x14ac:dyDescent="0.2">
      <c r="A404" s="39"/>
      <c r="B404" s="40"/>
      <c r="C404" s="32" t="s">
        <v>4</v>
      </c>
      <c r="D404" s="33"/>
      <c r="E404" s="33"/>
      <c r="F404" s="33"/>
      <c r="G404" s="33"/>
      <c r="H404" s="33"/>
      <c r="I404" s="33"/>
      <c r="J404" s="33"/>
      <c r="K404" s="17"/>
      <c r="L404" s="6"/>
      <c r="M404" s="25"/>
      <c r="N404" s="6"/>
      <c r="O404" s="6"/>
      <c r="P404" s="6"/>
      <c r="Q404" s="6"/>
      <c r="R404" s="6"/>
      <c r="S404" s="6"/>
      <c r="T404" s="6"/>
      <c r="U404" s="6"/>
      <c r="V404" s="20"/>
      <c r="W404" s="20"/>
      <c r="X404" s="20"/>
      <c r="Y404" s="20"/>
      <c r="Z404" s="20"/>
      <c r="AA404" s="20"/>
      <c r="AB404" s="20"/>
      <c r="AD404" s="6">
        <f>IF((D400&lt;&gt;"")*(D404=""),IF((D400&lt;=$B$433)*((D401&gt;=$C$433)+(D401&lt;2/24)),1,0),0)</f>
        <v>0</v>
      </c>
      <c r="AE404" s="6">
        <f>IF((E400&lt;&gt;"")*(E404=""),IF((E400&lt;=$B$433)*((E401&gt;=$C$433)+(E401&lt;2/24)),1,0),0)</f>
        <v>0</v>
      </c>
      <c r="AF404" s="6">
        <f>IF((F400&lt;&gt;"")*(F404=""),IF((F400&lt;=$B$433)*((F401&gt;=$C$433)+(F401&lt;2/24)),1,0),0)</f>
        <v>0</v>
      </c>
      <c r="AG404" s="6">
        <f>IF((G400&lt;&gt;"")*(G404=""),IF((G400&lt;=$B$433)*((G401&gt;=$C$433)+(G401&lt;2/24)),1,0),0)</f>
        <v>0</v>
      </c>
      <c r="AH404" s="6">
        <f>IF((H400&lt;&gt;"")*(H404=""),IF((H400&lt;=$B$433)*((H401&gt;=$C$433)+(H401&lt;2/24)),1,0),0)</f>
        <v>0</v>
      </c>
      <c r="AI404" s="6">
        <f>IF((I400&lt;&gt;"")*(I404=""),IF((I400&lt;=$B$433)*((I401&gt;=$C$433)+(I401&lt;2/24)),1,0),0)</f>
        <v>0</v>
      </c>
      <c r="AJ404" s="6">
        <f>IF((J400&lt;&gt;"")*(J404=""),IF((J400&lt;=$B$433)*((J401&gt;=$C$433)+(J401&lt;2/24)),1,0),0)</f>
        <v>0</v>
      </c>
    </row>
    <row r="405" spans="1:36" ht="13.5" thickBot="1" x14ac:dyDescent="0.25">
      <c r="A405" s="41"/>
      <c r="B405" s="42"/>
      <c r="C405" s="35" t="s">
        <v>28</v>
      </c>
      <c r="D405" s="54"/>
      <c r="E405" s="36"/>
      <c r="F405" s="36"/>
      <c r="G405" s="36"/>
      <c r="H405" s="36"/>
      <c r="I405" s="36"/>
      <c r="J405" s="36"/>
      <c r="K405" s="34"/>
      <c r="L405" s="6"/>
      <c r="M405" s="25"/>
      <c r="N405" s="6"/>
      <c r="O405" s="6"/>
      <c r="P405" s="6"/>
      <c r="Q405" s="6"/>
      <c r="R405" s="6"/>
      <c r="S405" s="6"/>
      <c r="T405" s="6"/>
      <c r="U405" s="6"/>
      <c r="V405" s="20"/>
      <c r="W405" s="20"/>
      <c r="X405" s="20"/>
      <c r="Y405" s="20"/>
      <c r="Z405" s="20"/>
      <c r="AA405" s="20"/>
      <c r="AB405" s="20"/>
      <c r="AD405" s="6"/>
      <c r="AE405" s="6"/>
      <c r="AF405" s="6"/>
      <c r="AG405" s="6"/>
      <c r="AH405" s="6"/>
      <c r="AI405" s="6"/>
      <c r="AJ405" s="6"/>
    </row>
    <row r="406" spans="1:36" x14ac:dyDescent="0.2">
      <c r="A406" s="37" t="s">
        <v>148</v>
      </c>
      <c r="B406" s="38" t="s">
        <v>149</v>
      </c>
      <c r="C406" s="14" t="s">
        <v>0</v>
      </c>
      <c r="D406" s="26">
        <v>0.54166666666666663</v>
      </c>
      <c r="E406" s="26"/>
      <c r="F406" s="26"/>
      <c r="G406" s="26"/>
      <c r="H406" s="26"/>
      <c r="I406" s="26"/>
      <c r="J406" s="26"/>
      <c r="K406" s="16"/>
      <c r="L406" s="6"/>
      <c r="M406" s="21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D406" s="6">
        <f>IF((D406&lt;&gt;"")*(D410=""),IF((D406&lt;=$B$440)*((D407&gt;=$C$440)+(D407&lt;2/24)),1,0),0)</f>
        <v>0</v>
      </c>
      <c r="AE406" s="6">
        <f>IF((E406&lt;&gt;"")*(E410=""),IF((E406&lt;=$B$440)*((E407&gt;=$C$440)+(E407&lt;2/24)),1,0),0)</f>
        <v>0</v>
      </c>
      <c r="AF406" s="6">
        <f>IF((F406&lt;&gt;"")*(F410=""),IF((F406&lt;=$B$440)*((F407&gt;=$C$440)+(F407&lt;2/24)),1,0),0)</f>
        <v>0</v>
      </c>
      <c r="AG406" s="6">
        <f>IF((G406&lt;&gt;"")*(G410=""),IF((G406&lt;=$B$440)*((G407&gt;=$C$440)+(G407&lt;2/24)),1,0),0)</f>
        <v>0</v>
      </c>
      <c r="AH406" s="6">
        <f>IF((H406&lt;&gt;"")*(H410=""),IF((H406&lt;=$B$440)*((H407&gt;=$C$440)+(H407&lt;2/24)),1,0),0)</f>
        <v>0</v>
      </c>
      <c r="AI406" s="6">
        <f>IF((I406&lt;&gt;"")*(I410=""),IF((I406&lt;=$B$440)*((I407&gt;=$C$440)+(I407&lt;2/24)),1,0),0)</f>
        <v>0</v>
      </c>
      <c r="AJ406" s="6">
        <f>IF((J406&lt;&gt;"")*(J410=""),IF((J406&lt;=$B$440)*((J407&gt;=$C$440)+(J407&lt;2/24)),1,0),0)</f>
        <v>0</v>
      </c>
    </row>
    <row r="407" spans="1:36" x14ac:dyDescent="0.2">
      <c r="A407" s="39"/>
      <c r="B407" s="40"/>
      <c r="C407" s="15" t="s">
        <v>1</v>
      </c>
      <c r="D407" s="27">
        <v>0.75</v>
      </c>
      <c r="E407" s="27"/>
      <c r="F407" s="27"/>
      <c r="G407" s="27"/>
      <c r="H407" s="27"/>
      <c r="I407" s="27"/>
      <c r="J407" s="27"/>
      <c r="K407" s="17"/>
      <c r="L407" s="6"/>
      <c r="M407" s="21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D407" s="6">
        <f>IF((D406&lt;&gt;"")*(D410=""),IF((D406&lt;=$B$441)*((D407&gt;=$C$441)+(D407&lt;2/24)),1,0),0)</f>
        <v>1</v>
      </c>
      <c r="AE407" s="6">
        <f>IF((E406&lt;&gt;"")*(E410=""),IF((E406&lt;=$B$441)*((E407&gt;=$C$441)+(E407&lt;2/24)),1,0),0)</f>
        <v>0</v>
      </c>
      <c r="AF407" s="6">
        <f>IF((F406&lt;&gt;"")*(F410=""),IF((F406&lt;=$B$441)*((F407&gt;=$C$441)+(F407&lt;2/24)),1,0),0)</f>
        <v>0</v>
      </c>
      <c r="AG407" s="6">
        <f>IF((G406&lt;&gt;"")*(G410=""),IF((G406&lt;=$B$441)*((G407&gt;=$C$441)+(G407&lt;2/24)),1,0),0)</f>
        <v>0</v>
      </c>
      <c r="AH407" s="6">
        <f>IF((H406&lt;&gt;"")*(H410=""),IF((H406&lt;=$B$441)*((H407&gt;=$C$441)+(H407&lt;2/24)),1,0),0)</f>
        <v>0</v>
      </c>
      <c r="AI407" s="6">
        <f>IF((I406&lt;&gt;"")*(I410=""),IF((I406&lt;=$B$441)*((I407&gt;=$C$441)+(I407&lt;2/24)),1,0),0)</f>
        <v>0</v>
      </c>
      <c r="AJ407" s="6">
        <f>IF((J406&lt;&gt;"")*(J410=""),IF((J406&lt;=$B$441)*((J407&gt;=$C$441)+(J407&lt;2/24)),1,0),0)</f>
        <v>0</v>
      </c>
    </row>
    <row r="408" spans="1:36" x14ac:dyDescent="0.2">
      <c r="A408" s="39"/>
      <c r="B408" s="40"/>
      <c r="C408" s="15" t="s">
        <v>2</v>
      </c>
      <c r="D408" s="4"/>
      <c r="E408" s="4"/>
      <c r="F408" s="4"/>
      <c r="G408" s="4"/>
      <c r="H408" s="4"/>
      <c r="I408" s="4"/>
      <c r="J408" s="4"/>
      <c r="K408" s="17"/>
      <c r="L408" s="6"/>
      <c r="M408" s="21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D408" s="6">
        <f>IF((D406&lt;&gt;"")*(D410=""),IF((D406&lt;=$B$442)*((D407&gt;=$C$442)+(D407&lt;2/24)),1,0),0)</f>
        <v>1</v>
      </c>
      <c r="AE408" s="6">
        <f>IF((E406&lt;&gt;"")*(E410=""),IF((E406&lt;=$B$442)*((E407&gt;=$C$442)+(E407&lt;2/24)),1,0),0)</f>
        <v>0</v>
      </c>
      <c r="AF408" s="6">
        <f>IF((F406&lt;&gt;"")*(F410=""),IF((F406&lt;=$B$442)*((F407&gt;=$C$442)+(F407&lt;2/24)),1,0),0)</f>
        <v>0</v>
      </c>
      <c r="AG408" s="6">
        <f>IF((G406&lt;&gt;"")*(G410=""),IF((G406&lt;=$B$442)*((G407&gt;=$C$442)+(G407&lt;2/24)),1,0),0)</f>
        <v>0</v>
      </c>
      <c r="AH408" s="6">
        <f>IF((H406&lt;&gt;"")*(H410=""),IF((H406&lt;=$B$442)*((H407&gt;=$C$442)+(H407&lt;2/24)),1,0),0)</f>
        <v>0</v>
      </c>
      <c r="AI408" s="6">
        <f>IF((I406&lt;&gt;"")*(I410=""),IF((I406&lt;=$B$442)*((I407&gt;=$C$442)+(I407&lt;2/24)),1,0),0)</f>
        <v>0</v>
      </c>
      <c r="AJ408" s="6">
        <f>IF((J406&lt;&gt;"")*(J410=""),IF((J406&lt;=$B$442)*((J407&gt;=$C$442)+(J407&lt;2/24)),1,0),0)</f>
        <v>0</v>
      </c>
    </row>
    <row r="409" spans="1:36" x14ac:dyDescent="0.2">
      <c r="A409" s="39"/>
      <c r="B409" s="40"/>
      <c r="C409" s="15" t="s">
        <v>3</v>
      </c>
      <c r="D409" s="43">
        <f t="shared" ref="D409:J409" si="343">IF(D406="","",IF(D407&gt;D406,(D407-D406-D408)*24,(1-D406-D408+D407)*24))</f>
        <v>5.0000000000000009</v>
      </c>
      <c r="E409" s="43" t="str">
        <f t="shared" si="343"/>
        <v/>
      </c>
      <c r="F409" s="43" t="str">
        <f t="shared" si="343"/>
        <v/>
      </c>
      <c r="G409" s="43" t="str">
        <f t="shared" si="343"/>
        <v/>
      </c>
      <c r="H409" s="43" t="str">
        <f t="shared" si="343"/>
        <v/>
      </c>
      <c r="I409" s="43" t="str">
        <f t="shared" si="343"/>
        <v/>
      </c>
      <c r="J409" s="44" t="str">
        <f t="shared" si="343"/>
        <v/>
      </c>
      <c r="K409" s="18">
        <f>SUMIF(D410:J410,"",D409:J409)</f>
        <v>5.0000000000000009</v>
      </c>
      <c r="L409" s="12">
        <f>SUM(D409:J409)</f>
        <v>5.0000000000000009</v>
      </c>
      <c r="M409" s="24"/>
      <c r="N409" s="10">
        <f>IF(D410="",D409,0)</f>
        <v>5.0000000000000009</v>
      </c>
      <c r="O409" s="10" t="str">
        <f>IF(E410="",E409,0)</f>
        <v/>
      </c>
      <c r="P409" s="10" t="str">
        <f t="shared" ref="P409" si="344">IF(F410="",F409,0)</f>
        <v/>
      </c>
      <c r="Q409" s="10" t="str">
        <f t="shared" ref="Q409" si="345">IF(G410="",G409,0)</f>
        <v/>
      </c>
      <c r="R409" s="10" t="str">
        <f t="shared" ref="R409" si="346">IF(H410="",H409,0)</f>
        <v/>
      </c>
      <c r="S409" s="10" t="str">
        <f t="shared" ref="S409" si="347">IF(I410="",I409,0)</f>
        <v/>
      </c>
      <c r="T409" s="10" t="str">
        <f t="shared" ref="T409" si="348">IF(J410="",J409,0)</f>
        <v/>
      </c>
      <c r="U409" s="10"/>
      <c r="V409" s="10">
        <f>D409</f>
        <v>5.0000000000000009</v>
      </c>
      <c r="W409" s="10" t="str">
        <f>E409</f>
        <v/>
      </c>
      <c r="X409" s="10" t="str">
        <f t="shared" ref="X409" si="349">F409</f>
        <v/>
      </c>
      <c r="Y409" s="10" t="str">
        <f t="shared" ref="Y409" si="350">G409</f>
        <v/>
      </c>
      <c r="Z409" s="10" t="str">
        <f t="shared" ref="Z409" si="351">H409</f>
        <v/>
      </c>
      <c r="AA409" s="10" t="str">
        <f t="shared" ref="AA409" si="352">I409</f>
        <v/>
      </c>
      <c r="AB409" s="10" t="str">
        <f t="shared" ref="AB409" si="353">J409</f>
        <v/>
      </c>
      <c r="AD409" s="6">
        <f>IF((D406&lt;&gt;"")*(D410=""),IF((D406&lt;=$B$443)*((D407&gt;=$C$443)+(D407&lt;2/24)),1,0),0)</f>
        <v>0</v>
      </c>
      <c r="AE409" s="6">
        <f>IF((E406&lt;&gt;"")*(E410=""),IF((E406&lt;=$B$443)*((E407&gt;=$C$443)+(E407&lt;2/24)),1,0),0)</f>
        <v>0</v>
      </c>
      <c r="AF409" s="6">
        <f>IF((F406&lt;&gt;"")*(F410=""),IF((F406&lt;=$B$443)*((F407&gt;=$C$443)+(F407&lt;2/24)),1,0),0)</f>
        <v>0</v>
      </c>
      <c r="AG409" s="6">
        <f>IF((G406&lt;&gt;"")*(G410=""),IF((G406&lt;=$B$443)*((G407&gt;=$C$443)+(G407&lt;2/24)),1,0),0)</f>
        <v>0</v>
      </c>
      <c r="AH409" s="6">
        <f>IF((H406&lt;&gt;"")*(H410=""),IF((H406&lt;=$B$443)*((H407&gt;=$C$443)+(H407&lt;2/24)),1,0),0)</f>
        <v>0</v>
      </c>
      <c r="AI409" s="6">
        <f>IF((I406&lt;&gt;"")*(I410=""),IF((I406&lt;=$B$443)*((I407&gt;=$C$443)+(I407&lt;2/24)),1,0),0)</f>
        <v>0</v>
      </c>
      <c r="AJ409" s="6">
        <f>IF((J406&lt;&gt;"")*(J410=""),IF((J406&lt;=$B$443)*((J407&gt;=$C$443)+(J407&lt;2/24)),1,0),0)</f>
        <v>0</v>
      </c>
    </row>
    <row r="410" spans="1:36" x14ac:dyDescent="0.2">
      <c r="A410" s="39"/>
      <c r="B410" s="40"/>
      <c r="C410" s="32" t="s">
        <v>4</v>
      </c>
      <c r="D410" s="33"/>
      <c r="E410" s="53"/>
      <c r="F410" s="33"/>
      <c r="G410" s="33"/>
      <c r="H410" s="33"/>
      <c r="I410" s="33"/>
      <c r="J410" s="33"/>
      <c r="K410" s="17"/>
      <c r="L410" s="6"/>
      <c r="M410" s="25"/>
      <c r="N410" s="6"/>
      <c r="O410" s="6"/>
      <c r="P410" s="6"/>
      <c r="Q410" s="6"/>
      <c r="R410" s="6"/>
      <c r="S410" s="6"/>
      <c r="T410" s="6"/>
      <c r="U410" s="6"/>
      <c r="V410" s="20"/>
      <c r="W410" s="20"/>
      <c r="X410" s="20"/>
      <c r="Y410" s="20"/>
      <c r="Z410" s="20"/>
      <c r="AA410" s="20"/>
      <c r="AB410" s="20"/>
      <c r="AD410" s="6">
        <f>IF((D406&lt;&gt;"")*(D410=""),IF((D406&lt;=$B$444)*((D407&gt;=$C$444)+(D407&lt;2/24)),1,0),0)</f>
        <v>0</v>
      </c>
      <c r="AE410" s="6">
        <f>IF((E406&lt;&gt;"")*(E410=""),IF((E406&lt;=$B$444)*((E407&gt;=$C$444)+(E407&lt;2/24)),1,0),0)</f>
        <v>0</v>
      </c>
      <c r="AF410" s="6">
        <f>IF((F406&lt;&gt;"")*(F410=""),IF((F406&lt;=$B$444)*((F407&gt;=$C$444)+(F407&lt;2/24)),1,0),0)</f>
        <v>0</v>
      </c>
      <c r="AG410" s="6">
        <f>IF((G406&lt;&gt;"")*(G410=""),IF((G406&lt;=$B$444)*((G407&gt;=$C$444)+(G407&lt;2/24)),1,0),0)</f>
        <v>0</v>
      </c>
      <c r="AH410" s="6">
        <f>IF((H406&lt;&gt;"")*(H410=""),IF((H406&lt;=$B$444)*((H407&gt;=$C$444)+(H407&lt;2/24)),1,0),0)</f>
        <v>0</v>
      </c>
      <c r="AI410" s="6">
        <f>IF((I406&lt;&gt;"")*(I410=""),IF((I406&lt;=$B$444)*((I407&gt;=$C$444)+(I407&lt;2/24)),1,0),0)</f>
        <v>0</v>
      </c>
      <c r="AJ410" s="6">
        <f>IF((J406&lt;&gt;"")*(J410=""),IF((J406&lt;=$B$444)*((J407&gt;=$C$444)+(J407&lt;2/24)),1,0),0)</f>
        <v>0</v>
      </c>
    </row>
    <row r="411" spans="1:36" ht="13.5" thickBot="1" x14ac:dyDescent="0.25">
      <c r="A411" s="41"/>
      <c r="B411" s="42"/>
      <c r="C411" s="35" t="s">
        <v>28</v>
      </c>
      <c r="D411" s="54"/>
      <c r="E411" s="36"/>
      <c r="F411" s="36"/>
      <c r="G411" s="36"/>
      <c r="H411" s="36"/>
      <c r="I411" s="36"/>
      <c r="J411" s="36"/>
      <c r="K411" s="34"/>
      <c r="L411" s="6"/>
      <c r="M411" s="25"/>
      <c r="N411" s="6"/>
      <c r="O411" s="6"/>
      <c r="P411" s="6"/>
      <c r="Q411" s="6"/>
      <c r="R411" s="6"/>
      <c r="S411" s="6"/>
      <c r="T411" s="6"/>
      <c r="U411" s="6"/>
      <c r="V411" s="20"/>
      <c r="W411" s="20"/>
      <c r="X411" s="20"/>
      <c r="Y411" s="20"/>
      <c r="Z411" s="20"/>
      <c r="AA411" s="20"/>
      <c r="AB411" s="20"/>
      <c r="AD411" s="6"/>
      <c r="AE411" s="6"/>
      <c r="AF411" s="6"/>
      <c r="AG411" s="6"/>
      <c r="AH411" s="6"/>
      <c r="AI411" s="6"/>
      <c r="AJ411" s="6"/>
    </row>
    <row r="412" spans="1:36" x14ac:dyDescent="0.2">
      <c r="A412" s="37" t="s">
        <v>50</v>
      </c>
      <c r="B412" s="38" t="s">
        <v>51</v>
      </c>
      <c r="C412" s="14" t="s">
        <v>0</v>
      </c>
      <c r="D412" s="26"/>
      <c r="E412" s="26"/>
      <c r="F412" s="26"/>
      <c r="G412" s="26"/>
      <c r="H412" s="26"/>
      <c r="I412" s="26"/>
      <c r="J412" s="26"/>
      <c r="K412" s="16"/>
      <c r="L412" s="6"/>
      <c r="M412" s="21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D412" s="6">
        <f>IF((D412&lt;&gt;"")*(D416=""),IF((D412&lt;=$B$440)*((D413&gt;=$C$440)+(D413&lt;2/24)),1,0),0)</f>
        <v>0</v>
      </c>
      <c r="AE412" s="6">
        <f>IF((E412&lt;&gt;"")*(E416=""),IF((E412&lt;=$B$440)*((E413&gt;=$C$440)+(E413&lt;2/24)),1,0),0)</f>
        <v>0</v>
      </c>
      <c r="AF412" s="6">
        <f>IF((F412&lt;&gt;"")*(F416=""),IF((F412&lt;=$B$440)*((F413&gt;=$C$440)+(F413&lt;2/24)),1,0),0)</f>
        <v>0</v>
      </c>
      <c r="AG412" s="6">
        <f>IF((G412&lt;&gt;"")*(G416=""),IF((G412&lt;=$B$440)*((G413&gt;=$C$440)+(G413&lt;2/24)),1,0),0)</f>
        <v>0</v>
      </c>
      <c r="AH412" s="6">
        <f>IF((H412&lt;&gt;"")*(H416=""),IF((H412&lt;=$B$440)*((H413&gt;=$C$440)+(H413&lt;2/24)),1,0),0)</f>
        <v>0</v>
      </c>
      <c r="AI412" s="6">
        <f>IF((I412&lt;&gt;"")*(I416=""),IF((I412&lt;=$B$440)*((I413&gt;=$C$440)+(I413&lt;2/24)),1,0),0)</f>
        <v>0</v>
      </c>
      <c r="AJ412" s="6">
        <f>IF((J412&lt;&gt;"")*(J416=""),IF((J412&lt;=$B$440)*((J413&gt;=$C$440)+(J413&lt;2/24)),1,0),0)</f>
        <v>0</v>
      </c>
    </row>
    <row r="413" spans="1:36" x14ac:dyDescent="0.2">
      <c r="A413" s="39"/>
      <c r="B413" s="40"/>
      <c r="C413" s="15" t="s">
        <v>1</v>
      </c>
      <c r="D413" s="27"/>
      <c r="E413" s="27"/>
      <c r="F413" s="27"/>
      <c r="G413" s="27"/>
      <c r="H413" s="27"/>
      <c r="I413" s="27"/>
      <c r="J413" s="27"/>
      <c r="K413" s="17"/>
      <c r="L413" s="6"/>
      <c r="M413" s="21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D413" s="6">
        <f>IF((D412&lt;&gt;"")*(D416=""),IF((D412&lt;=$B$441)*((D413&gt;=$C$441)+(D413&lt;2/24)),1,0),0)</f>
        <v>0</v>
      </c>
      <c r="AE413" s="6">
        <f>IF((E412&lt;&gt;"")*(E416=""),IF((E412&lt;=$B$441)*((E413&gt;=$C$441)+(E413&lt;2/24)),1,0),0)</f>
        <v>0</v>
      </c>
      <c r="AF413" s="6">
        <f>IF((F412&lt;&gt;"")*(F416=""),IF((F412&lt;=$B$441)*((F413&gt;=$C$441)+(F413&lt;2/24)),1,0),0)</f>
        <v>0</v>
      </c>
      <c r="AG413" s="6">
        <f>IF((G412&lt;&gt;"")*(G416=""),IF((G412&lt;=$B$441)*((G413&gt;=$C$441)+(G413&lt;2/24)),1,0),0)</f>
        <v>0</v>
      </c>
      <c r="AH413" s="6">
        <f>IF((H412&lt;&gt;"")*(H416=""),IF((H412&lt;=$B$441)*((H413&gt;=$C$441)+(H413&lt;2/24)),1,0),0)</f>
        <v>0</v>
      </c>
      <c r="AI413" s="6">
        <f>IF((I412&lt;&gt;"")*(I416=""),IF((I412&lt;=$B$441)*((I413&gt;=$C$441)+(I413&lt;2/24)),1,0),0)</f>
        <v>0</v>
      </c>
      <c r="AJ413" s="6">
        <f>IF((J412&lt;&gt;"")*(J416=""),IF((J412&lt;=$B$441)*((J413&gt;=$C$441)+(J413&lt;2/24)),1,0),0)</f>
        <v>0</v>
      </c>
    </row>
    <row r="414" spans="1:36" x14ac:dyDescent="0.2">
      <c r="A414" s="39"/>
      <c r="B414" s="40"/>
      <c r="C414" s="15" t="s">
        <v>2</v>
      </c>
      <c r="D414" s="4"/>
      <c r="E414" s="4"/>
      <c r="F414" s="4"/>
      <c r="G414" s="4"/>
      <c r="H414" s="4"/>
      <c r="I414" s="4"/>
      <c r="J414" s="4"/>
      <c r="K414" s="17"/>
      <c r="L414" s="6"/>
      <c r="M414" s="21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D414" s="6">
        <f>IF((D412&lt;&gt;"")*(D416=""),IF((D412&lt;=$B$442)*((D413&gt;=$C$442)+(D413&lt;2/24)),1,0),0)</f>
        <v>0</v>
      </c>
      <c r="AE414" s="6">
        <f>IF((E412&lt;&gt;"")*(E416=""),IF((E412&lt;=$B$442)*((E413&gt;=$C$442)+(E413&lt;2/24)),1,0),0)</f>
        <v>0</v>
      </c>
      <c r="AF414" s="6">
        <f>IF((F412&lt;&gt;"")*(F416=""),IF((F412&lt;=$B$442)*((F413&gt;=$C$442)+(F413&lt;2/24)),1,0),0)</f>
        <v>0</v>
      </c>
      <c r="AG414" s="6">
        <f>IF((G412&lt;&gt;"")*(G416=""),IF((G412&lt;=$B$442)*((G413&gt;=$C$442)+(G413&lt;2/24)),1,0),0)</f>
        <v>0</v>
      </c>
      <c r="AH414" s="6">
        <f>IF((H412&lt;&gt;"")*(H416=""),IF((H412&lt;=$B$442)*((H413&gt;=$C$442)+(H413&lt;2/24)),1,0),0)</f>
        <v>0</v>
      </c>
      <c r="AI414" s="6">
        <f>IF((I412&lt;&gt;"")*(I416=""),IF((I412&lt;=$B$442)*((I413&gt;=$C$442)+(I413&lt;2/24)),1,0),0)</f>
        <v>0</v>
      </c>
      <c r="AJ414" s="6">
        <f>IF((J412&lt;&gt;"")*(J416=""),IF((J412&lt;=$B$442)*((J413&gt;=$C$442)+(J413&lt;2/24)),1,0),0)</f>
        <v>0</v>
      </c>
    </row>
    <row r="415" spans="1:36" x14ac:dyDescent="0.2">
      <c r="A415" s="39"/>
      <c r="B415" s="40"/>
      <c r="C415" s="15" t="s">
        <v>3</v>
      </c>
      <c r="D415" s="43" t="str">
        <f t="shared" ref="D415:J415" si="354">IF(D412="","",IF(D413&gt;D412,(D413-D412-D414)*24,(1-D412-D414+D413)*24))</f>
        <v/>
      </c>
      <c r="E415" s="43" t="str">
        <f t="shared" si="354"/>
        <v/>
      </c>
      <c r="F415" s="43" t="str">
        <f t="shared" si="354"/>
        <v/>
      </c>
      <c r="G415" s="43" t="str">
        <f t="shared" si="354"/>
        <v/>
      </c>
      <c r="H415" s="43" t="str">
        <f t="shared" si="354"/>
        <v/>
      </c>
      <c r="I415" s="43" t="str">
        <f t="shared" si="354"/>
        <v/>
      </c>
      <c r="J415" s="44" t="str">
        <f t="shared" si="354"/>
        <v/>
      </c>
      <c r="K415" s="18">
        <f>SUMIF(D416:J416,"",D415:J415)</f>
        <v>0</v>
      </c>
      <c r="L415" s="12">
        <f>SUM(D415:J415)</f>
        <v>0</v>
      </c>
      <c r="M415" s="24"/>
      <c r="N415" s="10" t="str">
        <f>IF(D416="",D415,0)</f>
        <v/>
      </c>
      <c r="O415" s="10" t="str">
        <f>IF(E416="",E415,0)</f>
        <v/>
      </c>
      <c r="P415" s="10" t="str">
        <f t="shared" ref="P415" si="355">IF(F416="",F415,0)</f>
        <v/>
      </c>
      <c r="Q415" s="10" t="str">
        <f t="shared" ref="Q415" si="356">IF(G416="",G415,0)</f>
        <v/>
      </c>
      <c r="R415" s="10" t="str">
        <f t="shared" ref="R415" si="357">IF(H416="",H415,0)</f>
        <v/>
      </c>
      <c r="S415" s="10" t="str">
        <f t="shared" ref="S415" si="358">IF(I416="",I415,0)</f>
        <v/>
      </c>
      <c r="T415" s="10" t="str">
        <f t="shared" ref="T415" si="359">IF(J416="",J415,0)</f>
        <v/>
      </c>
      <c r="U415" s="10"/>
      <c r="V415" s="10" t="str">
        <f>D415</f>
        <v/>
      </c>
      <c r="W415" s="10" t="str">
        <f>E415</f>
        <v/>
      </c>
      <c r="X415" s="10" t="str">
        <f t="shared" ref="X415" si="360">F415</f>
        <v/>
      </c>
      <c r="Y415" s="10" t="str">
        <f t="shared" ref="Y415" si="361">G415</f>
        <v/>
      </c>
      <c r="Z415" s="10" t="str">
        <f t="shared" ref="Z415" si="362">H415</f>
        <v/>
      </c>
      <c r="AA415" s="10" t="str">
        <f t="shared" ref="AA415" si="363">I415</f>
        <v/>
      </c>
      <c r="AB415" s="10" t="str">
        <f t="shared" ref="AB415" si="364">J415</f>
        <v/>
      </c>
      <c r="AD415" s="6">
        <f>IF((D412&lt;&gt;"")*(D416=""),IF((D412&lt;=$B$443)*((D413&gt;=$C$443)+(D413&lt;2/24)),1,0),0)</f>
        <v>0</v>
      </c>
      <c r="AE415" s="6">
        <f>IF((E412&lt;&gt;"")*(E416=""),IF((E412&lt;=$B$443)*((E413&gt;=$C$443)+(E413&lt;2/24)),1,0),0)</f>
        <v>0</v>
      </c>
      <c r="AF415" s="6">
        <f>IF((F412&lt;&gt;"")*(F416=""),IF((F412&lt;=$B$443)*((F413&gt;=$C$443)+(F413&lt;2/24)),1,0),0)</f>
        <v>0</v>
      </c>
      <c r="AG415" s="6">
        <f>IF((G412&lt;&gt;"")*(G416=""),IF((G412&lt;=$B$443)*((G413&gt;=$C$443)+(G413&lt;2/24)),1,0),0)</f>
        <v>0</v>
      </c>
      <c r="AH415" s="6">
        <f>IF((H412&lt;&gt;"")*(H416=""),IF((H412&lt;=$B$443)*((H413&gt;=$C$443)+(H413&lt;2/24)),1,0),0)</f>
        <v>0</v>
      </c>
      <c r="AI415" s="6">
        <f>IF((I412&lt;&gt;"")*(I416=""),IF((I412&lt;=$B$443)*((I413&gt;=$C$443)+(I413&lt;2/24)),1,0),0)</f>
        <v>0</v>
      </c>
      <c r="AJ415" s="6">
        <f>IF((J412&lt;&gt;"")*(J416=""),IF((J412&lt;=$B$443)*((J413&gt;=$C$443)+(J413&lt;2/24)),1,0),0)</f>
        <v>0</v>
      </c>
    </row>
    <row r="416" spans="1:36" x14ac:dyDescent="0.2">
      <c r="A416" s="39"/>
      <c r="B416" s="40"/>
      <c r="C416" s="32" t="s">
        <v>4</v>
      </c>
      <c r="D416" s="33"/>
      <c r="E416" s="53"/>
      <c r="F416" s="33"/>
      <c r="G416" s="33"/>
      <c r="H416" s="33"/>
      <c r="I416" s="33"/>
      <c r="J416" s="33"/>
      <c r="K416" s="17"/>
      <c r="L416" s="6"/>
      <c r="M416" s="25"/>
      <c r="N416" s="6"/>
      <c r="O416" s="6"/>
      <c r="P416" s="6"/>
      <c r="Q416" s="6"/>
      <c r="R416" s="6"/>
      <c r="S416" s="6"/>
      <c r="T416" s="6"/>
      <c r="U416" s="6"/>
      <c r="V416" s="20"/>
      <c r="W416" s="20"/>
      <c r="X416" s="20"/>
      <c r="Y416" s="20"/>
      <c r="Z416" s="20"/>
      <c r="AA416" s="20"/>
      <c r="AB416" s="20"/>
      <c r="AD416" s="6">
        <f>IF((D412&lt;&gt;"")*(D416=""),IF((D412&lt;=$B$444)*((D413&gt;=$C$444)+(D413&lt;2/24)),1,0),0)</f>
        <v>0</v>
      </c>
      <c r="AE416" s="6">
        <f>IF((E412&lt;&gt;"")*(E416=""),IF((E412&lt;=$B$444)*((E413&gt;=$C$444)+(E413&lt;2/24)),1,0),0)</f>
        <v>0</v>
      </c>
      <c r="AF416" s="6">
        <f>IF((F412&lt;&gt;"")*(F416=""),IF((F412&lt;=$B$444)*((F413&gt;=$C$444)+(F413&lt;2/24)),1,0),0)</f>
        <v>0</v>
      </c>
      <c r="AG416" s="6">
        <f>IF((G412&lt;&gt;"")*(G416=""),IF((G412&lt;=$B$444)*((G413&gt;=$C$444)+(G413&lt;2/24)),1,0),0)</f>
        <v>0</v>
      </c>
      <c r="AH416" s="6">
        <f>IF((H412&lt;&gt;"")*(H416=""),IF((H412&lt;=$B$444)*((H413&gt;=$C$444)+(H413&lt;2/24)),1,0),0)</f>
        <v>0</v>
      </c>
      <c r="AI416" s="6">
        <f>IF((I412&lt;&gt;"")*(I416=""),IF((I412&lt;=$B$444)*((I413&gt;=$C$444)+(I413&lt;2/24)),1,0),0)</f>
        <v>0</v>
      </c>
      <c r="AJ416" s="6">
        <f>IF((J412&lt;&gt;"")*(J416=""),IF((J412&lt;=$B$444)*((J413&gt;=$C$444)+(J413&lt;2/24)),1,0),0)</f>
        <v>0</v>
      </c>
    </row>
    <row r="417" spans="1:36" ht="13.5" thickBot="1" x14ac:dyDescent="0.25">
      <c r="A417" s="41"/>
      <c r="B417" s="42"/>
      <c r="C417" s="35" t="s">
        <v>28</v>
      </c>
      <c r="D417" s="54"/>
      <c r="E417" s="36"/>
      <c r="F417" s="36"/>
      <c r="G417" s="36"/>
      <c r="H417" s="36"/>
      <c r="I417" s="36"/>
      <c r="J417" s="36"/>
      <c r="K417" s="34"/>
      <c r="L417" s="6"/>
      <c r="M417" s="25"/>
      <c r="N417" s="6"/>
      <c r="O417" s="6"/>
      <c r="P417" s="6"/>
      <c r="Q417" s="6"/>
      <c r="R417" s="6"/>
      <c r="S417" s="6"/>
      <c r="T417" s="6"/>
      <c r="U417" s="6"/>
      <c r="V417" s="20"/>
      <c r="W417" s="20"/>
      <c r="X417" s="20"/>
      <c r="Y417" s="20"/>
      <c r="Z417" s="20"/>
      <c r="AA417" s="20"/>
      <c r="AB417" s="20"/>
      <c r="AD417" s="6"/>
      <c r="AE417" s="6"/>
      <c r="AF417" s="6"/>
      <c r="AG417" s="6"/>
      <c r="AH417" s="6"/>
      <c r="AI417" s="6"/>
      <c r="AJ417" s="6"/>
    </row>
    <row r="418" spans="1:36" x14ac:dyDescent="0.2">
      <c r="A418" s="37" t="s">
        <v>119</v>
      </c>
      <c r="B418" s="38" t="s">
        <v>45</v>
      </c>
      <c r="C418" s="14" t="s">
        <v>0</v>
      </c>
      <c r="D418" s="26">
        <v>0.77083333333333337</v>
      </c>
      <c r="E418" s="26"/>
      <c r="F418" s="26"/>
      <c r="G418" s="26"/>
      <c r="H418" s="26"/>
      <c r="I418" s="26"/>
      <c r="J418" s="26"/>
      <c r="K418" s="16"/>
      <c r="L418" s="6"/>
      <c r="M418" s="21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D418" s="6">
        <f t="shared" ref="AD418:AJ418" si="365">IF((D418&lt;&gt;"")*(D422=""),IF((D418&lt;=$B$440)*((D419&gt;=$C$440)+(D419&lt;2/24)),1,0),0)</f>
        <v>0</v>
      </c>
      <c r="AE418" s="6">
        <f t="shared" si="365"/>
        <v>0</v>
      </c>
      <c r="AF418" s="6">
        <f t="shared" si="365"/>
        <v>0</v>
      </c>
      <c r="AG418" s="6">
        <f t="shared" si="365"/>
        <v>0</v>
      </c>
      <c r="AH418" s="6">
        <f t="shared" si="365"/>
        <v>0</v>
      </c>
      <c r="AI418" s="6">
        <f t="shared" si="365"/>
        <v>0</v>
      </c>
      <c r="AJ418" s="6">
        <f t="shared" si="365"/>
        <v>0</v>
      </c>
    </row>
    <row r="419" spans="1:36" x14ac:dyDescent="0.2">
      <c r="A419" s="39"/>
      <c r="B419" s="40"/>
      <c r="C419" s="15" t="s">
        <v>1</v>
      </c>
      <c r="D419" s="27">
        <v>0.95833333333333337</v>
      </c>
      <c r="E419" s="27"/>
      <c r="F419" s="27"/>
      <c r="G419" s="27"/>
      <c r="H419" s="27"/>
      <c r="I419" s="27"/>
      <c r="J419" s="27"/>
      <c r="K419" s="17"/>
      <c r="L419" s="6"/>
      <c r="M419" s="21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D419" s="6">
        <f t="shared" ref="AD419:AJ419" si="366">IF((D418&lt;&gt;"")*(D422=""),IF((D418&lt;=$B$441)*((D419&gt;=$C$441)+(D419&lt;2/24)),1,0),0)</f>
        <v>0</v>
      </c>
      <c r="AE419" s="6">
        <f t="shared" si="366"/>
        <v>0</v>
      </c>
      <c r="AF419" s="6">
        <f t="shared" si="366"/>
        <v>0</v>
      </c>
      <c r="AG419" s="6">
        <f t="shared" si="366"/>
        <v>0</v>
      </c>
      <c r="AH419" s="6">
        <f t="shared" si="366"/>
        <v>0</v>
      </c>
      <c r="AI419" s="6">
        <f t="shared" si="366"/>
        <v>0</v>
      </c>
      <c r="AJ419" s="6">
        <f t="shared" si="366"/>
        <v>0</v>
      </c>
    </row>
    <row r="420" spans="1:36" x14ac:dyDescent="0.2">
      <c r="A420" s="39"/>
      <c r="B420" s="40"/>
      <c r="C420" s="15" t="s">
        <v>2</v>
      </c>
      <c r="D420" s="4"/>
      <c r="E420" s="4"/>
      <c r="F420" s="4"/>
      <c r="G420" s="4"/>
      <c r="H420" s="4"/>
      <c r="I420" s="4"/>
      <c r="J420" s="4"/>
      <c r="K420" s="17"/>
      <c r="L420" s="6"/>
      <c r="M420" s="21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D420" s="6">
        <f t="shared" ref="AD420:AJ420" si="367">IF((D418&lt;&gt;"")*(D422=""),IF((D418&lt;=$B$442)*((D419&gt;=$C$442)+(D419&lt;2/24)),1,0),0)</f>
        <v>0</v>
      </c>
      <c r="AE420" s="6">
        <f t="shared" si="367"/>
        <v>0</v>
      </c>
      <c r="AF420" s="6">
        <f t="shared" si="367"/>
        <v>0</v>
      </c>
      <c r="AG420" s="6">
        <f t="shared" si="367"/>
        <v>0</v>
      </c>
      <c r="AH420" s="6">
        <f t="shared" si="367"/>
        <v>0</v>
      </c>
      <c r="AI420" s="6">
        <f t="shared" si="367"/>
        <v>0</v>
      </c>
      <c r="AJ420" s="6">
        <f t="shared" si="367"/>
        <v>0</v>
      </c>
    </row>
    <row r="421" spans="1:36" x14ac:dyDescent="0.2">
      <c r="A421" s="39"/>
      <c r="B421" s="40"/>
      <c r="C421" s="15" t="s">
        <v>3</v>
      </c>
      <c r="D421" s="43">
        <f t="shared" ref="D421:J421" si="368">IF(D418="","",IF(D419&gt;D418,(D419-D418-D420)*24,(1-D418-D420+D419)*24))</f>
        <v>4.5</v>
      </c>
      <c r="E421" s="43" t="str">
        <f t="shared" si="368"/>
        <v/>
      </c>
      <c r="F421" s="43" t="str">
        <f t="shared" si="368"/>
        <v/>
      </c>
      <c r="G421" s="43" t="str">
        <f t="shared" si="368"/>
        <v/>
      </c>
      <c r="H421" s="43" t="str">
        <f t="shared" si="368"/>
        <v/>
      </c>
      <c r="I421" s="43" t="str">
        <f t="shared" si="368"/>
        <v/>
      </c>
      <c r="J421" s="44" t="str">
        <f t="shared" si="368"/>
        <v/>
      </c>
      <c r="K421" s="18">
        <f>SUMIF(D422:J422,"",D421:J421)</f>
        <v>4.5</v>
      </c>
      <c r="L421" s="12">
        <f>SUM(D421:J421)</f>
        <v>4.5</v>
      </c>
      <c r="M421" s="24"/>
      <c r="N421" s="10">
        <f>IF(D422="",D421,0)</f>
        <v>4.5</v>
      </c>
      <c r="O421" s="10" t="str">
        <f>IF(E422="",E421,0)</f>
        <v/>
      </c>
      <c r="P421" s="10" t="str">
        <f t="shared" ref="P421" si="369">IF(F422="",F421,0)</f>
        <v/>
      </c>
      <c r="Q421" s="10" t="str">
        <f t="shared" ref="Q421" si="370">IF(G422="",G421,0)</f>
        <v/>
      </c>
      <c r="R421" s="10" t="str">
        <f t="shared" ref="R421" si="371">IF(H422="",H421,0)</f>
        <v/>
      </c>
      <c r="S421" s="10" t="str">
        <f t="shared" ref="S421" si="372">IF(I422="",I421,0)</f>
        <v/>
      </c>
      <c r="T421" s="10" t="str">
        <f t="shared" ref="T421" si="373">IF(J422="",J421,0)</f>
        <v/>
      </c>
      <c r="U421" s="10"/>
      <c r="V421" s="10">
        <f>D421</f>
        <v>4.5</v>
      </c>
      <c r="W421" s="10" t="str">
        <f>E421</f>
        <v/>
      </c>
      <c r="X421" s="10" t="str">
        <f t="shared" ref="X421" si="374">F421</f>
        <v/>
      </c>
      <c r="Y421" s="10" t="str">
        <f t="shared" ref="Y421" si="375">G421</f>
        <v/>
      </c>
      <c r="Z421" s="10" t="str">
        <f t="shared" ref="Z421" si="376">H421</f>
        <v/>
      </c>
      <c r="AA421" s="10" t="str">
        <f t="shared" ref="AA421" si="377">I421</f>
        <v/>
      </c>
      <c r="AB421" s="10" t="str">
        <f t="shared" ref="AB421" si="378">J421</f>
        <v/>
      </c>
      <c r="AD421" s="6">
        <f t="shared" ref="AD421:AJ421" si="379">IF((D418&lt;&gt;"")*(D422=""),IF((D418&lt;=$B$443)*((D419&gt;=$C$443)+(D419&lt;2/24)),1,0),0)</f>
        <v>1</v>
      </c>
      <c r="AE421" s="6">
        <f t="shared" si="379"/>
        <v>0</v>
      </c>
      <c r="AF421" s="6">
        <f t="shared" si="379"/>
        <v>0</v>
      </c>
      <c r="AG421" s="6">
        <f t="shared" si="379"/>
        <v>0</v>
      </c>
      <c r="AH421" s="6">
        <f t="shared" si="379"/>
        <v>0</v>
      </c>
      <c r="AI421" s="6">
        <f t="shared" si="379"/>
        <v>0</v>
      </c>
      <c r="AJ421" s="6">
        <f t="shared" si="379"/>
        <v>0</v>
      </c>
    </row>
    <row r="422" spans="1:36" x14ac:dyDescent="0.2">
      <c r="A422" s="39"/>
      <c r="B422" s="40"/>
      <c r="C422" s="32" t="s">
        <v>4</v>
      </c>
      <c r="D422" s="33"/>
      <c r="E422" s="53"/>
      <c r="F422" s="33"/>
      <c r="G422" s="33"/>
      <c r="H422" s="33"/>
      <c r="I422" s="33"/>
      <c r="J422" s="33"/>
      <c r="K422" s="17"/>
      <c r="L422" s="6"/>
      <c r="M422" s="25"/>
      <c r="N422" s="6"/>
      <c r="O422" s="6"/>
      <c r="P422" s="6"/>
      <c r="Q422" s="6"/>
      <c r="R422" s="6"/>
      <c r="S422" s="6"/>
      <c r="T422" s="6"/>
      <c r="U422" s="6"/>
      <c r="V422" s="20"/>
      <c r="W422" s="20"/>
      <c r="X422" s="20"/>
      <c r="Y422" s="20"/>
      <c r="Z422" s="20"/>
      <c r="AA422" s="20"/>
      <c r="AB422" s="20"/>
      <c r="AD422" s="6">
        <f t="shared" ref="AD422:AJ422" si="380">IF((D418&lt;&gt;"")*(D422=""),IF((D418&lt;=$B$444)*((D419&gt;=$C$444)+(D419&lt;2/24)),1,0),0)</f>
        <v>1</v>
      </c>
      <c r="AE422" s="6">
        <f t="shared" si="380"/>
        <v>0</v>
      </c>
      <c r="AF422" s="6">
        <f t="shared" si="380"/>
        <v>0</v>
      </c>
      <c r="AG422" s="6">
        <f t="shared" si="380"/>
        <v>0</v>
      </c>
      <c r="AH422" s="6">
        <f t="shared" si="380"/>
        <v>0</v>
      </c>
      <c r="AI422" s="6">
        <f t="shared" si="380"/>
        <v>0</v>
      </c>
      <c r="AJ422" s="6">
        <f t="shared" si="380"/>
        <v>0</v>
      </c>
    </row>
    <row r="423" spans="1:36" ht="13.5" thickBot="1" x14ac:dyDescent="0.25">
      <c r="A423" s="41"/>
      <c r="B423" s="42"/>
      <c r="C423" s="35" t="s">
        <v>28</v>
      </c>
      <c r="D423" s="93"/>
      <c r="E423" s="54"/>
      <c r="F423" s="93"/>
      <c r="G423" s="93"/>
      <c r="H423" s="93"/>
      <c r="I423" s="93"/>
      <c r="J423" s="93"/>
      <c r="K423" s="94"/>
      <c r="L423" s="6"/>
      <c r="M423" s="25"/>
      <c r="N423" s="6"/>
      <c r="O423" s="6"/>
      <c r="P423" s="6"/>
      <c r="Q423" s="6"/>
      <c r="R423" s="6"/>
      <c r="S423" s="6"/>
      <c r="T423" s="6"/>
      <c r="U423" s="6"/>
      <c r="V423" s="20"/>
      <c r="W423" s="20"/>
      <c r="X423" s="20"/>
      <c r="Y423" s="20"/>
      <c r="Z423" s="20"/>
      <c r="AA423" s="20"/>
      <c r="AB423" s="20"/>
      <c r="AD423" s="6"/>
      <c r="AE423" s="6"/>
      <c r="AF423" s="6"/>
      <c r="AG423" s="6"/>
      <c r="AH423" s="6"/>
      <c r="AI423" s="6"/>
      <c r="AJ423" s="6"/>
    </row>
    <row r="424" spans="1:36" x14ac:dyDescent="0.2">
      <c r="A424" s="37" t="s">
        <v>60</v>
      </c>
      <c r="B424" s="38" t="s">
        <v>51</v>
      </c>
      <c r="C424" s="14" t="s">
        <v>0</v>
      </c>
      <c r="D424" s="26"/>
      <c r="E424" s="26"/>
      <c r="F424" s="26"/>
      <c r="G424" s="26"/>
      <c r="H424" s="26"/>
      <c r="I424" s="26"/>
      <c r="J424" s="26"/>
      <c r="K424" s="16"/>
      <c r="L424" s="6"/>
      <c r="M424" s="25"/>
      <c r="N424" s="6"/>
      <c r="O424" s="6"/>
      <c r="P424" s="6"/>
      <c r="Q424" s="6"/>
      <c r="R424" s="6"/>
      <c r="S424" s="6"/>
      <c r="T424" s="6"/>
      <c r="U424" s="6"/>
      <c r="V424" s="20"/>
      <c r="W424" s="20"/>
      <c r="X424" s="20"/>
      <c r="Y424" s="20"/>
      <c r="Z424" s="20"/>
      <c r="AA424" s="20"/>
      <c r="AB424" s="20"/>
      <c r="AD424" s="6"/>
      <c r="AE424" s="6"/>
      <c r="AF424" s="6"/>
      <c r="AG424" s="6"/>
      <c r="AH424" s="6"/>
      <c r="AI424" s="6"/>
      <c r="AJ424" s="6"/>
    </row>
    <row r="425" spans="1:36" x14ac:dyDescent="0.2">
      <c r="A425" s="39"/>
      <c r="B425" s="40"/>
      <c r="C425" s="15" t="s">
        <v>1</v>
      </c>
      <c r="D425" s="27"/>
      <c r="E425" s="27"/>
      <c r="F425" s="27"/>
      <c r="G425" s="27"/>
      <c r="H425" s="27"/>
      <c r="I425" s="27"/>
      <c r="J425" s="27"/>
      <c r="K425" s="17"/>
      <c r="L425" s="6"/>
      <c r="M425" s="25"/>
      <c r="N425" s="6"/>
      <c r="O425" s="6"/>
      <c r="P425" s="6"/>
      <c r="Q425" s="6"/>
      <c r="R425" s="6"/>
      <c r="S425" s="6"/>
      <c r="T425" s="6"/>
      <c r="U425" s="6"/>
      <c r="V425" s="20"/>
      <c r="W425" s="20"/>
      <c r="X425" s="20"/>
      <c r="Y425" s="20"/>
      <c r="Z425" s="20"/>
      <c r="AA425" s="20"/>
      <c r="AB425" s="20"/>
      <c r="AD425" s="6"/>
      <c r="AE425" s="6"/>
      <c r="AF425" s="6"/>
      <c r="AG425" s="6"/>
      <c r="AH425" s="6"/>
      <c r="AI425" s="6"/>
      <c r="AJ425" s="6"/>
    </row>
    <row r="426" spans="1:36" x14ac:dyDescent="0.2">
      <c r="A426" s="39"/>
      <c r="B426" s="40"/>
      <c r="C426" s="15" t="s">
        <v>2</v>
      </c>
      <c r="D426" s="4"/>
      <c r="E426" s="4"/>
      <c r="F426" s="4"/>
      <c r="G426" s="4"/>
      <c r="H426" s="4"/>
      <c r="I426" s="4"/>
      <c r="J426" s="4"/>
      <c r="K426" s="17"/>
      <c r="L426" s="6"/>
      <c r="M426" s="25"/>
      <c r="N426" s="6"/>
      <c r="O426" s="6"/>
      <c r="P426" s="6"/>
      <c r="Q426" s="6"/>
      <c r="R426" s="6"/>
      <c r="S426" s="6"/>
      <c r="T426" s="6"/>
      <c r="U426" s="6"/>
      <c r="V426" s="20"/>
      <c r="W426" s="20"/>
      <c r="X426" s="20"/>
      <c r="Y426" s="20"/>
      <c r="Z426" s="20"/>
      <c r="AA426" s="20"/>
      <c r="AB426" s="20"/>
      <c r="AD426" s="6"/>
      <c r="AE426" s="6"/>
      <c r="AF426" s="6"/>
      <c r="AG426" s="6"/>
      <c r="AH426" s="6"/>
      <c r="AI426" s="6"/>
      <c r="AJ426" s="6"/>
    </row>
    <row r="427" spans="1:36" x14ac:dyDescent="0.2">
      <c r="A427" s="39"/>
      <c r="B427" s="40"/>
      <c r="C427" s="15" t="s">
        <v>3</v>
      </c>
      <c r="D427" s="43" t="str">
        <f t="shared" ref="D427:J427" si="381">IF(D424="","",IF(D425&gt;D424,(D425-D424-D426)*24,(1-D424-D426+D425)*24))</f>
        <v/>
      </c>
      <c r="E427" s="43" t="str">
        <f t="shared" si="381"/>
        <v/>
      </c>
      <c r="F427" s="43" t="str">
        <f t="shared" si="381"/>
        <v/>
      </c>
      <c r="G427" s="43" t="str">
        <f t="shared" si="381"/>
        <v/>
      </c>
      <c r="H427" s="43" t="str">
        <f t="shared" si="381"/>
        <v/>
      </c>
      <c r="I427" s="43" t="str">
        <f t="shared" si="381"/>
        <v/>
      </c>
      <c r="J427" s="44" t="str">
        <f t="shared" si="381"/>
        <v/>
      </c>
      <c r="K427" s="18">
        <f>SUMIF(D428:J428,"",D427:J427)</f>
        <v>0</v>
      </c>
      <c r="L427" s="12">
        <f>SUM(D427:J427)</f>
        <v>0</v>
      </c>
      <c r="M427" s="25"/>
      <c r="N427" s="6"/>
      <c r="O427" s="6"/>
      <c r="P427" s="6"/>
      <c r="Q427" s="6"/>
      <c r="R427" s="6"/>
      <c r="S427" s="6"/>
      <c r="T427" s="6"/>
      <c r="U427" s="6"/>
      <c r="V427" s="20"/>
      <c r="W427" s="20"/>
      <c r="X427" s="20"/>
      <c r="Y427" s="20"/>
      <c r="Z427" s="20"/>
      <c r="AA427" s="20"/>
      <c r="AB427" s="20"/>
      <c r="AD427" s="6"/>
      <c r="AE427" s="6"/>
      <c r="AF427" s="6"/>
      <c r="AG427" s="6"/>
      <c r="AH427" s="6"/>
      <c r="AI427" s="6"/>
      <c r="AJ427" s="6"/>
    </row>
    <row r="428" spans="1:36" x14ac:dyDescent="0.2">
      <c r="A428" s="39"/>
      <c r="B428" s="40"/>
      <c r="C428" s="32" t="s">
        <v>4</v>
      </c>
      <c r="D428" s="33"/>
      <c r="E428" s="53"/>
      <c r="F428" s="33"/>
      <c r="G428" s="33"/>
      <c r="H428" s="33"/>
      <c r="I428" s="33"/>
      <c r="J428" s="33"/>
      <c r="K428" s="17"/>
      <c r="L428" s="6"/>
      <c r="M428" s="25"/>
      <c r="N428" s="6"/>
      <c r="O428" s="6"/>
      <c r="P428" s="6"/>
      <c r="Q428" s="6"/>
      <c r="R428" s="6"/>
      <c r="S428" s="6"/>
      <c r="T428" s="6"/>
      <c r="U428" s="6"/>
      <c r="V428" s="20"/>
      <c r="W428" s="20"/>
      <c r="X428" s="20"/>
      <c r="Y428" s="20"/>
      <c r="Z428" s="20"/>
      <c r="AA428" s="20"/>
      <c r="AB428" s="20"/>
      <c r="AD428" s="6"/>
      <c r="AE428" s="6"/>
      <c r="AF428" s="6"/>
      <c r="AG428" s="6"/>
      <c r="AH428" s="6"/>
      <c r="AI428" s="6"/>
      <c r="AJ428" s="6"/>
    </row>
    <row r="429" spans="1:36" ht="13.5" thickBot="1" x14ac:dyDescent="0.25">
      <c r="A429" s="41"/>
      <c r="B429" s="42"/>
      <c r="C429" s="35" t="s">
        <v>28</v>
      </c>
      <c r="D429" s="54"/>
      <c r="E429" s="36"/>
      <c r="F429" s="36"/>
      <c r="G429" s="36"/>
      <c r="H429" s="36"/>
      <c r="I429" s="36"/>
      <c r="J429" s="36"/>
      <c r="K429" s="34"/>
      <c r="L429" s="6"/>
      <c r="M429" s="25"/>
      <c r="N429" s="6"/>
      <c r="O429" s="6"/>
      <c r="P429" s="6"/>
      <c r="Q429" s="6"/>
      <c r="R429" s="6"/>
      <c r="S429" s="6"/>
      <c r="T429" s="6"/>
      <c r="U429" s="6"/>
      <c r="V429" s="20"/>
      <c r="W429" s="20"/>
      <c r="X429" s="20"/>
      <c r="Y429" s="20"/>
      <c r="Z429" s="20"/>
      <c r="AA429" s="20"/>
      <c r="AB429" s="20"/>
      <c r="AD429" s="6"/>
      <c r="AE429" s="6"/>
      <c r="AF429" s="6"/>
      <c r="AG429" s="6"/>
      <c r="AH429" s="6"/>
      <c r="AI429" s="6"/>
      <c r="AJ429" s="6"/>
    </row>
    <row r="430" spans="1:36" x14ac:dyDescent="0.2">
      <c r="A430" s="6"/>
      <c r="B430" s="6"/>
      <c r="C430" s="6"/>
      <c r="D430" s="5"/>
      <c r="E430" s="5"/>
      <c r="F430" s="5"/>
      <c r="G430" s="5"/>
      <c r="H430" s="5"/>
      <c r="I430" s="5"/>
      <c r="J430" s="5"/>
      <c r="K430" s="5"/>
      <c r="L430" s="6"/>
    </row>
    <row r="431" spans="1:36" x14ac:dyDescent="0.2">
      <c r="A431" s="6"/>
      <c r="B431" s="6"/>
      <c r="C431" s="6"/>
      <c r="D431" s="5"/>
      <c r="E431" s="5"/>
      <c r="F431" s="5"/>
      <c r="G431" s="5"/>
      <c r="H431" s="5"/>
      <c r="I431" s="5"/>
      <c r="J431" s="5"/>
      <c r="K431" s="5"/>
      <c r="L431" s="6"/>
      <c r="M431" s="29" t="s">
        <v>26</v>
      </c>
      <c r="N431" s="29" t="s">
        <v>27</v>
      </c>
    </row>
    <row r="432" spans="1:36" x14ac:dyDescent="0.2">
      <c r="A432" s="6"/>
      <c r="B432" s="6"/>
      <c r="C432" s="7" t="s">
        <v>15</v>
      </c>
      <c r="D432" s="11">
        <f>SUM(V4:V224)</f>
        <v>0</v>
      </c>
      <c r="E432" s="11">
        <f>SUM(W4:W224)</f>
        <v>0</v>
      </c>
      <c r="F432" s="11">
        <f>SUM(X4:X224)</f>
        <v>0</v>
      </c>
      <c r="G432" s="11">
        <f>SUM(Y4:Y224)</f>
        <v>0</v>
      </c>
      <c r="H432" s="11">
        <f>SUM(Z4:Z224)</f>
        <v>0</v>
      </c>
      <c r="I432" s="11">
        <f>SUM(AA4:AA224)</f>
        <v>0</v>
      </c>
      <c r="J432" s="11">
        <f>SUM(AB4:AB224)</f>
        <v>0</v>
      </c>
      <c r="K432" s="12"/>
      <c r="L432" s="12">
        <f>SUM(L4:L431)</f>
        <v>157</v>
      </c>
      <c r="M432" s="28">
        <f>+D432+E432+F432+G432+H432+I432+J432</f>
        <v>0</v>
      </c>
      <c r="N432" s="28">
        <f>+L432-M432</f>
        <v>157</v>
      </c>
    </row>
    <row r="433" spans="1:14" x14ac:dyDescent="0.2">
      <c r="A433" s="6"/>
      <c r="B433" s="6"/>
      <c r="C433" s="7" t="s">
        <v>16</v>
      </c>
      <c r="D433" s="11">
        <f>SUM(N4:N224)</f>
        <v>0</v>
      </c>
      <c r="E433" s="11">
        <f>SUM(O4:O224)</f>
        <v>0</v>
      </c>
      <c r="F433" s="11">
        <f>SUM(P4:P224)</f>
        <v>0</v>
      </c>
      <c r="G433" s="11">
        <f>SUM(Q4:Q224)</f>
        <v>0</v>
      </c>
      <c r="H433" s="11">
        <f>SUM(R4:R224)</f>
        <v>0</v>
      </c>
      <c r="I433" s="11">
        <f>SUM(S4:S224)</f>
        <v>0</v>
      </c>
      <c r="J433" s="11">
        <f>SUM(T4:T224)</f>
        <v>0</v>
      </c>
      <c r="K433" s="11">
        <f>SUM(K4:K224)</f>
        <v>0</v>
      </c>
      <c r="L433" s="12"/>
      <c r="M433" s="28">
        <f>+D433+E433+F433+G433+H433+I433+J433</f>
        <v>0</v>
      </c>
      <c r="N433" s="28">
        <f>+K433-M433</f>
        <v>0</v>
      </c>
    </row>
    <row r="434" spans="1:14" x14ac:dyDescent="0.2">
      <c r="A434" s="6"/>
      <c r="B434" s="6"/>
      <c r="C434" s="6"/>
      <c r="D434" s="5"/>
      <c r="E434" s="5"/>
      <c r="F434" s="5"/>
      <c r="G434" s="5"/>
      <c r="H434" s="5"/>
      <c r="I434" s="5"/>
      <c r="J434" s="5"/>
      <c r="K434" s="5"/>
      <c r="L434" s="6"/>
    </row>
    <row r="435" spans="1:14" hidden="1" x14ac:dyDescent="0.2">
      <c r="A435" s="6"/>
      <c r="B435" s="6"/>
      <c r="C435" s="7" t="s">
        <v>17</v>
      </c>
      <c r="D435" s="11"/>
      <c r="E435" s="11"/>
      <c r="F435" s="11"/>
      <c r="G435" s="11"/>
      <c r="H435" s="11"/>
      <c r="I435" s="11"/>
      <c r="J435" s="11"/>
      <c r="K435" s="11">
        <f>SUM(D435:J435)</f>
        <v>0</v>
      </c>
      <c r="L435" s="13"/>
    </row>
    <row r="436" spans="1:14" hidden="1" x14ac:dyDescent="0.2">
      <c r="A436" s="6"/>
      <c r="B436" s="6"/>
      <c r="C436" s="6"/>
      <c r="D436" s="5"/>
      <c r="E436" s="5"/>
      <c r="F436" s="5"/>
      <c r="G436" s="5"/>
      <c r="H436" s="5"/>
      <c r="I436" s="5"/>
      <c r="J436" s="5"/>
      <c r="K436" s="5"/>
      <c r="L436" s="6"/>
    </row>
    <row r="437" spans="1:14" hidden="1" x14ac:dyDescent="0.2">
      <c r="A437" s="6"/>
      <c r="B437" s="6"/>
      <c r="C437" s="7" t="s">
        <v>18</v>
      </c>
      <c r="D437" s="9">
        <f t="shared" ref="D437:K437" si="382">D435-D433</f>
        <v>0</v>
      </c>
      <c r="E437" s="9">
        <f t="shared" si="382"/>
        <v>0</v>
      </c>
      <c r="F437" s="9">
        <f t="shared" si="382"/>
        <v>0</v>
      </c>
      <c r="G437" s="9">
        <f t="shared" si="382"/>
        <v>0</v>
      </c>
      <c r="H437" s="9">
        <f t="shared" si="382"/>
        <v>0</v>
      </c>
      <c r="I437" s="9">
        <f t="shared" si="382"/>
        <v>0</v>
      </c>
      <c r="J437" s="9">
        <f t="shared" si="382"/>
        <v>0</v>
      </c>
      <c r="K437" s="9">
        <f t="shared" si="382"/>
        <v>0</v>
      </c>
      <c r="L437" s="6"/>
    </row>
    <row r="439" spans="1:14" x14ac:dyDescent="0.2">
      <c r="B439" s="5" t="s">
        <v>19</v>
      </c>
      <c r="C439" s="5" t="s">
        <v>20</v>
      </c>
      <c r="D439" s="5"/>
      <c r="E439" s="5"/>
      <c r="F439" s="5"/>
      <c r="G439" s="5"/>
      <c r="H439" s="5"/>
      <c r="I439" s="5"/>
      <c r="J439" s="5"/>
    </row>
    <row r="440" spans="1:14" x14ac:dyDescent="0.2">
      <c r="B440" s="8">
        <v>0.4375</v>
      </c>
      <c r="C440" s="8">
        <v>0.5625</v>
      </c>
      <c r="D440" s="5" t="e">
        <f>#REF!+#REF!+#REF!+#REF!+#REF!+#REF!+AD5+AD10+AD15+AD20+AD25+AD30+AD35+AD40+AD45+AD50+AD55+AD60+AD65+AD70+AD75+AD80+AD85+AD90+AD95+AD100+AD105+AD110+AD115+AD120+AD125+AD130+AD135+AD140+AD145+AD150+AD155+AD160+AD165+AD170+AD175+AD180+AD185+AD190+AD195+AD200+AD205+AD210+AD215+AD220</f>
        <v>#REF!</v>
      </c>
      <c r="E440" s="5" t="e">
        <f>#REF!+#REF!+#REF!+#REF!+#REF!+#REF!+AE5+AE10+AE15+AE20+AE25+AE30+AE35+AE40+AE45+AE50+AE55+AE60+AE65+AE70+AE75+AE80+AE85+AE90+AE95+AE100+AE105+AE110+AE115+AE120+AE125+AE130+AE135+AE140+AE145+AE150+AE155+AE160+AE165+AE170+AE175+AE180+AE185+AE190+AE195+AE200+AE205+AE210+AE215+AE220</f>
        <v>#REF!</v>
      </c>
      <c r="F440" s="5" t="e">
        <f>#REF!+#REF!+#REF!+#REF!+#REF!+#REF!+AF5+AF10+AF15+AF20+AF25+AF30+AF35+AF40+AF45+AF50+AF55+AF60+AF65+AF70+AF75+AF80+AF85+AF90+AF95+AF100+AF105+AF110+AF115+AF120+AF125+AF130+AF135+AF140+AF145+AF150+AF155+AF160+AF165+AF170+AF175+AF180+AF185+AF190+AF195+AF200+AF205+AF210+AF215+AF220</f>
        <v>#REF!</v>
      </c>
      <c r="G440" s="5" t="e">
        <f>#REF!+#REF!+#REF!+#REF!+#REF!+#REF!+AG5+AG10+AG15+AG20+AG25+AG30+AG35+AG40+AG45+AG50+AG55+AG60+AG65+AG70+AG75+AG80+AG85+AG90+AG95+AG100+AG105+AG110+AG115+AG120+AG125+AG130+AG135+AG140+AG145+AG150+AG155+AG160+AG165+AG170+AG175+AG180+AG185+AG190+AG195+AG200+AG205+AG210+AG215+AG220</f>
        <v>#REF!</v>
      </c>
      <c r="H440" s="5" t="e">
        <f>#REF!+#REF!+#REF!+#REF!+#REF!+#REF!+AH5+AH10+AH15+AH20+AH25+AH30+AH35+AH40+AH45+AH50+AH55+AH60+AH65+AH70+AH75+AH80+AH85+AH90+AH95+AH100+AH105+AH110+AH115+AH120+AH125+AH130+AH135+AH140+AH145+AH150+AH155+AH160+AH165+AH170+AH175+AH180+AH185+AH190+AH195+AH200+AH205+AH210+AH215+AH220</f>
        <v>#REF!</v>
      </c>
      <c r="I440" s="5" t="e">
        <f>#REF!+#REF!+#REF!+#REF!+#REF!+#REF!+AI5+AI10+AI15+AI20+AI25+AI30+AI35+AI40+AI45+AI50+AI55+AI60+AI65+AI70+AI75+AI80+AI85+AI90+AI95+AI100+AI105+AI110+AI115+AI120+AI125+AI130+AI135+AI140+AI145+AI150+AI155+AI160+AI165+AI170+AI175+AI180+AI185+AI190+AI195+AI200+AI205+AI210+AI215+AI220</f>
        <v>#REF!</v>
      </c>
      <c r="J440" s="5" t="e">
        <f>#REF!+#REF!+#REF!+#REF!+#REF!+#REF!+AJ5+AJ10+AJ15+AJ20+AJ25+AJ30+AJ35+AJ40+AJ45+AJ50+AJ55+AJ60+AJ65+AJ70+AJ75+AJ80+AJ85+AJ90+AJ95+AJ100+AJ105+AJ110+AJ115+AJ120+AJ125+AJ130+AJ135+AJ140+AJ145+AJ150+AJ155+AJ160+AJ165+AJ170+AJ175+AJ180+AJ185+AJ190+AJ195+AJ200+AJ205+AJ210+AJ215+AJ220</f>
        <v>#REF!</v>
      </c>
    </row>
    <row r="441" spans="1:14" x14ac:dyDescent="0.2">
      <c r="B441" s="8">
        <v>0.5625</v>
      </c>
      <c r="C441" s="8">
        <v>0.66666666666666663</v>
      </c>
      <c r="D441" s="5" t="e">
        <f>#REF!+#REF!+#REF!+#REF!+#REF!+#REF!+AD6+AD11+AD16+AD21+AD26+AD31+AD36+AD41+AD46+AD51+AD56+AD61+AD66+AD71+AD76+AD81+AD86+AD91+AD96+AD101+AD106+AD111+AD116+AD121+AD126+AD131+AD136+AD141+AD146+AD151+AD156+AD161+AD166+AD171+AD176+AD181+AD186+AD191+AD196+AD201+AD206+AD211+AD216+AD221</f>
        <v>#REF!</v>
      </c>
      <c r="E441" s="5" t="e">
        <f>#REF!+#REF!+#REF!+#REF!+#REF!+#REF!+AE6+AE11+AE16+AE21+AE26+AE31+AE36+AE41+AE46+AE51+AE56+AE61+AE66+AE71+AE76+AE81+AE86+AE91+AE96+AE101+AE106+AE111+AE116+AE121+AE126+AE131+AE136+AE141+AE146+AE151+AE156+AE161+AE166+AE171+AE176+AE181+AE186+AE191+AE196+AE201+AE206+AE211+AE216+AE221</f>
        <v>#REF!</v>
      </c>
      <c r="F441" s="5" t="e">
        <f>#REF!+#REF!+#REF!+#REF!+#REF!+#REF!+AF6+AF11+AF16+AF21+AF26+AF31+AF36+AF41+AF46+AF51+AF56+AF61+AF66+AF71+AF76+AF81+AF86+AF91+AF96+AF101+AF106+AF111+AF116+AF121+AF126+AF131+AF136+AF141+AF146+AF151+AF156+AF161+AF166+AF171+AF176+AF181+AF186+AF191+AF196+AF201+AF206+AF211+AF216+AF221</f>
        <v>#REF!</v>
      </c>
      <c r="G441" s="5" t="e">
        <f>#REF!+#REF!+#REF!+#REF!+#REF!+#REF!+AG6+AG11+AG16+AG21+AG26+AG31+AG36+AG41+AG46+AG51+AG56+AG61+AG66+AG71+AG76+AG81+AG86+AG91+AG96+AG101+AG106+AG111+AG116+AG121+AG126+AG131+AG136+AG141+AG146+AG151+AG156+AG161+AG166+AG171+AG176+AG181+AG186+AG191+AG196+AG201+AG206+AG211+AG216+AG221</f>
        <v>#REF!</v>
      </c>
      <c r="H441" s="5" t="e">
        <f>#REF!+#REF!+#REF!+#REF!+#REF!+#REF!+AH6+AH11+AH16+AH21+AH26+AH31+AH36+AH41+AH46+AH51+AH56+AH61+AH66+AH71+AH76+AH81+AH86+AH91+AH96+AH101+AH106+AH111+AH116+AH121+AH126+AH131+AH136+AH141+AH146+AH151+AH156+AH161+AH166+AH171+AH176+AH181+AH186+AH191+AH196+AH201+AH206+AH211+AH216+AH221</f>
        <v>#REF!</v>
      </c>
      <c r="I441" s="5" t="e">
        <f>#REF!+#REF!+#REF!+#REF!+#REF!+#REF!+AI6+AI11+AI16+AI21+AI26+AI31+AI36+AI41+AI46+AI51+AI56+AI61+AI66+AI71+AI76+AI81+AI86+AI91+AI96+AI101+AI106+AI111+AI116+AI121+AI126+AI131+AI136+AI141+AI146+AI151+AI156+AI161+AI166+AI171+AI176+AI181+AI186+AI191+AI196+AI201+AI206+AI211+AI216+AI221</f>
        <v>#REF!</v>
      </c>
      <c r="J441" s="5" t="e">
        <f>#REF!+#REF!+#REF!+#REF!+#REF!+#REF!+AJ6+AJ11+AJ16+AJ21+AJ26+AJ31+AJ36+AJ41+AJ46+AJ51+AJ56+AJ61+AJ66+AJ71+AJ76+AJ81+AJ86+AJ91+AJ96+AJ101+AJ106+AJ111+AJ116+AJ121+AJ126+AJ131+AJ136+AJ141+AJ146+AJ151+AJ156+AJ161+AJ166+AJ171+AJ176+AJ181+AJ186+AJ191+AJ196+AJ201+AJ206+AJ211+AJ216+AJ221</f>
        <v>#REF!</v>
      </c>
    </row>
    <row r="442" spans="1:14" x14ac:dyDescent="0.2">
      <c r="B442" s="8">
        <v>0.66666666666666663</v>
      </c>
      <c r="C442" s="8">
        <v>0.72916666666666663</v>
      </c>
      <c r="D442" s="5" t="e">
        <f>#REF!+#REF!+#REF!+#REF!+#REF!+#REF!+AD7+AD12+AD17+AD22+AD27+AD32+AD37+AD42+AD47+AD52+AD57+AD62+AD67+AD72+AD77+AD82+AD87+AD92+AD97+AD102+AD107+AD112+AD117+AD122+AD127+AD132+AD137+AD142+AD147+AD152+AD157+AD162+AD167+AD172+AD177+AD182+AD187+AD192+AD197+AD202+AD207+AD212+AD217+AD222</f>
        <v>#REF!</v>
      </c>
      <c r="E442" s="5" t="e">
        <f>#REF!+#REF!+#REF!+#REF!+#REF!+#REF!+AE7+AE12+AE17+AE22+AE27+AE32+AE37+AE42+AE47+AE52+AE57+AE62+AE67+AE72+AE77+AE82+AE87+AE92+AE97+AE102+AE107+AE112+AE117+AE122+AE127+AE132+AE137+AE142+AE147+AE152+AE157+AE162+AE167+AE172+AE177+AE182+AE187+AE192+AE197+AE202+AE207+AE212+AE217+AE222</f>
        <v>#REF!</v>
      </c>
      <c r="F442" s="5" t="e">
        <f>#REF!+#REF!+#REF!+#REF!+#REF!+#REF!+AF7+AF12+AF17+AF22+AF27+AF32+AF37+AF42+AF47+AF52+AF57+AF62+AF67+AF72+AF77+AF82+AF87+AF92+AF97+AF102+AF107+AF112+AF117+AF122+AF127+AF132+AF137+AF142+AF147+AF152+AF157+AF162+AF167+AF172+AF177+AF182+AF187+AF192+AF197+AF202+AF207+AF212+AF217+AF222</f>
        <v>#REF!</v>
      </c>
      <c r="G442" s="5" t="e">
        <f>#REF!+#REF!+#REF!+#REF!+#REF!+#REF!+AG7+AG12+AG17+AG22+AG27+AG32+AG37+AG42+AG47+AG52+AG57+AG62+AG67+AG72+AG77+AG82+AG87+AG92+AG97+AG102+AG107+AG112+AG117+AG122+AG127+AG132+AG137+AG142+AG147+AG152+AG157+AG162+AG167+AG172+AG177+AG182+AG187+AG192+AG197+AG202+AG207+AG212+AG217+AG222</f>
        <v>#REF!</v>
      </c>
      <c r="H442" s="5" t="e">
        <f>#REF!+#REF!+#REF!+#REF!+#REF!+#REF!+AH7+AH12+AH17+AH22+AH27+AH32+AH37+AH42+AH47+AH52+AH57+AH62+AH67+AH72+AH77+AH82+AH87+AH92+AH97+AH102+AH107+AH112+AH117+AH122+AH127+AH132+AH137+AH142+AH147+AH152+AH157+AH162+AH167+AH172+AH177+AH182+AH187+AH192+AH197+AH202+AH207+AH212+AH217+AH222</f>
        <v>#REF!</v>
      </c>
      <c r="I442" s="5" t="e">
        <f>#REF!+#REF!+#REF!+#REF!+#REF!+#REF!+AI7+AI12+AI17+AI22+AI27+AI32+AI37+AI42+AI47+AI52+AI57+AI62+AI67+AI72+AI77+AI82+AI87+AI92+AI97+AI102+AI107+AI112+AI117+AI122+AI127+AI132+AI137+AI142+AI147+AI152+AI157+AI162+AI167+AI172+AI177+AI182+AI187+AI192+AI197+AI202+AI207+AI212+AI217+AI222</f>
        <v>#REF!</v>
      </c>
      <c r="J442" s="5" t="e">
        <f>#REF!+#REF!+#REF!+#REF!+#REF!+#REF!+AJ7+AJ12+AJ17+AJ22+AJ27+AJ32+AJ37+AJ42+AJ47+AJ52+AJ57+AJ62+AJ67+AJ72+AJ77+AJ82+AJ87+AJ92+AJ97+AJ102+AJ107+AJ112+AJ117+AJ122+AJ127+AJ132+AJ137+AJ142+AJ147+AJ152+AJ157+AJ162+AJ167+AJ172+AJ177+AJ182+AJ187+AJ192+AJ197+AJ202+AJ207+AJ212+AJ217+AJ222</f>
        <v>#REF!</v>
      </c>
    </row>
    <row r="443" spans="1:14" x14ac:dyDescent="0.2">
      <c r="B443" s="8">
        <v>0.79166666666666663</v>
      </c>
      <c r="C443" s="8">
        <v>0.85416666666666663</v>
      </c>
      <c r="D443" s="5" t="e">
        <f>#REF!+#REF!+#REF!+#REF!+#REF!+#REF!+AD8+AD13+AD18+AD23+AD28+AD33+AD38+AD43+AD48+AD53+AD58+AD63+AD68+AD73+AD78+AD83+AD88+AD93+AD98+AD103+AD108+AD113+AD118+AD123+AD128+AD133+AD138+AD143+AD148+AD153+AD158+AD163+AD168+AD173+AD178+AD183+AD188+AD193+AD198+AD203+AD208+AD213+AD218+AD224</f>
        <v>#REF!</v>
      </c>
      <c r="E443" s="5" t="e">
        <f>#REF!+#REF!+#REF!+#REF!+#REF!+#REF!+AE8+AE13+AE18+AE23+AE28+AE33+AE38+AE43+AE48+AE53+AE58+AE63+AE68+AE73+AE78+AE83+AE88+AE93+AE98+AE103+AE108+AE113+AE118+AE123+AE128+AE133+AE138+AE143+AE148+AE153+AE158+AE163+AE168+AE173+AE178+AE183+AE188+AE193+AE198+AE203+AE208+AE213+AE218+AE224</f>
        <v>#REF!</v>
      </c>
      <c r="F443" s="5" t="e">
        <f>#REF!+#REF!+#REF!+#REF!+#REF!+#REF!+AF8+AF13+AF18+AF23+AF28+AF33+AF38+AF43+AF48+AF53+AF58+AF63+AF68+AF73+AF78+AF83+AF88+AF93+AF98+AF103+AF108+AF113+AF118+AF123+AF128+AF133+AF138+AF143+AF148+AF153+AF158+AF163+AF168+AF173+AF178+AF183+AF188+AF193+AF198+AF203+AF208+AF213+AF218+AF224</f>
        <v>#REF!</v>
      </c>
      <c r="G443" s="5" t="e">
        <f>#REF!+#REF!+#REF!+#REF!+#REF!+#REF!+AG8+AG13+AG18+AG23+AG28+AG33+AG38+AG43+AG48+AG53+AG58+AG63+AG68+AG73+AG78+AG83+AG88+AG93+AG98+AG103+AG108+AG113+AG118+AG123+AG128+AG133+AG138+AG143+AG148+AG153+AG158+AG163+AG168+AG173+AG178+AG183+AG188+AG193+AG198+AG203+AG208+AG213+AG218+AG224</f>
        <v>#REF!</v>
      </c>
      <c r="H443" s="5" t="e">
        <f>#REF!+#REF!+#REF!+#REF!+#REF!+#REF!+AH8+AH13+AH18+AH23+AH28+AH33+AH38+AH43+AH48+AH53+AH58+AH63+AH68+AH73+AH78+AH83+AH88+AH93+AH98+AH103+AH108+AH113+AH118+AH123+AH128+AH133+AH138+AH143+AH148+AH153+AH158+AH163+AH168+AH173+AH178+AH183+AH188+AH193+AH198+AH203+AH208+AH213+AH218+AH224</f>
        <v>#REF!</v>
      </c>
      <c r="I443" s="5" t="e">
        <f>#REF!+#REF!+#REF!+#REF!+#REF!+#REF!+AI8+AI13+AI18+AI23+AI28+AI33+AI38+AI43+AI48+AI53+AI58+AI63+AI68+AI73+AI78+AI83+AI88+AI93+AI98+AI103+AI108+AI113+AI118+AI123+AI128+AI133+AI138+AI143+AI148+AI153+AI158+AI163+AI168+AI173+AI178+AI183+AI188+AI193+AI198+AI203+AI208+AI213+AI218+AI224</f>
        <v>#REF!</v>
      </c>
      <c r="J443" s="5" t="e">
        <f>#REF!+#REF!+#REF!+#REF!+#REF!+#REF!+AJ8+AJ13+AJ18+AJ23+AJ28+AJ33+AJ38+AJ43+AJ48+AJ53+AJ58+AJ63+AJ68+AJ73+AJ78+AJ83+AJ88+AJ93+AJ98+AJ103+AJ108+AJ113+AJ118+AJ123+AJ128+AJ133+AJ138+AJ143+AJ148+AJ153+AJ158+AJ163+AJ168+AJ173+AJ178+AJ183+AJ188+AJ193+AJ198+AJ203+AJ208+AJ213+AJ218+AJ224</f>
        <v>#REF!</v>
      </c>
    </row>
    <row r="444" spans="1:14" x14ac:dyDescent="0.2">
      <c r="B444" s="8">
        <v>0.85416666666666663</v>
      </c>
      <c r="C444" s="8">
        <v>0.92708333333333337</v>
      </c>
      <c r="D444" s="5" t="e">
        <f>#REF!+#REF!+#REF!+#REF!+#REF!+AD4+AD9+AD14+AD19+AD24+AD29+AD34+AD39+AD44+AD49+AD54+AD59+AD64+AD69+AD74+AD79+AD84+AD89+AD94+AD99+AD104+AD109+AD114+AD119+AD124+AD129+AD134+AD139+AD144+AD149+AD154+AD159+AD164+AD169+AD174+AD179+AD184+AD189+AD194+AD199+AD204+AD209+AD214+AD219+AD225</f>
        <v>#REF!</v>
      </c>
      <c r="E444" s="5" t="e">
        <f>#REF!+#REF!+#REF!+#REF!+#REF!+AE4+AE9+AE14+AE19+AE24+AE29+AE34+AE39+AE44+AE49+AE54+AE59+AE64+AE69+AE74+AE79+AE84+AE89+AE94+AE99+AE104+AE109+AE114+AE119+AE124+AE129+AE134+AE139+AE144+AE149+AE154+AE159+AE164+AE169+AE174+AE179+AE184+AE189+AE194+AE199+AE204+AE209+AE214+AE219+AE225</f>
        <v>#REF!</v>
      </c>
      <c r="F444" s="5" t="e">
        <f>#REF!+#REF!+#REF!+#REF!+#REF!+AF4+AF9+AF14+AF19+AF24+AF29+AF34+AF39+AF44+AF49+AF54+AF59+AF64+AF69+AF74+AF79+AF84+AF89+AF94+AF99+AF104+AF109+AF114+AF119+AF124+AF129+AF134+AF139+AF144+AF149+AF154+AF159+AF164+AF169+AF174+AF179+AF184+AF189+AF194+AF199+AF204+AF209+AF214+AF219+AF225</f>
        <v>#REF!</v>
      </c>
      <c r="G444" s="5" t="e">
        <f>#REF!+#REF!+#REF!+#REF!+#REF!+AG4+AG9+AG14+AG19+AG24+AG29+AG34+AG39+AG44+AG49+AG54+AG59+AG64+AG69+AG74+AG79+AG84+AG89+AG94+AG99+AG104+AG109+AG114+AG119+AG124+AG129+AG134+AG139+AG144+AG149+AG154+AG159+AG164+AG169+AG174+AG179+AG184+AG189+AG194+AG199+AG204+AG209+AG214+AG219+AG225</f>
        <v>#REF!</v>
      </c>
      <c r="H444" s="5" t="e">
        <f>#REF!+#REF!+#REF!+#REF!+#REF!+AH4+AH9+AH14+AH19+AH24+AH29+AH34+AH39+AH44+AH49+AH54+AH59+AH64+AH69+AH74+AH79+AH84+AH89+AH94+AH99+AH104+AH109+AH114+AH119+AH124+AH129+AH134+AH139+AH144+AH149+AH154+AH159+AH164+AH169+AH174+AH179+AH184+AH189+AH194+AH199+AH204+AH209+AH214+AH219+AH225</f>
        <v>#REF!</v>
      </c>
      <c r="I444" s="5" t="e">
        <f>#REF!+#REF!+#REF!+#REF!+#REF!+AI4+AI9+AI14+AI19+AI24+AI29+AI34+AI39+AI44+AI49+AI54+AI59+AI64+AI69+AI74+AI79+AI84+AI89+AI94+AI99+AI104+AI109+AI114+AI119+AI124+AI129+AI134+AI139+AI144+AI149+AI154+AI159+AI164+AI169+AI174+AI179+AI184+AI189+AI194+AI199+AI204+AI209+AI214+AI219+AI225</f>
        <v>#REF!</v>
      </c>
      <c r="J444" s="5" t="e">
        <f>#REF!+#REF!+#REF!+#REF!+#REF!+AJ4+AJ9+AJ14+AJ19+AJ24+AJ29+AJ34+AJ39+AJ44+AJ49+AJ54+AJ59+AJ64+AJ69+AJ74+AJ79+AJ84+AJ89+AJ94+AJ99+AJ104+AJ109+AJ114+AJ119+AJ124+AJ129+AJ134+AJ139+AJ144+AJ149+AJ154+AJ159+AJ164+AJ169+AJ174+AJ179+AJ184+AJ189+AJ194+AJ199+AJ204+AJ209+AJ214+AJ219+AJ225</f>
        <v>#REF!</v>
      </c>
    </row>
    <row r="446" spans="1:14" hidden="1" x14ac:dyDescent="0.2">
      <c r="C446" s="46" t="s">
        <v>31</v>
      </c>
      <c r="D446" s="22">
        <v>100</v>
      </c>
      <c r="E446" s="22"/>
      <c r="F446" s="22"/>
      <c r="G446" s="22"/>
      <c r="H446" s="22"/>
      <c r="I446" s="22"/>
      <c r="J446" s="22"/>
      <c r="K446" s="22">
        <f>J446+I446+H446+G446+F446+E446+D446</f>
        <v>100</v>
      </c>
    </row>
    <row r="447" spans="1:14" hidden="1" x14ac:dyDescent="0.2"/>
    <row r="448" spans="1:14" hidden="1" x14ac:dyDescent="0.2">
      <c r="C448" s="46" t="s">
        <v>33</v>
      </c>
      <c r="D448" s="23" t="e">
        <f t="shared" ref="D448:K448" si="383">D446/D433</f>
        <v>#DIV/0!</v>
      </c>
      <c r="E448" s="23" t="e">
        <f t="shared" si="383"/>
        <v>#DIV/0!</v>
      </c>
      <c r="F448" s="23" t="e">
        <f t="shared" si="383"/>
        <v>#DIV/0!</v>
      </c>
      <c r="G448" s="23" t="e">
        <f t="shared" si="383"/>
        <v>#DIV/0!</v>
      </c>
      <c r="H448" s="23" t="e">
        <f t="shared" si="383"/>
        <v>#DIV/0!</v>
      </c>
      <c r="I448" s="23" t="e">
        <f t="shared" si="383"/>
        <v>#DIV/0!</v>
      </c>
      <c r="J448" s="23" t="e">
        <f t="shared" si="383"/>
        <v>#DIV/0!</v>
      </c>
      <c r="K448" s="23" t="e">
        <f t="shared" si="383"/>
        <v>#DIV/0!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9"/>
  <sheetViews>
    <sheetView zoomScale="80" zoomScaleNormal="80" workbookViewId="0">
      <selection activeCell="K2" sqref="K2"/>
    </sheetView>
  </sheetViews>
  <sheetFormatPr defaultRowHeight="12.75" x14ac:dyDescent="0.2"/>
  <cols>
    <col min="1" max="1" width="14" customWidth="1"/>
    <col min="2" max="2" width="18.42578125" customWidth="1"/>
    <col min="5" max="10" width="0" hidden="1" customWidth="1"/>
  </cols>
  <sheetData>
    <row r="1" spans="1:11" x14ac:dyDescent="0.2">
      <c r="A1" s="50" t="s">
        <v>34</v>
      </c>
      <c r="B1" s="49"/>
      <c r="C1" s="6"/>
      <c r="D1" s="62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</row>
    <row r="2" spans="1:11" ht="13.5" thickBot="1" x14ac:dyDescent="0.25">
      <c r="A2" s="29"/>
      <c r="B2" s="48"/>
      <c r="C2" s="6"/>
      <c r="D2" s="31">
        <v>45504</v>
      </c>
      <c r="E2" s="31">
        <v>45498</v>
      </c>
      <c r="F2" s="31">
        <v>45499</v>
      </c>
      <c r="G2" s="31">
        <v>45500</v>
      </c>
      <c r="H2" s="31">
        <v>45501</v>
      </c>
      <c r="I2" s="31">
        <v>45502</v>
      </c>
      <c r="J2" s="31">
        <v>45503</v>
      </c>
      <c r="K2" s="5" t="s">
        <v>6</v>
      </c>
    </row>
    <row r="3" spans="1:11" ht="13.5" thickBot="1" x14ac:dyDescent="0.25">
      <c r="A3" s="6" t="s">
        <v>30</v>
      </c>
      <c r="B3" s="6" t="s">
        <v>35</v>
      </c>
      <c r="C3" s="6"/>
      <c r="D3" s="65"/>
      <c r="E3" s="65"/>
      <c r="F3" s="65"/>
      <c r="G3" s="65"/>
      <c r="H3" s="65"/>
      <c r="I3" s="65"/>
      <c r="J3" s="65"/>
      <c r="K3" s="5"/>
    </row>
    <row r="4" spans="1:11" x14ac:dyDescent="0.2">
      <c r="A4" s="37" t="s">
        <v>89</v>
      </c>
      <c r="B4" s="38" t="s">
        <v>90</v>
      </c>
      <c r="C4" s="14" t="s">
        <v>0</v>
      </c>
      <c r="D4" s="26"/>
      <c r="E4" s="26"/>
      <c r="F4" s="26"/>
      <c r="G4" s="26"/>
      <c r="H4" s="26"/>
      <c r="I4" s="26"/>
      <c r="J4" s="26"/>
      <c r="K4" s="16"/>
    </row>
    <row r="5" spans="1:11" x14ac:dyDescent="0.2">
      <c r="A5" s="39"/>
      <c r="B5" s="40"/>
      <c r="C5" s="15" t="s">
        <v>1</v>
      </c>
      <c r="D5" s="27"/>
      <c r="E5" s="27"/>
      <c r="F5" s="27"/>
      <c r="G5" s="27"/>
      <c r="H5" s="27"/>
      <c r="I5" s="27"/>
      <c r="J5" s="27"/>
      <c r="K5" s="17"/>
    </row>
    <row r="6" spans="1:11" x14ac:dyDescent="0.2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</row>
    <row r="7" spans="1:11" x14ac:dyDescent="0.2">
      <c r="A7" s="39"/>
      <c r="B7" s="40"/>
      <c r="C7" s="15" t="s">
        <v>3</v>
      </c>
      <c r="D7" s="43" t="str">
        <f t="shared" ref="D7:H7" si="0">IF(D4="","",IF(D5&gt;D4,(D5-D4-D6)*24,(1-D4-D6+D5)*24))</f>
        <v/>
      </c>
      <c r="E7" s="43" t="str">
        <f t="shared" si="0"/>
        <v/>
      </c>
      <c r="F7" s="43" t="str">
        <f t="shared" si="0"/>
        <v/>
      </c>
      <c r="G7" s="43" t="str">
        <f t="shared" si="0"/>
        <v/>
      </c>
      <c r="H7" s="43" t="str">
        <f t="shared" si="0"/>
        <v/>
      </c>
      <c r="I7" s="43" t="str">
        <f>IF(I4="","",IF(I5&gt;I4,(I5-I4-I6)*24,(1-I4-I6+I5)*24))</f>
        <v/>
      </c>
      <c r="J7" s="43" t="str">
        <f>IF(J4="","",IF(J5&gt;J4,(J5-J4-J6)*24,(1-J4-J6+J5)*24))</f>
        <v/>
      </c>
      <c r="K7" s="18">
        <f>SUMIF(D8:J8,"",D7:J7)</f>
        <v>0</v>
      </c>
    </row>
    <row r="8" spans="1:11" x14ac:dyDescent="0.2">
      <c r="A8" s="39"/>
      <c r="B8" s="40"/>
      <c r="C8" s="32" t="s">
        <v>4</v>
      </c>
      <c r="D8" s="33"/>
      <c r="E8" s="33"/>
      <c r="F8" s="33"/>
      <c r="G8" s="33"/>
      <c r="H8" s="33"/>
      <c r="I8" s="33"/>
      <c r="J8" s="33"/>
      <c r="K8" s="17"/>
    </row>
    <row r="9" spans="1:11" ht="13.5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</row>
    <row r="10" spans="1:11" x14ac:dyDescent="0.2">
      <c r="A10" s="37" t="s">
        <v>97</v>
      </c>
      <c r="B10" s="38" t="s">
        <v>98</v>
      </c>
      <c r="C10" s="14" t="s">
        <v>0</v>
      </c>
      <c r="D10" s="26"/>
      <c r="E10" s="26"/>
      <c r="F10" s="26"/>
      <c r="G10" s="26"/>
      <c r="H10" s="26"/>
      <c r="I10" s="26"/>
      <c r="J10" s="26"/>
      <c r="K10" s="16"/>
    </row>
    <row r="11" spans="1:11" x14ac:dyDescent="0.2">
      <c r="A11" s="39"/>
      <c r="B11" s="40"/>
      <c r="C11" s="15" t="s">
        <v>1</v>
      </c>
      <c r="D11" s="27"/>
      <c r="E11" s="27"/>
      <c r="F11" s="27"/>
      <c r="G11" s="27"/>
      <c r="H11" s="27"/>
      <c r="I11" s="27"/>
      <c r="J11" s="27"/>
      <c r="K11" s="17"/>
    </row>
    <row r="12" spans="1:11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</row>
    <row r="13" spans="1:11" x14ac:dyDescent="0.2">
      <c r="A13" s="39"/>
      <c r="B13" s="40"/>
      <c r="C13" s="15" t="s">
        <v>3</v>
      </c>
      <c r="D13" s="43" t="str">
        <f t="shared" ref="D13:H13" si="1">IF(D10="","",IF(D11&gt;D10,(D11-D10-D12)*24,(1-D10-D12+D11)*24))</f>
        <v/>
      </c>
      <c r="E13" s="43" t="str">
        <f t="shared" si="1"/>
        <v/>
      </c>
      <c r="F13" s="43" t="str">
        <f t="shared" si="1"/>
        <v/>
      </c>
      <c r="G13" s="43" t="str">
        <f t="shared" si="1"/>
        <v/>
      </c>
      <c r="H13" s="43" t="str">
        <f t="shared" si="1"/>
        <v/>
      </c>
      <c r="I13" s="43" t="str">
        <f>IF(I10="","",IF(I11&gt;I10,(I11-I10-I12)*24,(1-I10-I12+I11)*24))</f>
        <v/>
      </c>
      <c r="J13" s="43" t="str">
        <f>IF(J10="","",IF(J11&gt;J10,(J11-J10-J12)*24,(1-J10-J12+J11)*24))</f>
        <v/>
      </c>
      <c r="K13" s="18">
        <f>SUMIF(D14:J14,"",D13:J13)</f>
        <v>0</v>
      </c>
    </row>
    <row r="14" spans="1:11" x14ac:dyDescent="0.2">
      <c r="A14" s="39"/>
      <c r="B14" s="40"/>
      <c r="C14" s="32" t="s">
        <v>4</v>
      </c>
      <c r="D14" s="33"/>
      <c r="E14" s="33"/>
      <c r="F14" s="33"/>
      <c r="G14" s="33"/>
      <c r="H14" s="33"/>
      <c r="I14" s="33"/>
      <c r="J14" s="33"/>
      <c r="K14" s="17"/>
    </row>
    <row r="15" spans="1:11" ht="13.5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</row>
    <row r="16" spans="1:11" x14ac:dyDescent="0.2">
      <c r="A16" s="37" t="s">
        <v>128</v>
      </c>
      <c r="B16" s="38" t="s">
        <v>37</v>
      </c>
      <c r="C16" s="14" t="s">
        <v>0</v>
      </c>
      <c r="D16" s="45"/>
      <c r="E16" s="26"/>
      <c r="F16" s="45"/>
      <c r="G16" s="26"/>
      <c r="H16" s="26"/>
      <c r="I16" s="26"/>
      <c r="J16" s="26"/>
      <c r="K16" s="16"/>
    </row>
    <row r="17" spans="1:11" x14ac:dyDescent="0.2">
      <c r="A17" s="39"/>
      <c r="B17" s="40"/>
      <c r="C17" s="15" t="s">
        <v>1</v>
      </c>
      <c r="D17" s="3"/>
      <c r="E17" s="27"/>
      <c r="F17" s="3"/>
      <c r="G17" s="27"/>
      <c r="H17" s="27"/>
      <c r="I17" s="27"/>
      <c r="J17" s="27"/>
      <c r="K17" s="17"/>
    </row>
    <row r="18" spans="1:11" x14ac:dyDescent="0.2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</row>
    <row r="19" spans="1:11" x14ac:dyDescent="0.2">
      <c r="A19" s="39"/>
      <c r="B19" s="40"/>
      <c r="C19" s="15" t="s">
        <v>3</v>
      </c>
      <c r="D19" s="19"/>
      <c r="E19" s="43"/>
      <c r="F19" s="55"/>
      <c r="G19" s="43"/>
      <c r="H19" s="43"/>
      <c r="I19" s="43"/>
      <c r="J19" s="44"/>
      <c r="K19" s="18">
        <f>SUMIF(D20:J20,"",D19:J19)</f>
        <v>0</v>
      </c>
    </row>
    <row r="20" spans="1:11" x14ac:dyDescent="0.2">
      <c r="A20" s="39"/>
      <c r="B20" s="40"/>
      <c r="C20" s="32" t="s">
        <v>4</v>
      </c>
      <c r="D20" s="56"/>
      <c r="E20" s="33"/>
      <c r="F20" s="33"/>
      <c r="G20" s="33"/>
      <c r="H20" s="33"/>
      <c r="I20" s="33"/>
      <c r="J20" s="33"/>
      <c r="K20" s="17"/>
    </row>
    <row r="21" spans="1:11" ht="13.5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</row>
    <row r="22" spans="1:11" x14ac:dyDescent="0.2">
      <c r="A22" s="37" t="s">
        <v>65</v>
      </c>
      <c r="B22" s="38" t="s">
        <v>66</v>
      </c>
      <c r="C22" s="14" t="s">
        <v>0</v>
      </c>
      <c r="D22" s="26"/>
      <c r="E22" s="26"/>
      <c r="F22" s="26"/>
      <c r="G22" s="26"/>
      <c r="H22" s="26"/>
      <c r="I22" s="26"/>
      <c r="J22" s="26"/>
      <c r="K22" s="16"/>
    </row>
    <row r="23" spans="1:11" x14ac:dyDescent="0.2">
      <c r="A23" s="39"/>
      <c r="B23" s="40"/>
      <c r="C23" s="15" t="s">
        <v>1</v>
      </c>
      <c r="D23" s="27"/>
      <c r="E23" s="27"/>
      <c r="F23" s="27"/>
      <c r="G23" s="27"/>
      <c r="H23" s="27"/>
      <c r="I23" s="27"/>
      <c r="J23" s="27"/>
      <c r="K23" s="17"/>
    </row>
    <row r="24" spans="1:11" x14ac:dyDescent="0.2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</row>
    <row r="25" spans="1:11" x14ac:dyDescent="0.2">
      <c r="A25" s="39"/>
      <c r="B25" s="40"/>
      <c r="C25" s="15" t="s">
        <v>3</v>
      </c>
      <c r="D25" s="43" t="str">
        <f t="shared" ref="D25:H25" si="2">IF(D22="","",IF(D23&gt;D22,(D23-D22-D24)*24,(1-D22-D24+D23)*24))</f>
        <v/>
      </c>
      <c r="E25" s="43" t="str">
        <f t="shared" si="2"/>
        <v/>
      </c>
      <c r="F25" s="43" t="str">
        <f t="shared" si="2"/>
        <v/>
      </c>
      <c r="G25" s="43" t="str">
        <f t="shared" si="2"/>
        <v/>
      </c>
      <c r="H25" s="43" t="str">
        <f t="shared" si="2"/>
        <v/>
      </c>
      <c r="I25" s="43" t="str">
        <f>IF(I22="","",IF(I23&gt;I22,(I23-I22-I24)*24,(1-I22-I24+I23)*24))</f>
        <v/>
      </c>
      <c r="J25" s="43" t="str">
        <f>IF(J22="","",IF(J23&gt;J22,(J23-J22-J24)*24,(1-J22-J24+J23)*24))</f>
        <v/>
      </c>
      <c r="K25" s="18">
        <f>SUMIF(D26:J26,"",D25:J25)</f>
        <v>0</v>
      </c>
    </row>
    <row r="26" spans="1:11" x14ac:dyDescent="0.2">
      <c r="A26" s="39"/>
      <c r="B26" s="40"/>
      <c r="C26" s="32" t="s">
        <v>4</v>
      </c>
      <c r="D26" s="33"/>
      <c r="E26" s="33"/>
      <c r="F26" s="33"/>
      <c r="G26" s="33"/>
      <c r="H26" s="33"/>
      <c r="I26" s="33"/>
      <c r="J26" s="33"/>
      <c r="K26" s="17"/>
    </row>
    <row r="27" spans="1:11" ht="13.5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</row>
    <row r="28" spans="1:11" x14ac:dyDescent="0.2">
      <c r="A28" s="37" t="s">
        <v>79</v>
      </c>
      <c r="B28" s="38" t="s">
        <v>55</v>
      </c>
      <c r="C28" s="14" t="s">
        <v>0</v>
      </c>
      <c r="D28" s="26"/>
      <c r="E28" s="26"/>
      <c r="F28" s="26"/>
      <c r="G28" s="26"/>
      <c r="H28" s="26"/>
      <c r="I28" s="26"/>
      <c r="J28" s="26"/>
      <c r="K28" s="16"/>
    </row>
    <row r="29" spans="1:11" x14ac:dyDescent="0.2">
      <c r="A29" s="39"/>
      <c r="B29" s="40"/>
      <c r="C29" s="15" t="s">
        <v>1</v>
      </c>
      <c r="D29" s="27"/>
      <c r="E29" s="27"/>
      <c r="F29" s="27"/>
      <c r="G29" s="27"/>
      <c r="H29" s="27"/>
      <c r="I29" s="27"/>
      <c r="J29" s="27"/>
      <c r="K29" s="17"/>
    </row>
    <row r="30" spans="1:11" x14ac:dyDescent="0.2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</row>
    <row r="31" spans="1:11" x14ac:dyDescent="0.2">
      <c r="A31" s="39"/>
      <c r="B31" s="40"/>
      <c r="C31" s="15" t="s">
        <v>3</v>
      </c>
      <c r="D31" s="43" t="str">
        <f t="shared" ref="D31:H31" si="3">IF(D28="","",IF(D29&gt;D28,(D29-D28-D30)*24,(1-D28-D30+D29)*24))</f>
        <v/>
      </c>
      <c r="E31" s="43" t="str">
        <f t="shared" si="3"/>
        <v/>
      </c>
      <c r="F31" s="43" t="str">
        <f t="shared" si="3"/>
        <v/>
      </c>
      <c r="G31" s="43" t="str">
        <f t="shared" si="3"/>
        <v/>
      </c>
      <c r="H31" s="43" t="str">
        <f t="shared" si="3"/>
        <v/>
      </c>
      <c r="I31" s="43" t="str">
        <f>IF(I28="","",IF(I29&gt;I28,(I29-I28-I30)*24,(1-I28-I30+I29)*24))</f>
        <v/>
      </c>
      <c r="J31" s="43" t="str">
        <f>IF(J28="","",IF(J29&gt;J28,(J29-J28-J30)*24,(1-J28-J30+J29)*24))</f>
        <v/>
      </c>
      <c r="K31" s="18">
        <f>SUMIF(D32:J32,"",D31:J31)</f>
        <v>0</v>
      </c>
    </row>
    <row r="32" spans="1:11" x14ac:dyDescent="0.2">
      <c r="A32" s="39"/>
      <c r="B32" s="40"/>
      <c r="C32" s="32" t="s">
        <v>4</v>
      </c>
      <c r="D32" s="33"/>
      <c r="E32" s="33"/>
      <c r="F32" s="33"/>
      <c r="G32" s="33"/>
      <c r="H32" s="33"/>
      <c r="I32" s="33"/>
      <c r="J32" s="33"/>
      <c r="K32" s="17"/>
    </row>
    <row r="33" spans="1:11" ht="13.5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</row>
    <row r="34" spans="1:11" x14ac:dyDescent="0.2">
      <c r="A34" s="37" t="s">
        <v>80</v>
      </c>
      <c r="B34" s="38" t="s">
        <v>81</v>
      </c>
      <c r="C34" s="14" t="s">
        <v>0</v>
      </c>
      <c r="D34" s="26"/>
      <c r="E34" s="26"/>
      <c r="F34" s="26"/>
      <c r="G34" s="26"/>
      <c r="H34" s="26"/>
      <c r="I34" s="26"/>
      <c r="J34" s="26"/>
      <c r="K34" s="16"/>
    </row>
    <row r="35" spans="1:11" x14ac:dyDescent="0.2">
      <c r="A35" s="39"/>
      <c r="B35" s="40"/>
      <c r="C35" s="15" t="s">
        <v>1</v>
      </c>
      <c r="D35" s="27"/>
      <c r="E35" s="27"/>
      <c r="F35" s="27"/>
      <c r="G35" s="27"/>
      <c r="H35" s="27"/>
      <c r="I35" s="27"/>
      <c r="J35" s="27"/>
      <c r="K35" s="17"/>
    </row>
    <row r="36" spans="1:11" x14ac:dyDescent="0.2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</row>
    <row r="37" spans="1:11" x14ac:dyDescent="0.2">
      <c r="A37" s="39"/>
      <c r="B37" s="40"/>
      <c r="C37" s="15" t="s">
        <v>3</v>
      </c>
      <c r="D37" s="43" t="str">
        <f t="shared" ref="D37:J37" si="4">IF(D34="","",IF(D35&gt;D34,(D35-D34-D36)*24,(1-D34-D36+D35)*24))</f>
        <v/>
      </c>
      <c r="E37" s="43" t="str">
        <f t="shared" si="4"/>
        <v/>
      </c>
      <c r="F37" s="43" t="str">
        <f t="shared" si="4"/>
        <v/>
      </c>
      <c r="G37" s="43" t="str">
        <f t="shared" si="4"/>
        <v/>
      </c>
      <c r="H37" s="43" t="str">
        <f t="shared" si="4"/>
        <v/>
      </c>
      <c r="I37" s="43" t="str">
        <f t="shared" si="4"/>
        <v/>
      </c>
      <c r="J37" s="44" t="str">
        <f t="shared" si="4"/>
        <v/>
      </c>
      <c r="K37" s="18">
        <f>SUMIF(D38:J38,"",D37:J37)</f>
        <v>0</v>
      </c>
    </row>
    <row r="38" spans="1:11" x14ac:dyDescent="0.2">
      <c r="A38" s="39"/>
      <c r="B38" s="40"/>
      <c r="C38" s="32" t="s">
        <v>4</v>
      </c>
      <c r="D38" s="33"/>
      <c r="E38" s="33"/>
      <c r="F38" s="33"/>
      <c r="G38" s="33"/>
      <c r="H38" s="33"/>
      <c r="I38" s="33"/>
      <c r="J38" s="33"/>
      <c r="K38" s="17"/>
    </row>
    <row r="39" spans="1:11" ht="13.5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</row>
    <row r="40" spans="1:11" x14ac:dyDescent="0.2">
      <c r="A40" s="37" t="s">
        <v>53</v>
      </c>
      <c r="B40" s="38" t="s">
        <v>54</v>
      </c>
      <c r="C40" s="14" t="s">
        <v>0</v>
      </c>
      <c r="D40" s="26"/>
      <c r="E40" s="26"/>
      <c r="F40" s="26"/>
      <c r="G40" s="26"/>
      <c r="H40" s="26"/>
      <c r="I40" s="26"/>
      <c r="J40" s="26"/>
      <c r="K40" s="16"/>
    </row>
    <row r="41" spans="1:11" x14ac:dyDescent="0.2">
      <c r="A41" s="39"/>
      <c r="B41" s="40"/>
      <c r="C41" s="15" t="s">
        <v>1</v>
      </c>
      <c r="D41" s="27"/>
      <c r="E41" s="27"/>
      <c r="F41" s="27"/>
      <c r="G41" s="27"/>
      <c r="H41" s="27"/>
      <c r="I41" s="27"/>
      <c r="J41" s="27"/>
      <c r="K41" s="17"/>
    </row>
    <row r="42" spans="1:11" x14ac:dyDescent="0.2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</row>
    <row r="43" spans="1:11" x14ac:dyDescent="0.2">
      <c r="A43" s="39"/>
      <c r="B43" s="40"/>
      <c r="C43" s="15" t="s">
        <v>3</v>
      </c>
      <c r="D43" s="43" t="str">
        <f t="shared" ref="D43:J43" si="5">IF(D40="","",IF(D41&gt;D40,(D41-D40-D42)*24,(1-D40-D42+D41)*24))</f>
        <v/>
      </c>
      <c r="E43" s="55" t="str">
        <f t="shared" si="5"/>
        <v/>
      </c>
      <c r="F43" s="55" t="str">
        <f t="shared" si="5"/>
        <v/>
      </c>
      <c r="G43" s="43" t="str">
        <f t="shared" si="5"/>
        <v/>
      </c>
      <c r="H43" s="43" t="str">
        <f t="shared" si="5"/>
        <v/>
      </c>
      <c r="I43" s="55"/>
      <c r="J43" s="44" t="str">
        <f t="shared" si="5"/>
        <v/>
      </c>
      <c r="K43" s="18">
        <f>SUMIF(D44:J44,"",D43:J43)</f>
        <v>0</v>
      </c>
    </row>
    <row r="44" spans="1:11" x14ac:dyDescent="0.2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</row>
    <row r="45" spans="1:11" ht="13.5" thickBot="1" x14ac:dyDescent="0.25">
      <c r="A45" s="41"/>
      <c r="B45" s="42"/>
      <c r="C45" s="35" t="s">
        <v>28</v>
      </c>
      <c r="D45" s="54"/>
      <c r="E45" s="36"/>
      <c r="F45" s="36"/>
      <c r="G45" s="36"/>
      <c r="H45" s="36"/>
      <c r="I45" s="36"/>
      <c r="J45" s="36"/>
      <c r="K45" s="34"/>
    </row>
    <row r="46" spans="1:11" x14ac:dyDescent="0.2">
      <c r="A46" s="37" t="s">
        <v>84</v>
      </c>
      <c r="B46" s="38" t="s">
        <v>85</v>
      </c>
      <c r="C46" s="14" t="s">
        <v>0</v>
      </c>
      <c r="D46" s="26"/>
      <c r="E46" s="26"/>
      <c r="F46" s="26"/>
      <c r="G46" s="26"/>
      <c r="H46" s="26"/>
      <c r="I46" s="26"/>
      <c r="J46" s="26"/>
      <c r="K46" s="16"/>
    </row>
    <row r="47" spans="1:11" x14ac:dyDescent="0.2">
      <c r="A47" s="39"/>
      <c r="B47" s="40"/>
      <c r="C47" s="15" t="s">
        <v>1</v>
      </c>
      <c r="D47" s="27"/>
      <c r="E47" s="27"/>
      <c r="F47" s="27"/>
      <c r="G47" s="27"/>
      <c r="H47" s="27"/>
      <c r="I47" s="27"/>
      <c r="J47" s="27"/>
      <c r="K47" s="17"/>
    </row>
    <row r="48" spans="1:11" x14ac:dyDescent="0.2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</row>
    <row r="49" spans="1:11" x14ac:dyDescent="0.2">
      <c r="A49" s="39"/>
      <c r="B49" s="40"/>
      <c r="C49" s="15" t="s">
        <v>3</v>
      </c>
      <c r="D49" s="43" t="str">
        <f t="shared" ref="D49:J49" si="6">IF(D46="","",IF(D47&gt;D46,(D47-D46-D48)*24,(1-D46-D48+D47)*24))</f>
        <v/>
      </c>
      <c r="E49" s="43" t="str">
        <f t="shared" si="6"/>
        <v/>
      </c>
      <c r="F49" s="43" t="str">
        <f t="shared" si="6"/>
        <v/>
      </c>
      <c r="G49" s="43" t="str">
        <f t="shared" si="6"/>
        <v/>
      </c>
      <c r="H49" s="43" t="str">
        <f t="shared" si="6"/>
        <v/>
      </c>
      <c r="I49" s="55" t="str">
        <f t="shared" si="6"/>
        <v/>
      </c>
      <c r="J49" s="44" t="str">
        <f t="shared" si="6"/>
        <v/>
      </c>
      <c r="K49" s="18">
        <f>SUMIF(D50:J50,"",D49:J49)</f>
        <v>0</v>
      </c>
    </row>
    <row r="50" spans="1:11" x14ac:dyDescent="0.2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</row>
    <row r="51" spans="1:11" ht="13.5" thickBot="1" x14ac:dyDescent="0.25">
      <c r="A51" s="41"/>
      <c r="B51" s="42"/>
      <c r="C51" s="35" t="s">
        <v>28</v>
      </c>
      <c r="D51" s="54"/>
      <c r="E51" s="36"/>
      <c r="F51" s="36"/>
      <c r="G51" s="36"/>
      <c r="H51" s="36"/>
      <c r="I51" s="36"/>
      <c r="J51" s="36"/>
      <c r="K51" s="34"/>
    </row>
    <row r="52" spans="1:11" x14ac:dyDescent="0.2">
      <c r="A52" s="37" t="s">
        <v>95</v>
      </c>
      <c r="B52" s="38" t="s">
        <v>96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</row>
    <row r="53" spans="1:11" x14ac:dyDescent="0.2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</row>
    <row r="54" spans="1:11" x14ac:dyDescent="0.2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</row>
    <row r="55" spans="1:11" x14ac:dyDescent="0.2">
      <c r="A55" s="39"/>
      <c r="B55" s="40"/>
      <c r="C55" s="15" t="s">
        <v>3</v>
      </c>
      <c r="D55" s="43" t="str">
        <f t="shared" ref="D55:J55" si="7">IF(D52="","",IF(D53&gt;D52,(D53-D52-D54)*24,(1-D52-D54+D53)*24))</f>
        <v/>
      </c>
      <c r="E55" s="43" t="str">
        <f t="shared" si="7"/>
        <v/>
      </c>
      <c r="F55" s="43" t="str">
        <f t="shared" si="7"/>
        <v/>
      </c>
      <c r="G55" s="43" t="str">
        <f t="shared" si="7"/>
        <v/>
      </c>
      <c r="H55" s="43" t="str">
        <f t="shared" si="7"/>
        <v/>
      </c>
      <c r="I55" s="55" t="str">
        <f t="shared" si="7"/>
        <v/>
      </c>
      <c r="J55" s="44" t="str">
        <f t="shared" si="7"/>
        <v/>
      </c>
      <c r="K55" s="18">
        <f>SUMIF(D56:J56,"",D55:J55)</f>
        <v>0</v>
      </c>
    </row>
    <row r="56" spans="1:11" x14ac:dyDescent="0.2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</row>
    <row r="57" spans="1:11" ht="13.5" thickBot="1" x14ac:dyDescent="0.25">
      <c r="A57" s="41"/>
      <c r="B57" s="42"/>
      <c r="C57" s="35" t="s">
        <v>28</v>
      </c>
      <c r="D57" s="54"/>
      <c r="E57" s="36"/>
      <c r="F57" s="36"/>
      <c r="G57" s="36"/>
      <c r="H57" s="36"/>
      <c r="I57" s="36"/>
      <c r="J57" s="36"/>
      <c r="K57" s="34"/>
    </row>
    <row r="58" spans="1:11" x14ac:dyDescent="0.2">
      <c r="A58" s="37" t="s">
        <v>153</v>
      </c>
      <c r="B58" s="38" t="s">
        <v>130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</row>
    <row r="59" spans="1:11" x14ac:dyDescent="0.2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</row>
    <row r="60" spans="1:11" x14ac:dyDescent="0.2">
      <c r="A60" s="39"/>
      <c r="B60" s="40"/>
      <c r="C60" s="15" t="s">
        <v>2</v>
      </c>
      <c r="D60" s="4"/>
      <c r="E60" s="4"/>
      <c r="F60" s="4"/>
      <c r="G60" s="58"/>
      <c r="H60" s="4"/>
      <c r="I60" s="4"/>
      <c r="J60" s="4"/>
      <c r="K60" s="17"/>
    </row>
    <row r="61" spans="1:11" x14ac:dyDescent="0.2">
      <c r="A61" s="39"/>
      <c r="B61" s="40"/>
      <c r="C61" s="15" t="s">
        <v>3</v>
      </c>
      <c r="D61" s="43" t="str">
        <f t="shared" ref="D61:J61" si="8">IF(D58="","",IF(D59&gt;D58,(D59-D58-D60)*24,(1-D58-D60+D59)*24))</f>
        <v/>
      </c>
      <c r="E61" s="43" t="str">
        <f t="shared" si="8"/>
        <v/>
      </c>
      <c r="F61" s="43" t="str">
        <f t="shared" si="8"/>
        <v/>
      </c>
      <c r="G61" s="55" t="str">
        <f t="shared" si="8"/>
        <v/>
      </c>
      <c r="H61" s="55" t="str">
        <f t="shared" si="8"/>
        <v/>
      </c>
      <c r="I61" s="43" t="str">
        <f t="shared" si="8"/>
        <v/>
      </c>
      <c r="J61" s="44" t="str">
        <f t="shared" si="8"/>
        <v/>
      </c>
      <c r="K61" s="18">
        <f>SUMIF(D62:J62,"",D61:J61)</f>
        <v>0</v>
      </c>
    </row>
    <row r="62" spans="1:11" x14ac:dyDescent="0.2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</row>
    <row r="63" spans="1:11" ht="13.5" thickBot="1" x14ac:dyDescent="0.25">
      <c r="A63" s="41"/>
      <c r="B63" s="42"/>
      <c r="C63" s="35" t="s">
        <v>28</v>
      </c>
      <c r="D63" s="36"/>
      <c r="E63" s="36"/>
      <c r="F63" s="36"/>
      <c r="G63" s="36"/>
      <c r="H63" s="36"/>
      <c r="I63" s="36"/>
      <c r="J63" s="36"/>
      <c r="K63" s="34"/>
    </row>
    <row r="64" spans="1:11" x14ac:dyDescent="0.2">
      <c r="A64" s="37" t="s">
        <v>46</v>
      </c>
      <c r="B64" s="38" t="s">
        <v>47</v>
      </c>
      <c r="C64" s="14" t="s">
        <v>0</v>
      </c>
      <c r="D64" s="26"/>
      <c r="E64" s="26"/>
      <c r="F64" s="26"/>
      <c r="G64" s="26"/>
      <c r="H64" s="26"/>
      <c r="I64" s="26"/>
      <c r="J64" s="26"/>
      <c r="K64" s="16"/>
    </row>
    <row r="65" spans="1:11" x14ac:dyDescent="0.2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</row>
    <row r="66" spans="1:11" x14ac:dyDescent="0.2">
      <c r="A66" s="39"/>
      <c r="B66" s="40"/>
      <c r="C66" s="15" t="s">
        <v>2</v>
      </c>
      <c r="D66" s="4"/>
      <c r="E66" s="4"/>
      <c r="F66" s="4"/>
      <c r="G66" s="58"/>
      <c r="H66" s="4"/>
      <c r="I66" s="4"/>
      <c r="J66" s="4"/>
      <c r="K66" s="17"/>
    </row>
    <row r="67" spans="1:11" x14ac:dyDescent="0.2">
      <c r="A67" s="39"/>
      <c r="B67" s="40"/>
      <c r="C67" s="15" t="s">
        <v>3</v>
      </c>
      <c r="D67" s="43" t="str">
        <f t="shared" ref="D67:J67" si="9">IF(D64="","",IF(D65&gt;D64,(D65-D64-D66)*24,(1-D64-D66+D65)*24))</f>
        <v/>
      </c>
      <c r="E67" s="43" t="str">
        <f t="shared" si="9"/>
        <v/>
      </c>
      <c r="F67" s="43" t="str">
        <f t="shared" si="9"/>
        <v/>
      </c>
      <c r="G67" s="55" t="str">
        <f t="shared" si="9"/>
        <v/>
      </c>
      <c r="H67" s="55" t="str">
        <f t="shared" si="9"/>
        <v/>
      </c>
      <c r="I67" s="43" t="str">
        <f t="shared" si="9"/>
        <v/>
      </c>
      <c r="J67" s="44" t="str">
        <f t="shared" si="9"/>
        <v/>
      </c>
      <c r="K67" s="18">
        <f>SUMIF(D68:J68,"",D67:J67)</f>
        <v>0</v>
      </c>
    </row>
    <row r="68" spans="1:11" x14ac:dyDescent="0.2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</row>
    <row r="69" spans="1:11" ht="13.5" thickBot="1" x14ac:dyDescent="0.25">
      <c r="A69" s="41"/>
      <c r="B69" s="42"/>
      <c r="C69" s="35" t="s">
        <v>28</v>
      </c>
      <c r="D69" s="36"/>
      <c r="E69" s="36"/>
      <c r="F69" s="36"/>
      <c r="G69" s="36"/>
      <c r="H69" s="36"/>
      <c r="I69" s="36"/>
      <c r="J69" s="36"/>
      <c r="K69" s="34"/>
    </row>
    <row r="70" spans="1:11" x14ac:dyDescent="0.2">
      <c r="A70" s="37" t="s">
        <v>67</v>
      </c>
      <c r="B70" s="38" t="s">
        <v>45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</row>
    <row r="71" spans="1:11" x14ac:dyDescent="0.2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</row>
    <row r="72" spans="1:11" x14ac:dyDescent="0.2">
      <c r="A72" s="39"/>
      <c r="B72" s="40"/>
      <c r="C72" s="15" t="s">
        <v>2</v>
      </c>
      <c r="D72" s="4"/>
      <c r="E72" s="4"/>
      <c r="F72" s="4"/>
      <c r="G72" s="58"/>
      <c r="H72" s="4"/>
      <c r="I72" s="4"/>
      <c r="J72" s="4"/>
      <c r="K72" s="17"/>
    </row>
    <row r="73" spans="1:11" x14ac:dyDescent="0.2">
      <c r="A73" s="39"/>
      <c r="B73" s="40"/>
      <c r="C73" s="15" t="s">
        <v>3</v>
      </c>
      <c r="D73" s="43" t="str">
        <f t="shared" ref="D73:J73" si="10">IF(D70="","",IF(D71&gt;D70,(D71-D70-D72)*24,(1-D70-D72+D71)*24))</f>
        <v/>
      </c>
      <c r="E73" s="43" t="str">
        <f t="shared" si="10"/>
        <v/>
      </c>
      <c r="F73" s="43" t="str">
        <f t="shared" si="10"/>
        <v/>
      </c>
      <c r="G73" s="55" t="str">
        <f t="shared" si="10"/>
        <v/>
      </c>
      <c r="H73" s="55" t="str">
        <f t="shared" si="10"/>
        <v/>
      </c>
      <c r="I73" s="43" t="str">
        <f t="shared" si="10"/>
        <v/>
      </c>
      <c r="J73" s="44" t="str">
        <f t="shared" si="10"/>
        <v/>
      </c>
      <c r="K73" s="18">
        <f>SUMIF(D74:J74,"",D73:J73)</f>
        <v>0</v>
      </c>
    </row>
    <row r="74" spans="1:11" x14ac:dyDescent="0.2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</row>
    <row r="75" spans="1:11" ht="13.5" thickBot="1" x14ac:dyDescent="0.25">
      <c r="A75" s="41"/>
      <c r="B75" s="42"/>
      <c r="C75" s="35" t="s">
        <v>28</v>
      </c>
      <c r="D75" s="36"/>
      <c r="E75" s="36"/>
      <c r="F75" s="36"/>
      <c r="G75" s="36"/>
      <c r="H75" s="36"/>
      <c r="I75" s="36"/>
      <c r="J75" s="36"/>
      <c r="K75" s="34"/>
    </row>
    <row r="76" spans="1:11" x14ac:dyDescent="0.2">
      <c r="A76" s="37" t="s">
        <v>107</v>
      </c>
      <c r="B76" s="38" t="s">
        <v>113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</row>
    <row r="77" spans="1:11" x14ac:dyDescent="0.2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</row>
    <row r="78" spans="1:11" x14ac:dyDescent="0.2">
      <c r="A78" s="39"/>
      <c r="B78" s="40"/>
      <c r="C78" s="15" t="s">
        <v>2</v>
      </c>
      <c r="D78" s="4"/>
      <c r="E78" s="4"/>
      <c r="F78" s="4"/>
      <c r="G78" s="58"/>
      <c r="H78" s="4"/>
      <c r="I78" s="4"/>
      <c r="J78" s="4"/>
      <c r="K78" s="17"/>
    </row>
    <row r="79" spans="1:11" x14ac:dyDescent="0.2">
      <c r="A79" s="39"/>
      <c r="B79" s="40"/>
      <c r="C79" s="15" t="s">
        <v>3</v>
      </c>
      <c r="D79" s="43" t="str">
        <f t="shared" ref="D79:J79" si="11">IF(D76="","",IF(D77&gt;D76,(D77-D76-D78)*24,(1-D76-D78+D77)*24))</f>
        <v/>
      </c>
      <c r="E79" s="43" t="str">
        <f t="shared" si="11"/>
        <v/>
      </c>
      <c r="F79" s="43" t="str">
        <f t="shared" si="11"/>
        <v/>
      </c>
      <c r="G79" s="55" t="str">
        <f t="shared" si="11"/>
        <v/>
      </c>
      <c r="H79" s="55" t="str">
        <f t="shared" si="11"/>
        <v/>
      </c>
      <c r="I79" s="43" t="str">
        <f t="shared" si="11"/>
        <v/>
      </c>
      <c r="J79" s="44" t="str">
        <f t="shared" si="11"/>
        <v/>
      </c>
      <c r="K79" s="18">
        <f>SUMIF(D80:J80,"",D79:J79)</f>
        <v>0</v>
      </c>
    </row>
    <row r="80" spans="1:11" x14ac:dyDescent="0.2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</row>
    <row r="81" spans="1:11" ht="13.5" thickBot="1" x14ac:dyDescent="0.25">
      <c r="A81" s="41"/>
      <c r="B81" s="42"/>
      <c r="C81" s="35" t="s">
        <v>28</v>
      </c>
      <c r="D81" s="36"/>
      <c r="E81" s="36"/>
      <c r="F81" s="36"/>
      <c r="G81" s="36"/>
      <c r="H81" s="36"/>
      <c r="I81" s="36"/>
      <c r="J81" s="36"/>
      <c r="K81" s="34"/>
    </row>
    <row r="82" spans="1:11" x14ac:dyDescent="0.2">
      <c r="A82" s="37" t="s">
        <v>131</v>
      </c>
      <c r="B82" s="38" t="s">
        <v>132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</row>
    <row r="83" spans="1:11" x14ac:dyDescent="0.2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</row>
    <row r="84" spans="1:11" x14ac:dyDescent="0.2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</row>
    <row r="85" spans="1:11" x14ac:dyDescent="0.2">
      <c r="A85" s="39"/>
      <c r="B85" s="40"/>
      <c r="C85" s="15" t="s">
        <v>3</v>
      </c>
      <c r="D85" s="43" t="str">
        <f t="shared" ref="D85:J85" si="12">IF(D82="","",IF(D83&gt;D82,(D83-D82-D84)*24,(1-D82-D84+D83)*24))</f>
        <v/>
      </c>
      <c r="E85" s="43" t="str">
        <f t="shared" si="12"/>
        <v/>
      </c>
      <c r="F85" s="43" t="str">
        <f t="shared" si="12"/>
        <v/>
      </c>
      <c r="G85" s="43" t="str">
        <f t="shared" si="12"/>
        <v/>
      </c>
      <c r="H85" s="43" t="str">
        <f t="shared" si="12"/>
        <v/>
      </c>
      <c r="I85" s="55" t="str">
        <f t="shared" si="12"/>
        <v/>
      </c>
      <c r="J85" s="44" t="str">
        <f t="shared" si="12"/>
        <v/>
      </c>
      <c r="K85" s="18">
        <f>SUMIF(D86:J86,"",D85:J85)</f>
        <v>0</v>
      </c>
    </row>
    <row r="86" spans="1:11" x14ac:dyDescent="0.2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</row>
    <row r="87" spans="1:11" ht="13.5" thickBot="1" x14ac:dyDescent="0.25">
      <c r="A87" s="41"/>
      <c r="B87" s="42"/>
      <c r="C87" s="35" t="s">
        <v>28</v>
      </c>
      <c r="D87" s="54"/>
      <c r="E87" s="36"/>
      <c r="F87" s="36"/>
      <c r="G87" s="36"/>
      <c r="H87" s="36"/>
      <c r="I87" s="36"/>
      <c r="J87" s="36"/>
      <c r="K87" s="34"/>
    </row>
    <row r="88" spans="1:11" x14ac:dyDescent="0.2">
      <c r="A88" s="37" t="s">
        <v>58</v>
      </c>
      <c r="B88" s="38" t="s">
        <v>59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</row>
    <row r="89" spans="1:11" x14ac:dyDescent="0.2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</row>
    <row r="90" spans="1:11" x14ac:dyDescent="0.2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</row>
    <row r="91" spans="1:11" x14ac:dyDescent="0.2">
      <c r="A91" s="39"/>
      <c r="B91" s="40"/>
      <c r="C91" s="15" t="s">
        <v>3</v>
      </c>
      <c r="D91" s="43" t="str">
        <f t="shared" ref="D91:J91" si="13">IF(D88="","",IF(D89&gt;D88,(D89-D88-D90)*24,(1-D88-D90+D89)*24))</f>
        <v/>
      </c>
      <c r="E91" s="43" t="str">
        <f t="shared" si="13"/>
        <v/>
      </c>
      <c r="F91" s="43" t="str">
        <f t="shared" si="13"/>
        <v/>
      </c>
      <c r="G91" s="43" t="str">
        <f t="shared" si="13"/>
        <v/>
      </c>
      <c r="H91" s="43" t="str">
        <f t="shared" si="13"/>
        <v/>
      </c>
      <c r="I91" s="55" t="str">
        <f t="shared" si="13"/>
        <v/>
      </c>
      <c r="J91" s="44" t="str">
        <f t="shared" si="13"/>
        <v/>
      </c>
      <c r="K91" s="18">
        <f>SUMIF(D92:J92,"",D91:J91)</f>
        <v>0</v>
      </c>
    </row>
    <row r="92" spans="1:11" x14ac:dyDescent="0.2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</row>
    <row r="93" spans="1:11" ht="13.5" thickBot="1" x14ac:dyDescent="0.25">
      <c r="A93" s="41"/>
      <c r="B93" s="42"/>
      <c r="C93" s="35" t="s">
        <v>28</v>
      </c>
      <c r="D93" s="54"/>
      <c r="E93" s="36"/>
      <c r="F93" s="36"/>
      <c r="G93" s="36"/>
      <c r="H93" s="36"/>
      <c r="I93" s="36"/>
      <c r="J93" s="36"/>
      <c r="K93" s="34"/>
    </row>
    <row r="94" spans="1:11" x14ac:dyDescent="0.2">
      <c r="A94" s="37" t="s">
        <v>135</v>
      </c>
      <c r="B94" s="38" t="s">
        <v>136</v>
      </c>
      <c r="C94" s="14" t="s">
        <v>0</v>
      </c>
      <c r="D94" s="26"/>
      <c r="E94" s="26"/>
      <c r="F94" s="26"/>
      <c r="G94" s="26"/>
      <c r="H94" s="26"/>
      <c r="I94" s="26"/>
      <c r="J94" s="26"/>
      <c r="K94" s="16"/>
    </row>
    <row r="95" spans="1:11" x14ac:dyDescent="0.2">
      <c r="A95" s="39"/>
      <c r="B95" s="40"/>
      <c r="C95" s="15" t="s">
        <v>1</v>
      </c>
      <c r="D95" s="27"/>
      <c r="E95" s="27"/>
      <c r="F95" s="27"/>
      <c r="G95" s="27"/>
      <c r="H95" s="27"/>
      <c r="I95" s="27"/>
      <c r="J95" s="27"/>
      <c r="K95" s="17"/>
    </row>
    <row r="96" spans="1:11" x14ac:dyDescent="0.2">
      <c r="A96" s="39"/>
      <c r="B96" s="40"/>
      <c r="C96" s="15" t="s">
        <v>2</v>
      </c>
      <c r="D96" s="4"/>
      <c r="E96" s="4"/>
      <c r="F96" s="4"/>
      <c r="G96" s="4"/>
      <c r="H96" s="4"/>
      <c r="I96" s="4"/>
      <c r="J96" s="4"/>
      <c r="K96" s="17"/>
    </row>
    <row r="97" spans="1:11" x14ac:dyDescent="0.2">
      <c r="A97" s="39"/>
      <c r="B97" s="40"/>
      <c r="C97" s="15" t="s">
        <v>3</v>
      </c>
      <c r="D97" s="43" t="str">
        <f t="shared" ref="D97:J97" si="14">IF(D94="","",IF(D95&gt;D94,(D95-D94-D96)*24,(1-D94-D96+D95)*24))</f>
        <v/>
      </c>
      <c r="E97" s="43" t="str">
        <f t="shared" si="14"/>
        <v/>
      </c>
      <c r="F97" s="43" t="str">
        <f t="shared" si="14"/>
        <v/>
      </c>
      <c r="G97" s="43" t="str">
        <f t="shared" si="14"/>
        <v/>
      </c>
      <c r="H97" s="43" t="str">
        <f t="shared" si="14"/>
        <v/>
      </c>
      <c r="I97" s="55" t="str">
        <f t="shared" si="14"/>
        <v/>
      </c>
      <c r="J97" s="44" t="str">
        <f t="shared" si="14"/>
        <v/>
      </c>
      <c r="K97" s="18">
        <f>SUMIF(D98:J98,"",D97:J97)</f>
        <v>0</v>
      </c>
    </row>
    <row r="98" spans="1:11" x14ac:dyDescent="0.2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</row>
    <row r="99" spans="1:11" ht="13.5" thickBot="1" x14ac:dyDescent="0.25">
      <c r="A99" s="41"/>
      <c r="B99" s="42"/>
      <c r="C99" s="35" t="s">
        <v>28</v>
      </c>
      <c r="D99" s="54"/>
      <c r="E99" s="36"/>
      <c r="F99" s="36"/>
      <c r="G99" s="36"/>
      <c r="H99" s="36"/>
      <c r="I99" s="36"/>
      <c r="J99" s="36"/>
      <c r="K99" s="34"/>
    </row>
    <row r="100" spans="1:11" x14ac:dyDescent="0.2">
      <c r="A100" s="37" t="s">
        <v>137</v>
      </c>
      <c r="B100" s="38" t="s">
        <v>138</v>
      </c>
      <c r="C100" s="14" t="s">
        <v>0</v>
      </c>
      <c r="D100" s="26"/>
      <c r="E100" s="26"/>
      <c r="F100" s="26"/>
      <c r="G100" s="26"/>
      <c r="H100" s="26"/>
      <c r="I100" s="26"/>
      <c r="J100" s="26"/>
      <c r="K100" s="16"/>
    </row>
    <row r="101" spans="1:11" x14ac:dyDescent="0.2">
      <c r="A101" s="39"/>
      <c r="B101" s="40"/>
      <c r="C101" s="15" t="s">
        <v>1</v>
      </c>
      <c r="D101" s="27"/>
      <c r="E101" s="27"/>
      <c r="F101" s="27"/>
      <c r="G101" s="27"/>
      <c r="H101" s="27"/>
      <c r="I101" s="27"/>
      <c r="J101" s="27"/>
      <c r="K101" s="17"/>
    </row>
    <row r="102" spans="1:11" x14ac:dyDescent="0.2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</row>
    <row r="103" spans="1:11" x14ac:dyDescent="0.2">
      <c r="A103" s="39"/>
      <c r="B103" s="40"/>
      <c r="C103" s="15" t="s">
        <v>3</v>
      </c>
      <c r="D103" s="43" t="str">
        <f t="shared" ref="D103:J103" si="15">IF(D100="","",IF(D101&gt;D100,(D101-D100-D102)*24,(1-D100-D102+D101)*24))</f>
        <v/>
      </c>
      <c r="E103" s="43" t="str">
        <f t="shared" si="15"/>
        <v/>
      </c>
      <c r="F103" s="43" t="str">
        <f t="shared" si="15"/>
        <v/>
      </c>
      <c r="G103" s="43" t="str">
        <f t="shared" si="15"/>
        <v/>
      </c>
      <c r="H103" s="43" t="str">
        <f t="shared" si="15"/>
        <v/>
      </c>
      <c r="I103" s="55" t="str">
        <f t="shared" si="15"/>
        <v/>
      </c>
      <c r="J103" s="44" t="str">
        <f t="shared" si="15"/>
        <v/>
      </c>
      <c r="K103" s="18">
        <f>SUMIF(D104:J104,"",D103:J103)</f>
        <v>0</v>
      </c>
    </row>
    <row r="104" spans="1:11" x14ac:dyDescent="0.2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</row>
    <row r="105" spans="1:11" ht="13.5" thickBot="1" x14ac:dyDescent="0.25">
      <c r="A105" s="41"/>
      <c r="B105" s="42"/>
      <c r="C105" s="35" t="s">
        <v>28</v>
      </c>
      <c r="D105" s="54"/>
      <c r="E105" s="36"/>
      <c r="F105" s="36"/>
      <c r="G105" s="36"/>
      <c r="H105" s="36"/>
      <c r="I105" s="36"/>
      <c r="J105" s="36"/>
      <c r="K105" s="34"/>
    </row>
    <row r="106" spans="1:11" x14ac:dyDescent="0.2">
      <c r="A106" s="37" t="s">
        <v>139</v>
      </c>
      <c r="B106" s="38" t="s">
        <v>140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</row>
    <row r="107" spans="1:11" x14ac:dyDescent="0.2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</row>
    <row r="108" spans="1:11" x14ac:dyDescent="0.2">
      <c r="A108" s="39"/>
      <c r="B108" s="40"/>
      <c r="C108" s="15" t="s">
        <v>2</v>
      </c>
      <c r="D108" s="4"/>
      <c r="E108" s="4"/>
      <c r="F108" s="4"/>
      <c r="G108" s="58"/>
      <c r="H108" s="4"/>
      <c r="I108" s="4"/>
      <c r="J108" s="4"/>
      <c r="K108" s="17"/>
    </row>
    <row r="109" spans="1:11" x14ac:dyDescent="0.2">
      <c r="A109" s="39"/>
      <c r="B109" s="40"/>
      <c r="C109" s="15" t="s">
        <v>3</v>
      </c>
      <c r="D109" s="43" t="str">
        <f t="shared" ref="D109:J109" si="16">IF(D106="","",IF(D107&gt;D106,(D107-D106-D108)*24,(1-D106-D108+D107)*24))</f>
        <v/>
      </c>
      <c r="E109" s="43" t="str">
        <f t="shared" si="16"/>
        <v/>
      </c>
      <c r="F109" s="43" t="str">
        <f t="shared" si="16"/>
        <v/>
      </c>
      <c r="G109" s="55" t="str">
        <f t="shared" si="16"/>
        <v/>
      </c>
      <c r="H109" s="55" t="str">
        <f t="shared" si="16"/>
        <v/>
      </c>
      <c r="I109" s="43" t="str">
        <f t="shared" si="16"/>
        <v/>
      </c>
      <c r="J109" s="44" t="str">
        <f t="shared" si="16"/>
        <v/>
      </c>
      <c r="K109" s="18">
        <f>SUMIF(D110:J110,"",D109:J109)</f>
        <v>0</v>
      </c>
    </row>
    <row r="110" spans="1:11" x14ac:dyDescent="0.2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</row>
    <row r="111" spans="1:11" ht="13.5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</row>
    <row r="112" spans="1:11" x14ac:dyDescent="0.2">
      <c r="A112" s="37" t="s">
        <v>93</v>
      </c>
      <c r="B112" s="38" t="s">
        <v>94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</row>
    <row r="113" spans="1:11" x14ac:dyDescent="0.2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</row>
    <row r="114" spans="1:11" x14ac:dyDescent="0.2">
      <c r="A114" s="39"/>
      <c r="B114" s="40"/>
      <c r="C114" s="15" t="s">
        <v>2</v>
      </c>
      <c r="D114" s="4"/>
      <c r="E114" s="4"/>
      <c r="F114" s="4"/>
      <c r="G114" s="4"/>
      <c r="H114" s="4"/>
      <c r="I114" s="4"/>
      <c r="J114" s="4"/>
      <c r="K114" s="17"/>
    </row>
    <row r="115" spans="1:11" x14ac:dyDescent="0.2">
      <c r="A115" s="39"/>
      <c r="B115" s="40"/>
      <c r="C115" s="15" t="s">
        <v>3</v>
      </c>
      <c r="D115" s="43" t="str">
        <f t="shared" ref="D115:J115" si="17">IF(D112="","",IF(D113&gt;D112,(D113-D112-D114)*24,(1-D112-D114+D113)*24))</f>
        <v/>
      </c>
      <c r="E115" s="43" t="str">
        <f t="shared" si="17"/>
        <v/>
      </c>
      <c r="F115" s="43" t="str">
        <f t="shared" si="17"/>
        <v/>
      </c>
      <c r="G115" s="43" t="str">
        <f t="shared" si="17"/>
        <v/>
      </c>
      <c r="H115" s="43" t="str">
        <f t="shared" si="17"/>
        <v/>
      </c>
      <c r="I115" s="43" t="str">
        <f t="shared" si="17"/>
        <v/>
      </c>
      <c r="J115" s="44" t="str">
        <f t="shared" si="17"/>
        <v/>
      </c>
      <c r="K115" s="18">
        <f>SUMIF(D116:J116,"",D115:J115)</f>
        <v>0</v>
      </c>
    </row>
    <row r="116" spans="1:11" x14ac:dyDescent="0.2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</row>
    <row r="117" spans="1:11" ht="13.5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</row>
    <row r="118" spans="1:11" x14ac:dyDescent="0.2">
      <c r="A118" s="37" t="s">
        <v>100</v>
      </c>
      <c r="B118" s="38" t="s">
        <v>101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</row>
    <row r="119" spans="1:11" x14ac:dyDescent="0.2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</row>
    <row r="120" spans="1:11" x14ac:dyDescent="0.2">
      <c r="A120" s="39"/>
      <c r="B120" s="40"/>
      <c r="C120" s="15" t="s">
        <v>2</v>
      </c>
      <c r="D120" s="4"/>
      <c r="E120" s="4"/>
      <c r="F120" s="4"/>
      <c r="G120" s="4"/>
      <c r="H120" s="4"/>
      <c r="I120" s="4"/>
      <c r="J120" s="4"/>
      <c r="K120" s="17"/>
    </row>
    <row r="121" spans="1:11" x14ac:dyDescent="0.2">
      <c r="A121" s="39"/>
      <c r="B121" s="40"/>
      <c r="C121" s="15" t="s">
        <v>3</v>
      </c>
      <c r="D121" s="43" t="str">
        <f t="shared" ref="D121:J121" si="18">IF(D118="","",IF(D119&gt;D118,(D119-D118-D120)*24,(1-D118-D120+D119)*24))</f>
        <v/>
      </c>
      <c r="E121" s="43" t="str">
        <f t="shared" si="18"/>
        <v/>
      </c>
      <c r="F121" s="43" t="str">
        <f t="shared" si="18"/>
        <v/>
      </c>
      <c r="G121" s="43" t="str">
        <f t="shared" si="18"/>
        <v/>
      </c>
      <c r="H121" s="43" t="str">
        <f t="shared" si="18"/>
        <v/>
      </c>
      <c r="I121" s="43" t="str">
        <f t="shared" si="18"/>
        <v/>
      </c>
      <c r="J121" s="44" t="str">
        <f t="shared" si="18"/>
        <v/>
      </c>
      <c r="K121" s="18">
        <f>SUMIF(D122:J122,"",D121:J121)</f>
        <v>0</v>
      </c>
    </row>
    <row r="122" spans="1:11" x14ac:dyDescent="0.2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</row>
    <row r="123" spans="1:11" ht="13.5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</row>
    <row r="124" spans="1:11" x14ac:dyDescent="0.2">
      <c r="A124" s="37" t="s">
        <v>108</v>
      </c>
      <c r="B124" s="38" t="s">
        <v>109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</row>
    <row r="125" spans="1:11" x14ac:dyDescent="0.2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</row>
    <row r="126" spans="1:11" x14ac:dyDescent="0.2">
      <c r="A126" s="39"/>
      <c r="B126" s="40"/>
      <c r="C126" s="15" t="s">
        <v>2</v>
      </c>
      <c r="D126" s="4"/>
      <c r="E126" s="4"/>
      <c r="F126" s="4"/>
      <c r="G126" s="4"/>
      <c r="H126" s="4"/>
      <c r="I126" s="4"/>
      <c r="J126" s="4"/>
      <c r="K126" s="17"/>
    </row>
    <row r="127" spans="1:11" x14ac:dyDescent="0.2">
      <c r="A127" s="39"/>
      <c r="B127" s="40"/>
      <c r="C127" s="15" t="s">
        <v>3</v>
      </c>
      <c r="D127" s="43" t="str">
        <f t="shared" ref="D127:J127" si="19">IF(D124="","",IF(D125&gt;D124,(D125-D124-D126)*24,(1-D124-D126+D125)*24))</f>
        <v/>
      </c>
      <c r="E127" s="43" t="str">
        <f t="shared" si="19"/>
        <v/>
      </c>
      <c r="F127" s="43" t="str">
        <f t="shared" si="19"/>
        <v/>
      </c>
      <c r="G127" s="43" t="str">
        <f t="shared" si="19"/>
        <v/>
      </c>
      <c r="H127" s="43" t="str">
        <f t="shared" si="19"/>
        <v/>
      </c>
      <c r="I127" s="43" t="str">
        <f t="shared" si="19"/>
        <v/>
      </c>
      <c r="J127" s="44" t="str">
        <f t="shared" si="19"/>
        <v/>
      </c>
      <c r="K127" s="18">
        <f>SUMIF(D128:J128,"",D127:J127)</f>
        <v>0</v>
      </c>
    </row>
    <row r="128" spans="1:11" x14ac:dyDescent="0.2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</row>
    <row r="129" spans="1:11" ht="13.5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</row>
    <row r="130" spans="1:11" x14ac:dyDescent="0.2">
      <c r="A130" s="37" t="s">
        <v>100</v>
      </c>
      <c r="B130" s="38" t="s">
        <v>125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</row>
    <row r="131" spans="1:11" x14ac:dyDescent="0.2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</row>
    <row r="132" spans="1:11" x14ac:dyDescent="0.2">
      <c r="A132" s="39"/>
      <c r="B132" s="40"/>
      <c r="C132" s="15" t="s">
        <v>2</v>
      </c>
      <c r="D132" s="4"/>
      <c r="E132" s="4"/>
      <c r="F132" s="4"/>
      <c r="G132" s="58"/>
      <c r="H132" s="4"/>
      <c r="I132" s="4"/>
      <c r="J132" s="4"/>
      <c r="K132" s="17"/>
    </row>
    <row r="133" spans="1:11" x14ac:dyDescent="0.2">
      <c r="A133" s="39"/>
      <c r="B133" s="40"/>
      <c r="C133" s="15" t="s">
        <v>3</v>
      </c>
      <c r="D133" s="43" t="str">
        <f t="shared" ref="D133:J133" si="20">IF(D130="","",IF(D131&gt;D130,(D131-D130-D132)*24,(1-D130-D132+D131)*24))</f>
        <v/>
      </c>
      <c r="E133" s="43" t="str">
        <f t="shared" si="20"/>
        <v/>
      </c>
      <c r="F133" s="43" t="str">
        <f t="shared" si="20"/>
        <v/>
      </c>
      <c r="G133" s="55" t="str">
        <f t="shared" si="20"/>
        <v/>
      </c>
      <c r="H133" s="55" t="str">
        <f t="shared" si="20"/>
        <v/>
      </c>
      <c r="I133" s="43" t="str">
        <f t="shared" si="20"/>
        <v/>
      </c>
      <c r="J133" s="44" t="str">
        <f t="shared" si="20"/>
        <v/>
      </c>
      <c r="K133" s="18">
        <f>SUMIF(D134:J134,"",D133:J133)</f>
        <v>0</v>
      </c>
    </row>
    <row r="134" spans="1:11" x14ac:dyDescent="0.2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</row>
    <row r="135" spans="1:11" ht="13.5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</row>
    <row r="136" spans="1:11" x14ac:dyDescent="0.2">
      <c r="A136" s="37" t="s">
        <v>157</v>
      </c>
      <c r="B136" s="38" t="s">
        <v>158</v>
      </c>
      <c r="C136" s="14" t="s">
        <v>0</v>
      </c>
      <c r="D136" s="26"/>
      <c r="E136" s="26"/>
      <c r="F136" s="26"/>
      <c r="G136" s="26"/>
      <c r="H136" s="26"/>
      <c r="I136" s="26"/>
      <c r="J136" s="26"/>
      <c r="K136" s="16"/>
    </row>
    <row r="137" spans="1:11" x14ac:dyDescent="0.2">
      <c r="A137" s="39"/>
      <c r="B137" s="40"/>
      <c r="C137" s="15" t="s">
        <v>1</v>
      </c>
      <c r="D137" s="27"/>
      <c r="E137" s="27"/>
      <c r="F137" s="27"/>
      <c r="G137" s="27"/>
      <c r="H137" s="27"/>
      <c r="I137" s="27"/>
      <c r="J137" s="27"/>
      <c r="K137" s="17"/>
    </row>
    <row r="138" spans="1:11" x14ac:dyDescent="0.2">
      <c r="A138" s="39"/>
      <c r="B138" s="40"/>
      <c r="C138" s="15" t="s">
        <v>2</v>
      </c>
      <c r="D138" s="4"/>
      <c r="E138" s="4"/>
      <c r="F138" s="4"/>
      <c r="G138" s="4"/>
      <c r="H138" s="4"/>
      <c r="I138" s="4"/>
      <c r="J138" s="4"/>
      <c r="K138" s="17"/>
    </row>
    <row r="139" spans="1:11" x14ac:dyDescent="0.2">
      <c r="A139" s="39"/>
      <c r="B139" s="40"/>
      <c r="C139" s="15" t="s">
        <v>3</v>
      </c>
      <c r="D139" s="43" t="str">
        <f t="shared" ref="D139:J139" si="21">IF(D136="","",IF(D137&gt;D136,(D137-D136-D138)*24,(1-D136-D138+D137)*24))</f>
        <v/>
      </c>
      <c r="E139" s="43" t="str">
        <f t="shared" si="21"/>
        <v/>
      </c>
      <c r="F139" s="43" t="str">
        <f t="shared" si="21"/>
        <v/>
      </c>
      <c r="G139" s="43" t="str">
        <f t="shared" si="21"/>
        <v/>
      </c>
      <c r="H139" s="43" t="str">
        <f t="shared" si="21"/>
        <v/>
      </c>
      <c r="I139" s="43" t="str">
        <f t="shared" si="21"/>
        <v/>
      </c>
      <c r="J139" s="44" t="str">
        <f t="shared" si="21"/>
        <v/>
      </c>
      <c r="K139" s="18">
        <f>SUMIF(D140:J140,"",D139:J139)</f>
        <v>0</v>
      </c>
    </row>
    <row r="140" spans="1:11" x14ac:dyDescent="0.2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</row>
    <row r="141" spans="1:11" ht="13.5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</row>
    <row r="142" spans="1:11" x14ac:dyDescent="0.2">
      <c r="A142" s="37" t="s">
        <v>73</v>
      </c>
      <c r="B142" s="38" t="s">
        <v>72</v>
      </c>
      <c r="C142" s="14" t="s">
        <v>0</v>
      </c>
      <c r="D142" s="26"/>
      <c r="E142" s="26"/>
      <c r="F142" s="26"/>
      <c r="G142" s="26"/>
      <c r="H142" s="26"/>
      <c r="I142" s="26"/>
      <c r="J142" s="26"/>
      <c r="K142" s="16"/>
    </row>
    <row r="143" spans="1:11" x14ac:dyDescent="0.2">
      <c r="A143" s="39"/>
      <c r="B143" s="40"/>
      <c r="C143" s="15" t="s">
        <v>1</v>
      </c>
      <c r="D143" s="27"/>
      <c r="E143" s="27"/>
      <c r="F143" s="27"/>
      <c r="G143" s="27"/>
      <c r="H143" s="27"/>
      <c r="I143" s="27"/>
      <c r="J143" s="27"/>
      <c r="K143" s="17"/>
    </row>
    <row r="144" spans="1:11" x14ac:dyDescent="0.2">
      <c r="A144" s="39"/>
      <c r="B144" s="40"/>
      <c r="C144" s="15" t="s">
        <v>2</v>
      </c>
      <c r="D144" s="4"/>
      <c r="E144" s="4"/>
      <c r="F144" s="4"/>
      <c r="G144" s="4"/>
      <c r="H144" s="4"/>
      <c r="I144" s="4"/>
      <c r="J144" s="4"/>
      <c r="K144" s="17"/>
    </row>
    <row r="145" spans="1:11" x14ac:dyDescent="0.2">
      <c r="A145" s="39"/>
      <c r="B145" s="40"/>
      <c r="C145" s="15" t="s">
        <v>3</v>
      </c>
      <c r="D145" s="43" t="str">
        <f t="shared" ref="D145:J145" si="22">IF(D142="","",IF(D143&gt;D142,(D143-D142-D144)*24,(1-D142-D144+D143)*24))</f>
        <v/>
      </c>
      <c r="E145" s="43" t="str">
        <f t="shared" si="22"/>
        <v/>
      </c>
      <c r="F145" s="43" t="str">
        <f t="shared" si="22"/>
        <v/>
      </c>
      <c r="G145" s="43" t="str">
        <f t="shared" si="22"/>
        <v/>
      </c>
      <c r="H145" s="43" t="str">
        <f t="shared" si="22"/>
        <v/>
      </c>
      <c r="I145" s="43" t="str">
        <f t="shared" si="22"/>
        <v/>
      </c>
      <c r="J145" s="44" t="str">
        <f t="shared" si="22"/>
        <v/>
      </c>
      <c r="K145" s="18">
        <f>SUMIF(D146:J146,"",D145:J145)</f>
        <v>0</v>
      </c>
    </row>
    <row r="146" spans="1:11" x14ac:dyDescent="0.2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</row>
    <row r="147" spans="1:11" ht="13.5" thickBot="1" x14ac:dyDescent="0.25">
      <c r="A147" s="41"/>
      <c r="B147" s="42"/>
      <c r="C147" s="35" t="s">
        <v>28</v>
      </c>
      <c r="D147" s="36"/>
      <c r="E147" s="36"/>
      <c r="F147" s="36"/>
      <c r="G147" s="36"/>
      <c r="H147" s="36"/>
      <c r="I147" s="36"/>
      <c r="J147" s="36"/>
      <c r="K147" s="34"/>
    </row>
    <row r="148" spans="1:11" x14ac:dyDescent="0.2">
      <c r="A148" s="37" t="s">
        <v>126</v>
      </c>
      <c r="B148" s="38" t="s">
        <v>127</v>
      </c>
      <c r="C148" s="14" t="s">
        <v>0</v>
      </c>
      <c r="D148" s="26"/>
      <c r="E148" s="26"/>
      <c r="F148" s="26"/>
      <c r="G148" s="26"/>
      <c r="H148" s="26"/>
      <c r="I148" s="26"/>
      <c r="J148" s="26"/>
      <c r="K148" s="16"/>
    </row>
    <row r="149" spans="1:11" x14ac:dyDescent="0.2">
      <c r="A149" s="39"/>
      <c r="B149" s="40"/>
      <c r="C149" s="15" t="s">
        <v>1</v>
      </c>
      <c r="D149" s="27"/>
      <c r="E149" s="27"/>
      <c r="F149" s="27"/>
      <c r="G149" s="27"/>
      <c r="H149" s="27"/>
      <c r="I149" s="27"/>
      <c r="J149" s="27"/>
      <c r="K149" s="17"/>
    </row>
    <row r="150" spans="1:11" x14ac:dyDescent="0.2">
      <c r="A150" s="39"/>
      <c r="B150" s="40"/>
      <c r="C150" s="15" t="s">
        <v>2</v>
      </c>
      <c r="D150" s="27"/>
      <c r="E150" s="27"/>
      <c r="F150" s="27"/>
      <c r="G150" s="27"/>
      <c r="H150" s="27"/>
      <c r="I150" s="27"/>
      <c r="J150" s="4"/>
      <c r="K150" s="17"/>
    </row>
    <row r="151" spans="1:11" x14ac:dyDescent="0.2">
      <c r="A151" s="39"/>
      <c r="B151" s="40"/>
      <c r="C151" s="15" t="s">
        <v>3</v>
      </c>
      <c r="D151" s="57" t="str">
        <f t="shared" ref="D151:J151" si="23">IF(D148="","",IF(D149&gt;D148,(D149-D148-D150)*24,(1-D148-D150+D149)*24))</f>
        <v/>
      </c>
      <c r="E151" s="43" t="str">
        <f t="shared" si="23"/>
        <v/>
      </c>
      <c r="F151" s="43" t="str">
        <f t="shared" si="23"/>
        <v/>
      </c>
      <c r="G151" s="43" t="str">
        <f t="shared" si="23"/>
        <v/>
      </c>
      <c r="H151" s="43" t="str">
        <f t="shared" si="23"/>
        <v/>
      </c>
      <c r="I151" s="57" t="str">
        <f t="shared" si="23"/>
        <v/>
      </c>
      <c r="J151" s="44" t="str">
        <f t="shared" si="23"/>
        <v/>
      </c>
      <c r="K151" s="18">
        <f>SUMIF(D152:J152,"",D151:J151)</f>
        <v>0</v>
      </c>
    </row>
    <row r="152" spans="1:11" x14ac:dyDescent="0.2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</row>
    <row r="153" spans="1:11" ht="13.5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</row>
    <row r="154" spans="1:11" x14ac:dyDescent="0.2">
      <c r="A154" s="37" t="s">
        <v>49</v>
      </c>
      <c r="B154" s="38" t="s">
        <v>36</v>
      </c>
      <c r="C154" s="14" t="s">
        <v>0</v>
      </c>
      <c r="D154" s="26"/>
      <c r="E154" s="26"/>
      <c r="F154" s="26"/>
      <c r="G154" s="26"/>
      <c r="H154" s="26"/>
      <c r="I154" s="26"/>
      <c r="J154" s="26"/>
      <c r="K154" s="16"/>
    </row>
    <row r="155" spans="1:11" x14ac:dyDescent="0.2">
      <c r="A155" s="39"/>
      <c r="B155" s="40"/>
      <c r="C155" s="15" t="s">
        <v>1</v>
      </c>
      <c r="D155" s="27"/>
      <c r="E155" s="27"/>
      <c r="F155" s="27"/>
      <c r="G155" s="27"/>
      <c r="H155" s="27"/>
      <c r="I155" s="27"/>
      <c r="J155" s="27"/>
      <c r="K155" s="17"/>
    </row>
    <row r="156" spans="1:11" x14ac:dyDescent="0.2">
      <c r="A156" s="39"/>
      <c r="B156" s="40"/>
      <c r="C156" s="15" t="s">
        <v>2</v>
      </c>
      <c r="D156" s="4"/>
      <c r="E156" s="4"/>
      <c r="F156" s="4"/>
      <c r="G156" s="4"/>
      <c r="H156" s="4"/>
      <c r="I156" s="4"/>
      <c r="J156" s="4"/>
      <c r="K156" s="17"/>
    </row>
    <row r="157" spans="1:11" x14ac:dyDescent="0.2">
      <c r="A157" s="39"/>
      <c r="B157" s="40"/>
      <c r="C157" s="15" t="s">
        <v>3</v>
      </c>
      <c r="D157" s="43"/>
      <c r="E157" s="43" t="str">
        <f t="shared" ref="E157:J157" si="24">IF(E154="","",IF(E155&gt;E154,(E155-E154-E156)*24,(1-E154-E156+E155)*24))</f>
        <v/>
      </c>
      <c r="F157" s="43" t="str">
        <f t="shared" si="24"/>
        <v/>
      </c>
      <c r="G157" s="43" t="str">
        <f t="shared" si="24"/>
        <v/>
      </c>
      <c r="H157" s="43" t="str">
        <f t="shared" si="24"/>
        <v/>
      </c>
      <c r="I157" s="43" t="str">
        <f t="shared" si="24"/>
        <v/>
      </c>
      <c r="J157" s="44" t="str">
        <f t="shared" si="24"/>
        <v/>
      </c>
      <c r="K157" s="18">
        <f>SUMIF(D158:J158,"",D157:J157)</f>
        <v>0</v>
      </c>
    </row>
    <row r="158" spans="1:11" x14ac:dyDescent="0.2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</row>
    <row r="159" spans="1:11" ht="13.5" thickBot="1" x14ac:dyDescent="0.25">
      <c r="A159" s="41"/>
      <c r="B159" s="42"/>
      <c r="C159" s="35" t="s">
        <v>28</v>
      </c>
      <c r="D159" s="66"/>
      <c r="E159" s="36"/>
      <c r="F159" s="36"/>
      <c r="G159" s="36"/>
      <c r="H159" s="54"/>
      <c r="I159" s="36"/>
      <c r="J159" s="36"/>
      <c r="K159" s="34"/>
    </row>
    <row r="160" spans="1:11" x14ac:dyDescent="0.2">
      <c r="A160" s="37" t="s">
        <v>86</v>
      </c>
      <c r="B160" s="38" t="s">
        <v>87</v>
      </c>
      <c r="C160" s="14" t="s">
        <v>0</v>
      </c>
      <c r="D160" s="26"/>
      <c r="E160" s="26"/>
      <c r="F160" s="26"/>
      <c r="G160" s="26"/>
      <c r="H160" s="26"/>
      <c r="I160" s="26"/>
      <c r="J160" s="26"/>
      <c r="K160" s="16"/>
    </row>
    <row r="161" spans="1:11" x14ac:dyDescent="0.2">
      <c r="A161" s="39"/>
      <c r="B161" s="40"/>
      <c r="C161" s="15" t="s">
        <v>1</v>
      </c>
      <c r="D161" s="27"/>
      <c r="E161" s="27"/>
      <c r="F161" s="27"/>
      <c r="G161" s="27"/>
      <c r="H161" s="27"/>
      <c r="I161" s="27"/>
      <c r="J161" s="27"/>
      <c r="K161" s="17"/>
    </row>
    <row r="162" spans="1:11" x14ac:dyDescent="0.2">
      <c r="A162" s="39"/>
      <c r="B162" s="40"/>
      <c r="C162" s="15" t="s">
        <v>2</v>
      </c>
      <c r="D162" s="4"/>
      <c r="E162" s="4"/>
      <c r="F162" s="4"/>
      <c r="G162" s="4"/>
      <c r="H162" s="4"/>
      <c r="I162" s="4"/>
      <c r="J162" s="4"/>
      <c r="K162" s="17"/>
    </row>
    <row r="163" spans="1:11" x14ac:dyDescent="0.2">
      <c r="A163" s="39"/>
      <c r="B163" s="40"/>
      <c r="C163" s="15" t="s">
        <v>3</v>
      </c>
      <c r="D163" s="43" t="str">
        <f t="shared" ref="D163:J163" si="25">IF(D160="","",IF(D161&gt;D160,(D161-D160-D162)*24,(1-D160-D162+D161)*24))</f>
        <v/>
      </c>
      <c r="E163" s="43" t="str">
        <f t="shared" si="25"/>
        <v/>
      </c>
      <c r="F163" s="43" t="str">
        <f t="shared" si="25"/>
        <v/>
      </c>
      <c r="G163" s="43" t="str">
        <f t="shared" si="25"/>
        <v/>
      </c>
      <c r="H163" s="43" t="str">
        <f t="shared" si="25"/>
        <v/>
      </c>
      <c r="I163" s="43" t="str">
        <f t="shared" si="25"/>
        <v/>
      </c>
      <c r="J163" s="44" t="str">
        <f t="shared" si="25"/>
        <v/>
      </c>
      <c r="K163" s="18">
        <f>SUMIF(D164:J164,"",D163:J163)</f>
        <v>0</v>
      </c>
    </row>
    <row r="164" spans="1:11" x14ac:dyDescent="0.2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</row>
    <row r="165" spans="1:11" ht="13.5" thickBot="1" x14ac:dyDescent="0.25">
      <c r="A165" s="41"/>
      <c r="B165" s="42"/>
      <c r="C165" s="35" t="s">
        <v>28</v>
      </c>
      <c r="D165" s="66"/>
      <c r="E165" s="36"/>
      <c r="F165" s="36"/>
      <c r="G165" s="36"/>
      <c r="H165" s="54"/>
      <c r="I165" s="36"/>
      <c r="J165" s="36"/>
      <c r="K165" s="34"/>
    </row>
    <row r="166" spans="1:11" x14ac:dyDescent="0.2">
      <c r="A166" s="37" t="s">
        <v>110</v>
      </c>
      <c r="B166" s="38" t="s">
        <v>111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</row>
    <row r="167" spans="1:11" x14ac:dyDescent="0.2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</row>
    <row r="168" spans="1:11" x14ac:dyDescent="0.2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</row>
    <row r="169" spans="1:11" x14ac:dyDescent="0.2">
      <c r="A169" s="39"/>
      <c r="B169" s="40"/>
      <c r="C169" s="15" t="s">
        <v>3</v>
      </c>
      <c r="D169" s="43" t="str">
        <f t="shared" ref="D169:J169" si="26">IF(D166="","",IF(D167&gt;D166,(D167-D166-D168)*24,(1-D166-D168+D167)*24))</f>
        <v/>
      </c>
      <c r="E169" s="43" t="str">
        <f t="shared" si="26"/>
        <v/>
      </c>
      <c r="F169" s="43" t="str">
        <f t="shared" si="26"/>
        <v/>
      </c>
      <c r="G169" s="43" t="str">
        <f t="shared" si="26"/>
        <v/>
      </c>
      <c r="H169" s="43" t="str">
        <f t="shared" si="26"/>
        <v/>
      </c>
      <c r="I169" s="43" t="str">
        <f t="shared" si="26"/>
        <v/>
      </c>
      <c r="J169" s="44" t="str">
        <f t="shared" si="26"/>
        <v/>
      </c>
      <c r="K169" s="18">
        <f>SUMIF(D170:J170,"",D169:J169)</f>
        <v>0</v>
      </c>
    </row>
    <row r="170" spans="1:11" x14ac:dyDescent="0.2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</row>
    <row r="171" spans="1:11" ht="13.5" thickBot="1" x14ac:dyDescent="0.25">
      <c r="A171" s="41"/>
      <c r="B171" s="42"/>
      <c r="C171" s="35" t="s">
        <v>28</v>
      </c>
      <c r="D171" s="66"/>
      <c r="E171" s="36"/>
      <c r="F171" s="36"/>
      <c r="G171" s="36"/>
      <c r="H171" s="54"/>
      <c r="I171" s="36"/>
      <c r="J171" s="36"/>
      <c r="K171" s="34"/>
    </row>
    <row r="172" spans="1:11" x14ac:dyDescent="0.2">
      <c r="A172" s="37" t="s">
        <v>133</v>
      </c>
      <c r="B172" s="38" t="s">
        <v>134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</row>
    <row r="173" spans="1:11" x14ac:dyDescent="0.2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</row>
    <row r="174" spans="1:11" x14ac:dyDescent="0.2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</row>
    <row r="175" spans="1:11" x14ac:dyDescent="0.2">
      <c r="A175" s="39"/>
      <c r="B175" s="40"/>
      <c r="C175" s="15" t="s">
        <v>3</v>
      </c>
      <c r="D175" s="43" t="str">
        <f t="shared" ref="D175:J175" si="27">IF(D172="","",IF(D173&gt;D172,(D173-D172-D174)*24,(1-D172-D174+D173)*24))</f>
        <v/>
      </c>
      <c r="E175" s="43" t="str">
        <f t="shared" si="27"/>
        <v/>
      </c>
      <c r="F175" s="43" t="str">
        <f t="shared" si="27"/>
        <v/>
      </c>
      <c r="G175" s="43" t="str">
        <f t="shared" si="27"/>
        <v/>
      </c>
      <c r="H175" s="43" t="str">
        <f t="shared" si="27"/>
        <v/>
      </c>
      <c r="I175" s="43" t="str">
        <f t="shared" si="27"/>
        <v/>
      </c>
      <c r="J175" s="44" t="str">
        <f t="shared" si="27"/>
        <v/>
      </c>
      <c r="K175" s="18">
        <f>SUMIF(D176:J176,"",D175:J175)</f>
        <v>0</v>
      </c>
    </row>
    <row r="176" spans="1:11" x14ac:dyDescent="0.2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</row>
    <row r="177" spans="1:11" ht="13.5" thickBot="1" x14ac:dyDescent="0.25">
      <c r="A177" s="41"/>
      <c r="B177" s="42"/>
      <c r="C177" s="35" t="s">
        <v>28</v>
      </c>
      <c r="D177" s="66"/>
      <c r="E177" s="36"/>
      <c r="F177" s="36"/>
      <c r="G177" s="36"/>
      <c r="H177" s="54"/>
      <c r="I177" s="36"/>
      <c r="J177" s="36"/>
      <c r="K177" s="34"/>
    </row>
    <row r="178" spans="1:11" x14ac:dyDescent="0.2">
      <c r="A178" s="37" t="s">
        <v>147</v>
      </c>
      <c r="B178" s="38" t="s">
        <v>146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</row>
    <row r="179" spans="1:11" x14ac:dyDescent="0.2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</row>
    <row r="180" spans="1:11" x14ac:dyDescent="0.2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</row>
    <row r="181" spans="1:11" x14ac:dyDescent="0.2">
      <c r="A181" s="39"/>
      <c r="B181" s="40"/>
      <c r="C181" s="15" t="s">
        <v>3</v>
      </c>
      <c r="D181" s="43" t="str">
        <f t="shared" ref="D181:J181" si="28">IF(D178="","",IF(D179&gt;D178,(D179-D178-D180)*24,(1-D178-D180+D179)*24))</f>
        <v/>
      </c>
      <c r="E181" s="43" t="str">
        <f t="shared" si="28"/>
        <v/>
      </c>
      <c r="F181" s="43" t="str">
        <f t="shared" si="28"/>
        <v/>
      </c>
      <c r="G181" s="43" t="str">
        <f t="shared" si="28"/>
        <v/>
      </c>
      <c r="H181" s="43" t="str">
        <f t="shared" si="28"/>
        <v/>
      </c>
      <c r="I181" s="55" t="str">
        <f t="shared" si="28"/>
        <v/>
      </c>
      <c r="J181" s="44" t="str">
        <f t="shared" si="28"/>
        <v/>
      </c>
      <c r="K181" s="18">
        <f>SUMIF(D182:J182,"",D181:J181)</f>
        <v>0</v>
      </c>
    </row>
    <row r="182" spans="1:11" x14ac:dyDescent="0.2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</row>
    <row r="183" spans="1:11" ht="13.5" thickBot="1" x14ac:dyDescent="0.25">
      <c r="A183" s="41"/>
      <c r="B183" s="42"/>
      <c r="C183" s="35" t="s">
        <v>28</v>
      </c>
      <c r="D183" s="54"/>
      <c r="E183" s="36"/>
      <c r="F183" s="36"/>
      <c r="G183" s="36"/>
      <c r="H183" s="36"/>
      <c r="I183" s="36"/>
      <c r="J183" s="36"/>
      <c r="K183" s="34"/>
    </row>
    <row r="184" spans="1:11" x14ac:dyDescent="0.2">
      <c r="A184" s="37" t="s">
        <v>91</v>
      </c>
      <c r="B184" s="38" t="s">
        <v>92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</row>
    <row r="185" spans="1:11" x14ac:dyDescent="0.2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</row>
    <row r="186" spans="1:11" x14ac:dyDescent="0.2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</row>
    <row r="187" spans="1:11" x14ac:dyDescent="0.2">
      <c r="A187" s="39"/>
      <c r="B187" s="40"/>
      <c r="C187" s="15" t="s">
        <v>3</v>
      </c>
      <c r="D187" s="43" t="str">
        <f t="shared" ref="D187:J187" si="29">IF(D184="","",IF(D185&gt;D184,(D185-D184-D186)*24,(1-D184-D186+D185)*24))</f>
        <v/>
      </c>
      <c r="E187" s="43" t="str">
        <f t="shared" si="29"/>
        <v/>
      </c>
      <c r="F187" s="43" t="str">
        <f t="shared" si="29"/>
        <v/>
      </c>
      <c r="G187" s="43" t="str">
        <f t="shared" si="29"/>
        <v/>
      </c>
      <c r="H187" s="43" t="str">
        <f t="shared" si="29"/>
        <v/>
      </c>
      <c r="I187" s="55" t="str">
        <f t="shared" si="29"/>
        <v/>
      </c>
      <c r="J187" s="44" t="str">
        <f t="shared" si="29"/>
        <v/>
      </c>
      <c r="K187" s="18">
        <f>SUMIF(D188:J188,"",D187:J187)</f>
        <v>0</v>
      </c>
    </row>
    <row r="188" spans="1:11" x14ac:dyDescent="0.2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</row>
    <row r="189" spans="1:11" ht="13.5" thickBot="1" x14ac:dyDescent="0.25">
      <c r="A189" s="41"/>
      <c r="B189" s="42"/>
      <c r="C189" s="35" t="s">
        <v>28</v>
      </c>
      <c r="D189" s="54"/>
      <c r="E189" s="36"/>
      <c r="F189" s="36"/>
      <c r="G189" s="36"/>
      <c r="H189" s="36"/>
      <c r="I189" s="36"/>
      <c r="J189" s="36"/>
      <c r="K189" s="34"/>
    </row>
    <row r="190" spans="1:11" x14ac:dyDescent="0.2">
      <c r="A190" s="37" t="s">
        <v>154</v>
      </c>
      <c r="B190" s="38" t="s">
        <v>155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</row>
    <row r="191" spans="1:11" x14ac:dyDescent="0.2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</row>
    <row r="192" spans="1:11" x14ac:dyDescent="0.2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</row>
    <row r="193" spans="1:11" x14ac:dyDescent="0.2">
      <c r="A193" s="39"/>
      <c r="B193" s="40"/>
      <c r="C193" s="15" t="s">
        <v>3</v>
      </c>
      <c r="D193" s="43" t="str">
        <f t="shared" ref="D193:J193" si="30">IF(D190="","",IF(D191&gt;D190,(D191-D190-D192)*24,(1-D190-D192+D191)*24))</f>
        <v/>
      </c>
      <c r="E193" s="43" t="str">
        <f t="shared" si="30"/>
        <v/>
      </c>
      <c r="F193" s="43" t="str">
        <f t="shared" si="30"/>
        <v/>
      </c>
      <c r="G193" s="43" t="str">
        <f t="shared" si="30"/>
        <v/>
      </c>
      <c r="H193" s="43" t="str">
        <f t="shared" si="30"/>
        <v/>
      </c>
      <c r="I193" s="55" t="str">
        <f t="shared" si="30"/>
        <v/>
      </c>
      <c r="J193" s="44" t="str">
        <f t="shared" si="30"/>
        <v/>
      </c>
      <c r="K193" s="18">
        <f>SUMIF(D194:J194,"",D193:J193)</f>
        <v>0</v>
      </c>
    </row>
    <row r="194" spans="1:11" x14ac:dyDescent="0.2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</row>
    <row r="195" spans="1:11" ht="13.5" thickBot="1" x14ac:dyDescent="0.25">
      <c r="A195" s="41"/>
      <c r="B195" s="42"/>
      <c r="C195" s="35" t="s">
        <v>28</v>
      </c>
      <c r="D195" s="54"/>
      <c r="E195" s="36"/>
      <c r="F195" s="36"/>
      <c r="G195" s="36"/>
      <c r="H195" s="36"/>
      <c r="I195" s="36"/>
      <c r="J195" s="36"/>
      <c r="K195" s="34"/>
    </row>
    <row r="196" spans="1:11" x14ac:dyDescent="0.2">
      <c r="A196" s="37" t="s">
        <v>148</v>
      </c>
      <c r="B196" s="38" t="s">
        <v>149</v>
      </c>
      <c r="C196" s="14" t="s">
        <v>0</v>
      </c>
      <c r="D196" s="26"/>
      <c r="E196" s="26"/>
      <c r="F196" s="26"/>
      <c r="G196" s="26"/>
      <c r="H196" s="26"/>
      <c r="I196" s="26"/>
      <c r="J196" s="26"/>
      <c r="K196" s="16"/>
    </row>
    <row r="197" spans="1:11" x14ac:dyDescent="0.2">
      <c r="A197" s="39"/>
      <c r="B197" s="40"/>
      <c r="C197" s="15" t="s">
        <v>1</v>
      </c>
      <c r="D197" s="27"/>
      <c r="E197" s="27"/>
      <c r="F197" s="27"/>
      <c r="G197" s="27"/>
      <c r="H197" s="27"/>
      <c r="I197" s="27"/>
      <c r="J197" s="27"/>
      <c r="K197" s="17"/>
    </row>
    <row r="198" spans="1:11" x14ac:dyDescent="0.2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</row>
    <row r="199" spans="1:11" x14ac:dyDescent="0.2">
      <c r="A199" s="39"/>
      <c r="B199" s="40"/>
      <c r="C199" s="15" t="s">
        <v>3</v>
      </c>
      <c r="D199" s="43" t="str">
        <f t="shared" ref="D199:J199" si="31">IF(D196="","",IF(D197&gt;D196,(D197-D196-D198)*24,(1-D196-D198+D197)*24))</f>
        <v/>
      </c>
      <c r="E199" s="43" t="str">
        <f t="shared" si="31"/>
        <v/>
      </c>
      <c r="F199" s="43" t="str">
        <f t="shared" si="31"/>
        <v/>
      </c>
      <c r="G199" s="43" t="str">
        <f t="shared" si="31"/>
        <v/>
      </c>
      <c r="H199" s="43" t="str">
        <f t="shared" si="31"/>
        <v/>
      </c>
      <c r="I199" s="43" t="str">
        <f t="shared" si="31"/>
        <v/>
      </c>
      <c r="J199" s="44" t="str">
        <f t="shared" si="31"/>
        <v/>
      </c>
      <c r="K199" s="18">
        <f>SUMIF(D200:J200,"",D199:J199)</f>
        <v>0</v>
      </c>
    </row>
    <row r="200" spans="1:11" x14ac:dyDescent="0.2">
      <c r="A200" s="39"/>
      <c r="B200" s="40"/>
      <c r="C200" s="32" t="s">
        <v>4</v>
      </c>
      <c r="D200" s="33"/>
      <c r="E200" s="53"/>
      <c r="F200" s="33"/>
      <c r="G200" s="33"/>
      <c r="H200" s="33"/>
      <c r="I200" s="33"/>
      <c r="J200" s="33"/>
      <c r="K200" s="17"/>
    </row>
    <row r="201" spans="1:11" ht="13.5" thickBot="1" x14ac:dyDescent="0.25">
      <c r="A201" s="41"/>
      <c r="B201" s="42"/>
      <c r="C201" s="35" t="s">
        <v>28</v>
      </c>
      <c r="D201" s="54"/>
      <c r="E201" s="36"/>
      <c r="F201" s="36"/>
      <c r="G201" s="36"/>
      <c r="H201" s="36"/>
      <c r="I201" s="36"/>
      <c r="J201" s="36"/>
      <c r="K201" s="34"/>
    </row>
    <row r="202" spans="1:11" x14ac:dyDescent="0.2">
      <c r="A202" s="37" t="s">
        <v>50</v>
      </c>
      <c r="B202" s="38" t="s">
        <v>51</v>
      </c>
      <c r="C202" s="14" t="s">
        <v>0</v>
      </c>
      <c r="D202" s="26"/>
      <c r="E202" s="26"/>
      <c r="F202" s="26"/>
      <c r="G202" s="26"/>
      <c r="H202" s="26"/>
      <c r="I202" s="26"/>
      <c r="J202" s="26"/>
      <c r="K202" s="16"/>
    </row>
    <row r="203" spans="1:11" x14ac:dyDescent="0.2">
      <c r="A203" s="39"/>
      <c r="B203" s="40"/>
      <c r="C203" s="15" t="s">
        <v>1</v>
      </c>
      <c r="D203" s="27"/>
      <c r="E203" s="27"/>
      <c r="F203" s="27"/>
      <c r="G203" s="27"/>
      <c r="H203" s="27"/>
      <c r="I203" s="27"/>
      <c r="J203" s="27"/>
      <c r="K203" s="17"/>
    </row>
    <row r="204" spans="1:11" x14ac:dyDescent="0.2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</row>
    <row r="205" spans="1:11" x14ac:dyDescent="0.2">
      <c r="A205" s="39"/>
      <c r="B205" s="40"/>
      <c r="C205" s="15" t="s">
        <v>3</v>
      </c>
      <c r="D205" s="43" t="str">
        <f t="shared" ref="D205:J205" si="32">IF(D202="","",IF(D203&gt;D202,(D203-D202-D204)*24,(1-D202-D204+D203)*24))</f>
        <v/>
      </c>
      <c r="E205" s="43" t="str">
        <f t="shared" si="32"/>
        <v/>
      </c>
      <c r="F205" s="43" t="str">
        <f t="shared" si="32"/>
        <v/>
      </c>
      <c r="G205" s="43" t="str">
        <f t="shared" si="32"/>
        <v/>
      </c>
      <c r="H205" s="43" t="str">
        <f t="shared" si="32"/>
        <v/>
      </c>
      <c r="I205" s="43" t="str">
        <f t="shared" si="32"/>
        <v/>
      </c>
      <c r="J205" s="44" t="str">
        <f t="shared" si="32"/>
        <v/>
      </c>
      <c r="K205" s="18">
        <f>SUMIF(D206:J206,"",D205:J205)</f>
        <v>0</v>
      </c>
    </row>
    <row r="206" spans="1:11" x14ac:dyDescent="0.2">
      <c r="A206" s="39"/>
      <c r="B206" s="40"/>
      <c r="C206" s="32" t="s">
        <v>4</v>
      </c>
      <c r="D206" s="33"/>
      <c r="E206" s="53"/>
      <c r="F206" s="33"/>
      <c r="G206" s="33"/>
      <c r="H206" s="33"/>
      <c r="I206" s="33"/>
      <c r="J206" s="33"/>
      <c r="K206" s="17"/>
    </row>
    <row r="207" spans="1:11" ht="13.5" thickBot="1" x14ac:dyDescent="0.25">
      <c r="A207" s="41"/>
      <c r="B207" s="42"/>
      <c r="C207" s="35" t="s">
        <v>28</v>
      </c>
      <c r="D207" s="54"/>
      <c r="E207" s="36"/>
      <c r="F207" s="36"/>
      <c r="G207" s="36"/>
      <c r="H207" s="36"/>
      <c r="I207" s="36"/>
      <c r="J207" s="36"/>
      <c r="K207" s="34"/>
    </row>
    <row r="208" spans="1:11" x14ac:dyDescent="0.2">
      <c r="A208" s="37" t="s">
        <v>116</v>
      </c>
      <c r="B208" s="38" t="s">
        <v>117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</row>
    <row r="209" spans="1:11" x14ac:dyDescent="0.2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</row>
    <row r="210" spans="1:11" x14ac:dyDescent="0.2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</row>
    <row r="211" spans="1:11" x14ac:dyDescent="0.2">
      <c r="A211" s="39"/>
      <c r="B211" s="40"/>
      <c r="C211" s="15" t="s">
        <v>3</v>
      </c>
      <c r="D211" s="43" t="str">
        <f t="shared" ref="D211:J211" si="33">IF(D208="","",IF(D209&gt;D208,(D209-D208-D210)*24,(1-D208-D210+D209)*24))</f>
        <v/>
      </c>
      <c r="E211" s="43" t="str">
        <f t="shared" si="33"/>
        <v/>
      </c>
      <c r="F211" s="43" t="str">
        <f t="shared" si="33"/>
        <v/>
      </c>
      <c r="G211" s="43" t="str">
        <f t="shared" si="33"/>
        <v/>
      </c>
      <c r="H211" s="43" t="str">
        <f t="shared" si="33"/>
        <v/>
      </c>
      <c r="I211" s="43" t="str">
        <f t="shared" si="33"/>
        <v/>
      </c>
      <c r="J211" s="44" t="str">
        <f t="shared" si="33"/>
        <v/>
      </c>
      <c r="K211" s="18">
        <f>SUMIF(D212:J212,"",D211:J211)</f>
        <v>0</v>
      </c>
    </row>
    <row r="212" spans="1:11" x14ac:dyDescent="0.2">
      <c r="A212" s="39"/>
      <c r="B212" s="40"/>
      <c r="C212" s="32" t="s">
        <v>4</v>
      </c>
      <c r="D212" s="33"/>
      <c r="E212" s="53"/>
      <c r="F212" s="33"/>
      <c r="G212" s="33"/>
      <c r="H212" s="33"/>
      <c r="I212" s="33"/>
      <c r="J212" s="33"/>
      <c r="K212" s="17"/>
    </row>
    <row r="213" spans="1:11" ht="13.5" thickBot="1" x14ac:dyDescent="0.25">
      <c r="A213" s="41"/>
      <c r="B213" s="42"/>
      <c r="C213" s="35" t="s">
        <v>28</v>
      </c>
      <c r="D213" s="54"/>
      <c r="E213" s="36"/>
      <c r="F213" s="36"/>
      <c r="G213" s="36"/>
      <c r="H213" s="36"/>
      <c r="I213" s="36"/>
      <c r="J213" s="36"/>
      <c r="K213" s="34"/>
    </row>
    <row r="214" spans="1:11" x14ac:dyDescent="0.2">
      <c r="A214" s="37" t="s">
        <v>119</v>
      </c>
      <c r="B214" s="38" t="s">
        <v>45</v>
      </c>
      <c r="C214" s="14" t="s">
        <v>0</v>
      </c>
      <c r="D214" s="26"/>
      <c r="E214" s="26"/>
      <c r="F214" s="26"/>
      <c r="G214" s="26"/>
      <c r="H214" s="26"/>
      <c r="I214" s="26"/>
      <c r="J214" s="26"/>
      <c r="K214" s="16"/>
    </row>
    <row r="215" spans="1:11" x14ac:dyDescent="0.2">
      <c r="A215" s="39"/>
      <c r="B215" s="40"/>
      <c r="C215" s="15" t="s">
        <v>1</v>
      </c>
      <c r="D215" s="27"/>
      <c r="E215" s="27"/>
      <c r="F215" s="27"/>
      <c r="G215" s="27"/>
      <c r="H215" s="27"/>
      <c r="I215" s="27"/>
      <c r="J215" s="27"/>
      <c r="K215" s="17"/>
    </row>
    <row r="216" spans="1:11" x14ac:dyDescent="0.2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</row>
    <row r="217" spans="1:11" x14ac:dyDescent="0.2">
      <c r="A217" s="39"/>
      <c r="B217" s="40"/>
      <c r="C217" s="15" t="s">
        <v>3</v>
      </c>
      <c r="D217" s="43" t="str">
        <f t="shared" ref="D217:J217" si="34">IF(D214="","",IF(D215&gt;D214,(D215-D214-D216)*24,(1-D214-D216+D215)*24))</f>
        <v/>
      </c>
      <c r="E217" s="43" t="str">
        <f t="shared" si="34"/>
        <v/>
      </c>
      <c r="F217" s="43" t="str">
        <f t="shared" si="34"/>
        <v/>
      </c>
      <c r="G217" s="43" t="str">
        <f t="shared" si="34"/>
        <v/>
      </c>
      <c r="H217" s="43" t="str">
        <f t="shared" si="34"/>
        <v/>
      </c>
      <c r="I217" s="43" t="str">
        <f t="shared" si="34"/>
        <v/>
      </c>
      <c r="J217" s="44" t="str">
        <f t="shared" si="34"/>
        <v/>
      </c>
      <c r="K217" s="18">
        <f>SUMIF(D218:J218,"",D217:J217)</f>
        <v>0</v>
      </c>
    </row>
    <row r="218" spans="1:11" x14ac:dyDescent="0.2">
      <c r="A218" s="39"/>
      <c r="B218" s="40"/>
      <c r="C218" s="32" t="s">
        <v>4</v>
      </c>
      <c r="D218" s="33"/>
      <c r="E218" s="53"/>
      <c r="F218" s="33"/>
      <c r="G218" s="33"/>
      <c r="H218" s="33"/>
      <c r="I218" s="33"/>
      <c r="J218" s="33"/>
      <c r="K218" s="17"/>
    </row>
    <row r="219" spans="1:11" ht="13.5" thickBot="1" x14ac:dyDescent="0.25">
      <c r="A219" s="41"/>
      <c r="B219" s="42"/>
      <c r="C219" s="35" t="s">
        <v>28</v>
      </c>
      <c r="D219" s="54"/>
      <c r="E219" s="36"/>
      <c r="F219" s="36"/>
      <c r="G219" s="36"/>
      <c r="H219" s="36"/>
      <c r="I219" s="36"/>
      <c r="J219" s="36"/>
      <c r="K219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05"/>
  <sheetViews>
    <sheetView zoomScale="80" zoomScaleNormal="80" workbookViewId="0">
      <selection activeCell="E1" sqref="E1:J1048576"/>
    </sheetView>
  </sheetViews>
  <sheetFormatPr defaultRowHeight="12.75" x14ac:dyDescent="0.2"/>
  <cols>
    <col min="1" max="1" width="19.5703125" customWidth="1"/>
    <col min="2" max="2" width="15.140625" customWidth="1"/>
  </cols>
  <sheetData>
    <row r="1" spans="1:7" x14ac:dyDescent="0.2">
      <c r="A1" s="50" t="s">
        <v>34</v>
      </c>
      <c r="B1" s="49"/>
      <c r="C1" s="6"/>
      <c r="D1" s="62" t="s">
        <v>9</v>
      </c>
      <c r="E1" s="5" t="s">
        <v>5</v>
      </c>
      <c r="F1" s="5" t="s">
        <v>5</v>
      </c>
      <c r="G1" s="30"/>
    </row>
    <row r="2" spans="1:7" ht="13.5" thickBot="1" x14ac:dyDescent="0.25">
      <c r="A2" s="29"/>
      <c r="B2" s="48"/>
      <c r="C2" s="6"/>
      <c r="D2" s="31">
        <v>44957</v>
      </c>
      <c r="E2" s="5" t="s">
        <v>6</v>
      </c>
      <c r="F2" s="5" t="s">
        <v>14</v>
      </c>
      <c r="G2" s="51" t="s">
        <v>32</v>
      </c>
    </row>
    <row r="3" spans="1:7" x14ac:dyDescent="0.2">
      <c r="A3" s="37" t="s">
        <v>88</v>
      </c>
      <c r="B3" s="38" t="s">
        <v>47</v>
      </c>
      <c r="C3" s="14" t="s">
        <v>0</v>
      </c>
      <c r="D3" s="26"/>
      <c r="E3" s="16"/>
      <c r="F3" s="6"/>
      <c r="G3" s="52" t="s">
        <v>39</v>
      </c>
    </row>
    <row r="4" spans="1:7" x14ac:dyDescent="0.2">
      <c r="A4" s="39"/>
      <c r="B4" s="40"/>
      <c r="C4" s="15" t="s">
        <v>1</v>
      </c>
      <c r="D4" s="27"/>
      <c r="E4" s="17"/>
      <c r="F4" s="6"/>
      <c r="G4" s="21"/>
    </row>
    <row r="5" spans="1:7" x14ac:dyDescent="0.2">
      <c r="A5" s="39"/>
      <c r="B5" s="40"/>
      <c r="C5" s="15" t="s">
        <v>2</v>
      </c>
      <c r="D5" s="4"/>
      <c r="E5" s="17"/>
      <c r="F5" s="6"/>
      <c r="G5" s="21"/>
    </row>
    <row r="6" spans="1:7" x14ac:dyDescent="0.2">
      <c r="A6" s="39"/>
      <c r="B6" s="40"/>
      <c r="C6" s="15" t="s">
        <v>3</v>
      </c>
      <c r="D6" s="43" t="str">
        <f t="shared" ref="D6" si="0">IF(D3="","",IF(D4&gt;D3,(D4-D3-D5)*24,(1-D3-D5+D4)*24))</f>
        <v/>
      </c>
      <c r="E6" s="18">
        <f>SUMIF(D7:D7,"",D6:D6)</f>
        <v>0</v>
      </c>
      <c r="F6" s="12">
        <f>SUM(D6:D6)</f>
        <v>0</v>
      </c>
      <c r="G6" s="21"/>
    </row>
    <row r="7" spans="1:7" x14ac:dyDescent="0.2">
      <c r="A7" s="39"/>
      <c r="B7" s="40"/>
      <c r="C7" s="32" t="s">
        <v>4</v>
      </c>
      <c r="D7" s="33"/>
      <c r="E7" s="17"/>
      <c r="F7" s="6"/>
      <c r="G7" s="24"/>
    </row>
    <row r="8" spans="1:7" ht="13.5" thickBot="1" x14ac:dyDescent="0.25">
      <c r="A8" s="41"/>
      <c r="B8" s="42"/>
      <c r="C8" s="35" t="s">
        <v>28</v>
      </c>
      <c r="D8" s="36"/>
      <c r="E8" s="34"/>
      <c r="F8" s="6"/>
      <c r="G8" s="25"/>
    </row>
    <row r="9" spans="1:7" x14ac:dyDescent="0.2">
      <c r="A9" s="37" t="s">
        <v>89</v>
      </c>
      <c r="B9" s="38" t="s">
        <v>90</v>
      </c>
      <c r="C9" s="14" t="s">
        <v>0</v>
      </c>
      <c r="D9" s="26"/>
      <c r="E9" s="16"/>
      <c r="F9" s="6"/>
      <c r="G9" s="25"/>
    </row>
    <row r="10" spans="1:7" x14ac:dyDescent="0.2">
      <c r="A10" s="39"/>
      <c r="B10" s="40"/>
      <c r="C10" s="15" t="s">
        <v>1</v>
      </c>
      <c r="D10" s="27"/>
      <c r="E10" s="17"/>
      <c r="F10" s="6"/>
      <c r="G10" s="21"/>
    </row>
    <row r="11" spans="1:7" x14ac:dyDescent="0.2">
      <c r="A11" s="39"/>
      <c r="B11" s="40"/>
      <c r="C11" s="15" t="s">
        <v>2</v>
      </c>
      <c r="D11" s="4"/>
      <c r="E11" s="17"/>
      <c r="F11" s="6"/>
      <c r="G11" s="21"/>
    </row>
    <row r="12" spans="1:7" x14ac:dyDescent="0.2">
      <c r="A12" s="39"/>
      <c r="B12" s="40"/>
      <c r="C12" s="15" t="s">
        <v>3</v>
      </c>
      <c r="D12" s="43" t="str">
        <f t="shared" ref="D12" si="1">IF(D9="","",IF(D10&gt;D9,(D10-D9-D11)*24,(1-D9-D11+D10)*24))</f>
        <v/>
      </c>
      <c r="E12" s="18">
        <f>SUMIF(D13:D13,"",D12:D12)</f>
        <v>0</v>
      </c>
      <c r="F12" s="12">
        <f>SUM(D12:D12)</f>
        <v>0</v>
      </c>
      <c r="G12" s="21"/>
    </row>
    <row r="13" spans="1:7" x14ac:dyDescent="0.2">
      <c r="A13" s="39"/>
      <c r="B13" s="40"/>
      <c r="C13" s="32" t="s">
        <v>4</v>
      </c>
      <c r="D13" s="33"/>
      <c r="E13" s="17"/>
      <c r="F13" s="6"/>
      <c r="G13" s="24"/>
    </row>
    <row r="14" spans="1:7" ht="13.5" thickBot="1" x14ac:dyDescent="0.25">
      <c r="A14" s="41"/>
      <c r="B14" s="42"/>
      <c r="C14" s="35" t="s">
        <v>28</v>
      </c>
      <c r="D14" s="36"/>
      <c r="E14" s="34"/>
      <c r="F14" s="6"/>
      <c r="G14" s="25"/>
    </row>
    <row r="15" spans="1:7" x14ac:dyDescent="0.2">
      <c r="A15" s="37" t="s">
        <v>97</v>
      </c>
      <c r="B15" s="38" t="s">
        <v>98</v>
      </c>
      <c r="C15" s="14" t="s">
        <v>0</v>
      </c>
      <c r="D15" s="26"/>
      <c r="E15" s="16"/>
      <c r="F15" s="6"/>
      <c r="G15" s="25"/>
    </row>
    <row r="16" spans="1:7" x14ac:dyDescent="0.2">
      <c r="A16" s="39"/>
      <c r="B16" s="40"/>
      <c r="C16" s="15" t="s">
        <v>1</v>
      </c>
      <c r="D16" s="27"/>
      <c r="E16" s="17"/>
      <c r="F16" s="6"/>
      <c r="G16" s="21"/>
    </row>
    <row r="17" spans="1:7" x14ac:dyDescent="0.2">
      <c r="A17" s="39"/>
      <c r="B17" s="40"/>
      <c r="C17" s="15" t="s">
        <v>2</v>
      </c>
      <c r="D17" s="4"/>
      <c r="E17" s="17"/>
      <c r="F17" s="6"/>
      <c r="G17" s="21"/>
    </row>
    <row r="18" spans="1:7" x14ac:dyDescent="0.2">
      <c r="A18" s="39"/>
      <c r="B18" s="40"/>
      <c r="C18" s="15" t="s">
        <v>3</v>
      </c>
      <c r="D18" s="43" t="str">
        <f t="shared" ref="D18" si="2">IF(D15="","",IF(D16&gt;D15,(D16-D15-D17)*24,(1-D15-D17+D16)*24))</f>
        <v/>
      </c>
      <c r="E18" s="18">
        <f>SUMIF(D19:D19,"",D18:D18)</f>
        <v>0</v>
      </c>
      <c r="F18" s="12">
        <f>SUM(D18:D18)</f>
        <v>0</v>
      </c>
      <c r="G18" s="21"/>
    </row>
    <row r="19" spans="1:7" x14ac:dyDescent="0.2">
      <c r="A19" s="39"/>
      <c r="B19" s="40"/>
      <c r="C19" s="32" t="s">
        <v>4</v>
      </c>
      <c r="D19" s="33"/>
      <c r="E19" s="17"/>
      <c r="F19" s="6"/>
      <c r="G19" s="24"/>
    </row>
    <row r="20" spans="1:7" ht="13.5" thickBot="1" x14ac:dyDescent="0.25">
      <c r="A20" s="41"/>
      <c r="B20" s="42"/>
      <c r="C20" s="35" t="s">
        <v>28</v>
      </c>
      <c r="D20" s="36"/>
      <c r="E20" s="34"/>
      <c r="F20" s="6"/>
      <c r="G20" s="25"/>
    </row>
    <row r="21" spans="1:7" x14ac:dyDescent="0.2">
      <c r="A21" s="37" t="s">
        <v>128</v>
      </c>
      <c r="B21" s="38" t="s">
        <v>37</v>
      </c>
      <c r="C21" s="14" t="s">
        <v>0</v>
      </c>
      <c r="D21" s="45"/>
      <c r="E21" s="16"/>
      <c r="F21" s="6"/>
      <c r="G21" s="25"/>
    </row>
    <row r="22" spans="1:7" x14ac:dyDescent="0.2">
      <c r="A22" s="39"/>
      <c r="B22" s="40"/>
      <c r="C22" s="15" t="s">
        <v>1</v>
      </c>
      <c r="D22" s="3"/>
      <c r="E22" s="17"/>
      <c r="F22" s="6"/>
      <c r="G22" s="21"/>
    </row>
    <row r="23" spans="1:7" x14ac:dyDescent="0.2">
      <c r="A23" s="39"/>
      <c r="B23" s="40"/>
      <c r="C23" s="15" t="s">
        <v>2</v>
      </c>
      <c r="D23" s="4"/>
      <c r="E23" s="17"/>
      <c r="F23" s="6"/>
      <c r="G23" s="21"/>
    </row>
    <row r="24" spans="1:7" x14ac:dyDescent="0.2">
      <c r="A24" s="39"/>
      <c r="B24" s="40"/>
      <c r="C24" s="15" t="s">
        <v>3</v>
      </c>
      <c r="D24" s="19"/>
      <c r="E24" s="18">
        <f>SUMIF(D25:D25,"",D24:D24)</f>
        <v>0</v>
      </c>
      <c r="F24" s="12">
        <f>SUM(D24:D24)</f>
        <v>0</v>
      </c>
      <c r="G24" s="21"/>
    </row>
    <row r="25" spans="1:7" x14ac:dyDescent="0.2">
      <c r="A25" s="39"/>
      <c r="B25" s="40"/>
      <c r="C25" s="32" t="s">
        <v>4</v>
      </c>
      <c r="D25" s="56"/>
      <c r="E25" s="17"/>
      <c r="F25" s="6"/>
      <c r="G25" s="24"/>
    </row>
    <row r="26" spans="1:7" ht="13.5" thickBot="1" x14ac:dyDescent="0.25">
      <c r="A26" s="41"/>
      <c r="B26" s="42"/>
      <c r="C26" s="35" t="s">
        <v>28</v>
      </c>
      <c r="D26" s="36"/>
      <c r="E26" s="34"/>
      <c r="F26" s="6"/>
      <c r="G26" s="25"/>
    </row>
    <row r="27" spans="1:7" x14ac:dyDescent="0.2">
      <c r="A27" s="37" t="s">
        <v>65</v>
      </c>
      <c r="B27" s="38" t="s">
        <v>66</v>
      </c>
      <c r="C27" s="14" t="s">
        <v>0</v>
      </c>
      <c r="D27" s="26"/>
      <c r="E27" s="16"/>
      <c r="F27" s="6"/>
      <c r="G27" s="25"/>
    </row>
    <row r="28" spans="1:7" x14ac:dyDescent="0.2">
      <c r="A28" s="39"/>
      <c r="B28" s="40"/>
      <c r="C28" s="15" t="s">
        <v>1</v>
      </c>
      <c r="D28" s="27"/>
      <c r="E28" s="17"/>
      <c r="F28" s="6"/>
      <c r="G28" s="21"/>
    </row>
    <row r="29" spans="1:7" x14ac:dyDescent="0.2">
      <c r="A29" s="39"/>
      <c r="B29" s="40"/>
      <c r="C29" s="15" t="s">
        <v>2</v>
      </c>
      <c r="D29" s="4"/>
      <c r="E29" s="17"/>
      <c r="F29" s="6"/>
      <c r="G29" s="21"/>
    </row>
    <row r="30" spans="1:7" x14ac:dyDescent="0.2">
      <c r="A30" s="39"/>
      <c r="B30" s="40"/>
      <c r="C30" s="15" t="s">
        <v>3</v>
      </c>
      <c r="D30" s="43" t="str">
        <f t="shared" ref="D30" si="3">IF(D27="","",IF(D28&gt;D27,(D28-D27-D29)*24,(1-D27-D29+D28)*24))</f>
        <v/>
      </c>
      <c r="E30" s="18">
        <f>SUMIF(D31:D31,"",D30:D30)</f>
        <v>0</v>
      </c>
      <c r="F30" s="12">
        <f>SUM(D30:D30)</f>
        <v>0</v>
      </c>
      <c r="G30" s="21"/>
    </row>
    <row r="31" spans="1:7" x14ac:dyDescent="0.2">
      <c r="A31" s="39"/>
      <c r="B31" s="40"/>
      <c r="C31" s="32" t="s">
        <v>4</v>
      </c>
      <c r="D31" s="33"/>
      <c r="E31" s="17"/>
      <c r="F31" s="6"/>
      <c r="G31" s="24"/>
    </row>
    <row r="32" spans="1:7" ht="13.5" thickBot="1" x14ac:dyDescent="0.25">
      <c r="A32" s="41"/>
      <c r="B32" s="42"/>
      <c r="C32" s="35" t="s">
        <v>28</v>
      </c>
      <c r="D32" s="36"/>
      <c r="E32" s="34"/>
      <c r="F32" s="6"/>
      <c r="G32" s="25"/>
    </row>
    <row r="33" spans="1:7" x14ac:dyDescent="0.2">
      <c r="A33" s="37" t="s">
        <v>79</v>
      </c>
      <c r="B33" s="38" t="s">
        <v>55</v>
      </c>
      <c r="C33" s="14" t="s">
        <v>0</v>
      </c>
      <c r="D33" s="26"/>
      <c r="E33" s="16"/>
      <c r="F33" s="6"/>
      <c r="G33" s="25"/>
    </row>
    <row r="34" spans="1:7" x14ac:dyDescent="0.2">
      <c r="A34" s="39"/>
      <c r="B34" s="40"/>
      <c r="C34" s="15" t="s">
        <v>1</v>
      </c>
      <c r="D34" s="27"/>
      <c r="E34" s="17"/>
      <c r="F34" s="6"/>
      <c r="G34" s="21"/>
    </row>
    <row r="35" spans="1:7" x14ac:dyDescent="0.2">
      <c r="A35" s="39"/>
      <c r="B35" s="40"/>
      <c r="C35" s="15" t="s">
        <v>2</v>
      </c>
      <c r="D35" s="4"/>
      <c r="E35" s="17"/>
      <c r="F35" s="6"/>
      <c r="G35" s="21"/>
    </row>
    <row r="36" spans="1:7" x14ac:dyDescent="0.2">
      <c r="A36" s="39"/>
      <c r="B36" s="40"/>
      <c r="C36" s="15" t="s">
        <v>3</v>
      </c>
      <c r="D36" s="43" t="str">
        <f t="shared" ref="D36" si="4">IF(D33="","",IF(D34&gt;D33,(D34-D33-D35)*24,(1-D33-D35+D34)*24))</f>
        <v/>
      </c>
      <c r="E36" s="18">
        <f>SUMIF(D37:D37,"",D36:D36)</f>
        <v>0</v>
      </c>
      <c r="F36" s="12">
        <f>SUM(D36:D36)</f>
        <v>0</v>
      </c>
      <c r="G36" s="21"/>
    </row>
    <row r="37" spans="1:7" x14ac:dyDescent="0.2">
      <c r="A37" s="39"/>
      <c r="B37" s="40"/>
      <c r="C37" s="32" t="s">
        <v>4</v>
      </c>
      <c r="D37" s="33"/>
      <c r="E37" s="17"/>
      <c r="F37" s="6"/>
      <c r="G37" s="24"/>
    </row>
    <row r="38" spans="1:7" ht="13.5" thickBot="1" x14ac:dyDescent="0.25">
      <c r="A38" s="41"/>
      <c r="B38" s="42"/>
      <c r="C38" s="35" t="s">
        <v>28</v>
      </c>
      <c r="D38" s="36"/>
      <c r="E38" s="34"/>
      <c r="F38" s="6"/>
      <c r="G38" s="25"/>
    </row>
    <row r="39" spans="1:7" x14ac:dyDescent="0.2">
      <c r="A39" s="37" t="s">
        <v>80</v>
      </c>
      <c r="B39" s="38" t="s">
        <v>81</v>
      </c>
      <c r="C39" s="14" t="s">
        <v>0</v>
      </c>
      <c r="D39" s="26"/>
      <c r="E39" s="16"/>
      <c r="F39" s="6"/>
      <c r="G39" s="25"/>
    </row>
    <row r="40" spans="1:7" x14ac:dyDescent="0.2">
      <c r="A40" s="39"/>
      <c r="B40" s="40"/>
      <c r="C40" s="15" t="s">
        <v>1</v>
      </c>
      <c r="D40" s="27"/>
      <c r="E40" s="17"/>
      <c r="F40" s="6"/>
      <c r="G40" s="21"/>
    </row>
    <row r="41" spans="1:7" x14ac:dyDescent="0.2">
      <c r="A41" s="39"/>
      <c r="B41" s="40"/>
      <c r="C41" s="15" t="s">
        <v>2</v>
      </c>
      <c r="D41" s="4"/>
      <c r="E41" s="17"/>
      <c r="F41" s="6"/>
      <c r="G41" s="21"/>
    </row>
    <row r="42" spans="1:7" x14ac:dyDescent="0.2">
      <c r="A42" s="39"/>
      <c r="B42" s="40"/>
      <c r="C42" s="15" t="s">
        <v>3</v>
      </c>
      <c r="D42" s="43" t="str">
        <f t="shared" ref="D42" si="5">IF(D39="","",IF(D40&gt;D39,(D40-D39-D41)*24,(1-D39-D41+D40)*24))</f>
        <v/>
      </c>
      <c r="E42" s="18">
        <f>SUMIF(D43:D43,"",D42:D42)</f>
        <v>0</v>
      </c>
      <c r="F42" s="12">
        <f>SUM(D42:D42)</f>
        <v>0</v>
      </c>
      <c r="G42" s="21"/>
    </row>
    <row r="43" spans="1:7" x14ac:dyDescent="0.2">
      <c r="A43" s="39"/>
      <c r="B43" s="40"/>
      <c r="C43" s="32" t="s">
        <v>4</v>
      </c>
      <c r="D43" s="33"/>
      <c r="E43" s="17"/>
      <c r="F43" s="6"/>
      <c r="G43" s="24"/>
    </row>
    <row r="44" spans="1:7" ht="13.5" thickBot="1" x14ac:dyDescent="0.25">
      <c r="A44" s="41"/>
      <c r="B44" s="42"/>
      <c r="C44" s="35" t="s">
        <v>28</v>
      </c>
      <c r="D44" s="36"/>
      <c r="E44" s="34"/>
      <c r="F44" s="6"/>
      <c r="G44" s="25"/>
    </row>
    <row r="45" spans="1:7" x14ac:dyDescent="0.2">
      <c r="A45" s="37" t="s">
        <v>53</v>
      </c>
      <c r="B45" s="38" t="s">
        <v>54</v>
      </c>
      <c r="C45" s="14" t="s">
        <v>0</v>
      </c>
      <c r="D45" s="26"/>
      <c r="E45" s="16"/>
      <c r="F45" s="6"/>
      <c r="G45" s="25"/>
    </row>
    <row r="46" spans="1:7" x14ac:dyDescent="0.2">
      <c r="A46" s="39"/>
      <c r="B46" s="40"/>
      <c r="C46" s="15" t="s">
        <v>1</v>
      </c>
      <c r="D46" s="27"/>
      <c r="E46" s="17"/>
      <c r="F46" s="6"/>
      <c r="G46" s="21"/>
    </row>
    <row r="47" spans="1:7" x14ac:dyDescent="0.2">
      <c r="A47" s="39"/>
      <c r="B47" s="40"/>
      <c r="C47" s="15" t="s">
        <v>2</v>
      </c>
      <c r="D47" s="4"/>
      <c r="E47" s="17"/>
      <c r="F47" s="6"/>
      <c r="G47" s="21"/>
    </row>
    <row r="48" spans="1:7" x14ac:dyDescent="0.2">
      <c r="A48" s="39"/>
      <c r="B48" s="40"/>
      <c r="C48" s="15" t="s">
        <v>3</v>
      </c>
      <c r="D48" s="43" t="str">
        <f t="shared" ref="D48" si="6">IF(D45="","",IF(D46&gt;D45,(D46-D45-D47)*24,(1-D45-D47+D46)*24))</f>
        <v/>
      </c>
      <c r="E48" s="18">
        <f>SUMIF(D49:D49,"",D48:D48)</f>
        <v>0</v>
      </c>
      <c r="F48" s="12">
        <f>SUM(D48:D48)</f>
        <v>0</v>
      </c>
      <c r="G48" s="21"/>
    </row>
    <row r="49" spans="1:7" x14ac:dyDescent="0.2">
      <c r="A49" s="39"/>
      <c r="B49" s="40"/>
      <c r="C49" s="32" t="s">
        <v>4</v>
      </c>
      <c r="D49" s="33"/>
      <c r="E49" s="17"/>
      <c r="F49" s="6"/>
      <c r="G49" s="24"/>
    </row>
    <row r="50" spans="1:7" ht="13.5" thickBot="1" x14ac:dyDescent="0.25">
      <c r="A50" s="41"/>
      <c r="B50" s="42"/>
      <c r="C50" s="35" t="s">
        <v>28</v>
      </c>
      <c r="D50" s="54"/>
      <c r="E50" s="34"/>
      <c r="F50" s="6"/>
      <c r="G50" s="25"/>
    </row>
    <row r="51" spans="1:7" x14ac:dyDescent="0.2">
      <c r="A51" s="37" t="s">
        <v>84</v>
      </c>
      <c r="B51" s="38" t="s">
        <v>85</v>
      </c>
      <c r="C51" s="14" t="s">
        <v>0</v>
      </c>
      <c r="D51" s="26"/>
      <c r="E51" s="16"/>
      <c r="F51" s="6"/>
      <c r="G51" s="25"/>
    </row>
    <row r="52" spans="1:7" x14ac:dyDescent="0.2">
      <c r="A52" s="39"/>
      <c r="B52" s="40"/>
      <c r="C52" s="15" t="s">
        <v>1</v>
      </c>
      <c r="D52" s="27"/>
      <c r="E52" s="17"/>
      <c r="F52" s="6"/>
      <c r="G52" s="21"/>
    </row>
    <row r="53" spans="1:7" x14ac:dyDescent="0.2">
      <c r="A53" s="39"/>
      <c r="B53" s="40"/>
      <c r="C53" s="15" t="s">
        <v>2</v>
      </c>
      <c r="D53" s="4"/>
      <c r="E53" s="17"/>
      <c r="F53" s="6"/>
      <c r="G53" s="21"/>
    </row>
    <row r="54" spans="1:7" x14ac:dyDescent="0.2">
      <c r="A54" s="39"/>
      <c r="B54" s="40"/>
      <c r="C54" s="15" t="s">
        <v>3</v>
      </c>
      <c r="D54" s="43" t="str">
        <f t="shared" ref="D54" si="7">IF(D51="","",IF(D52&gt;D51,(D52-D51-D53)*24,(1-D51-D53+D52)*24))</f>
        <v/>
      </c>
      <c r="E54" s="18">
        <f>SUMIF(D55:D55,"",D54:D54)</f>
        <v>0</v>
      </c>
      <c r="F54" s="12">
        <f>SUM(D54:D54)</f>
        <v>0</v>
      </c>
      <c r="G54" s="21"/>
    </row>
    <row r="55" spans="1:7" x14ac:dyDescent="0.2">
      <c r="A55" s="39"/>
      <c r="B55" s="40"/>
      <c r="C55" s="32" t="s">
        <v>4</v>
      </c>
      <c r="D55" s="33"/>
      <c r="E55" s="17"/>
      <c r="F55" s="6"/>
      <c r="G55" s="24"/>
    </row>
    <row r="56" spans="1:7" ht="13.5" thickBot="1" x14ac:dyDescent="0.25">
      <c r="A56" s="41"/>
      <c r="B56" s="42"/>
      <c r="C56" s="35" t="s">
        <v>28</v>
      </c>
      <c r="D56" s="54"/>
      <c r="E56" s="34"/>
      <c r="F56" s="6"/>
      <c r="G56" s="25"/>
    </row>
    <row r="57" spans="1:7" x14ac:dyDescent="0.2">
      <c r="A57" s="37" t="s">
        <v>103</v>
      </c>
      <c r="B57" s="38" t="s">
        <v>104</v>
      </c>
      <c r="C57" s="14" t="s">
        <v>0</v>
      </c>
      <c r="D57" s="26"/>
      <c r="E57" s="16"/>
      <c r="F57" s="6"/>
      <c r="G57" s="25"/>
    </row>
    <row r="58" spans="1:7" x14ac:dyDescent="0.2">
      <c r="A58" s="39"/>
      <c r="B58" s="40"/>
      <c r="C58" s="15" t="s">
        <v>1</v>
      </c>
      <c r="D58" s="27"/>
      <c r="E58" s="17"/>
      <c r="F58" s="6"/>
      <c r="G58" s="21"/>
    </row>
    <row r="59" spans="1:7" x14ac:dyDescent="0.2">
      <c r="A59" s="39"/>
      <c r="B59" s="40"/>
      <c r="C59" s="15" t="s">
        <v>2</v>
      </c>
      <c r="D59" s="4"/>
      <c r="E59" s="17"/>
      <c r="F59" s="6"/>
      <c r="G59" s="21"/>
    </row>
    <row r="60" spans="1:7" x14ac:dyDescent="0.2">
      <c r="A60" s="39"/>
      <c r="B60" s="40"/>
      <c r="C60" s="15" t="s">
        <v>3</v>
      </c>
      <c r="D60" s="43" t="str">
        <f t="shared" ref="D60" si="8">IF(D57="","",IF(D58&gt;D57,(D58-D57-D59)*24,(1-D57-D59+D58)*24))</f>
        <v/>
      </c>
      <c r="E60" s="18">
        <f>SUMIF(D61:D61,"",D60:D60)</f>
        <v>0</v>
      </c>
      <c r="F60" s="12">
        <f>SUM(D60:D60)</f>
        <v>0</v>
      </c>
      <c r="G60" s="21"/>
    </row>
    <row r="61" spans="1:7" x14ac:dyDescent="0.2">
      <c r="A61" s="39"/>
      <c r="B61" s="40"/>
      <c r="C61" s="32" t="s">
        <v>4</v>
      </c>
      <c r="D61" s="33"/>
      <c r="E61" s="17"/>
      <c r="F61" s="6"/>
      <c r="G61" s="24"/>
    </row>
    <row r="62" spans="1:7" ht="13.5" thickBot="1" x14ac:dyDescent="0.25">
      <c r="A62" s="41"/>
      <c r="B62" s="42"/>
      <c r="C62" s="35" t="s">
        <v>28</v>
      </c>
      <c r="D62" s="54"/>
      <c r="E62" s="34"/>
      <c r="F62" s="6"/>
      <c r="G62" s="25"/>
    </row>
    <row r="63" spans="1:7" x14ac:dyDescent="0.2">
      <c r="A63" s="37" t="s">
        <v>129</v>
      </c>
      <c r="B63" s="38" t="s">
        <v>130</v>
      </c>
      <c r="C63" s="14" t="s">
        <v>0</v>
      </c>
      <c r="D63" s="26"/>
      <c r="E63" s="16"/>
      <c r="F63" s="6"/>
      <c r="G63" s="25"/>
    </row>
    <row r="64" spans="1:7" x14ac:dyDescent="0.2">
      <c r="A64" s="39"/>
      <c r="B64" s="40"/>
      <c r="C64" s="15" t="s">
        <v>1</v>
      </c>
      <c r="D64" s="27"/>
      <c r="E64" s="17"/>
      <c r="F64" s="6"/>
      <c r="G64" s="21"/>
    </row>
    <row r="65" spans="1:7" x14ac:dyDescent="0.2">
      <c r="A65" s="39"/>
      <c r="B65" s="40"/>
      <c r="C65" s="15" t="s">
        <v>2</v>
      </c>
      <c r="D65" s="4"/>
      <c r="E65" s="17"/>
      <c r="F65" s="6"/>
      <c r="G65" s="21"/>
    </row>
    <row r="66" spans="1:7" x14ac:dyDescent="0.2">
      <c r="A66" s="39"/>
      <c r="B66" s="40"/>
      <c r="C66" s="15" t="s">
        <v>3</v>
      </c>
      <c r="D66" s="43" t="str">
        <f t="shared" ref="D66" si="9">IF(D63="","",IF(D64&gt;D63,(D64-D63-D65)*24,(1-D63-D65+D64)*24))</f>
        <v/>
      </c>
      <c r="E66" s="18">
        <f>SUMIF(D67:D67,"",D66:D66)</f>
        <v>0</v>
      </c>
      <c r="F66" s="12">
        <f>SUM(D66:D66)</f>
        <v>0</v>
      </c>
      <c r="G66" s="21"/>
    </row>
    <row r="67" spans="1:7" x14ac:dyDescent="0.2">
      <c r="A67" s="39"/>
      <c r="B67" s="40"/>
      <c r="C67" s="32" t="s">
        <v>4</v>
      </c>
      <c r="D67" s="33"/>
      <c r="E67" s="17"/>
      <c r="F67" s="6"/>
      <c r="G67" s="24"/>
    </row>
    <row r="68" spans="1:7" ht="13.5" thickBot="1" x14ac:dyDescent="0.25">
      <c r="A68" s="41"/>
      <c r="B68" s="42"/>
      <c r="C68" s="35" t="s">
        <v>28</v>
      </c>
      <c r="D68" s="54"/>
      <c r="E68" s="34"/>
      <c r="F68" s="6"/>
      <c r="G68" s="25"/>
    </row>
    <row r="69" spans="1:7" x14ac:dyDescent="0.2">
      <c r="A69" s="37" t="s">
        <v>46</v>
      </c>
      <c r="B69" s="38" t="s">
        <v>47</v>
      </c>
      <c r="C69" s="14" t="s">
        <v>0</v>
      </c>
      <c r="D69" s="26"/>
      <c r="E69" s="16"/>
      <c r="F69" s="6"/>
      <c r="G69" s="25"/>
    </row>
    <row r="70" spans="1:7" x14ac:dyDescent="0.2">
      <c r="A70" s="39"/>
      <c r="B70" s="40"/>
      <c r="C70" s="15" t="s">
        <v>1</v>
      </c>
      <c r="D70" s="27"/>
      <c r="E70" s="17"/>
      <c r="F70" s="6"/>
      <c r="G70" s="21"/>
    </row>
    <row r="71" spans="1:7" x14ac:dyDescent="0.2">
      <c r="A71" s="39"/>
      <c r="B71" s="40"/>
      <c r="C71" s="15" t="s">
        <v>2</v>
      </c>
      <c r="D71" s="4"/>
      <c r="E71" s="17"/>
      <c r="F71" s="6"/>
      <c r="G71" s="21"/>
    </row>
    <row r="72" spans="1:7" x14ac:dyDescent="0.2">
      <c r="A72" s="39"/>
      <c r="B72" s="40"/>
      <c r="C72" s="15" t="s">
        <v>3</v>
      </c>
      <c r="D72" s="43" t="str">
        <f t="shared" ref="D72" si="10">IF(D69="","",IF(D70&gt;D69,(D70-D69-D71)*24,(1-D69-D71+D70)*24))</f>
        <v/>
      </c>
      <c r="E72" s="18">
        <f>SUMIF(D73:D73,"",D72:D72)</f>
        <v>0</v>
      </c>
      <c r="F72" s="12">
        <f>SUM(D72:D72)</f>
        <v>0</v>
      </c>
      <c r="G72" s="21"/>
    </row>
    <row r="73" spans="1:7" x14ac:dyDescent="0.2">
      <c r="A73" s="39"/>
      <c r="B73" s="40"/>
      <c r="C73" s="32" t="s">
        <v>4</v>
      </c>
      <c r="D73" s="33"/>
      <c r="E73" s="17"/>
      <c r="F73" s="6"/>
      <c r="G73" s="24"/>
    </row>
    <row r="74" spans="1:7" ht="13.5" thickBot="1" x14ac:dyDescent="0.25">
      <c r="A74" s="41"/>
      <c r="B74" s="42"/>
      <c r="C74" s="35" t="s">
        <v>28</v>
      </c>
      <c r="D74" s="36"/>
      <c r="E74" s="34"/>
      <c r="F74" s="6"/>
      <c r="G74" s="25"/>
    </row>
    <row r="75" spans="1:7" x14ac:dyDescent="0.2">
      <c r="A75" s="37" t="s">
        <v>67</v>
      </c>
      <c r="B75" s="38" t="s">
        <v>45</v>
      </c>
      <c r="C75" s="14" t="s">
        <v>0</v>
      </c>
      <c r="D75" s="26"/>
      <c r="E75" s="16"/>
      <c r="F75" s="6"/>
      <c r="G75" s="25"/>
    </row>
    <row r="76" spans="1:7" x14ac:dyDescent="0.2">
      <c r="A76" s="39"/>
      <c r="B76" s="40"/>
      <c r="C76" s="15" t="s">
        <v>1</v>
      </c>
      <c r="D76" s="27"/>
      <c r="E76" s="17"/>
      <c r="F76" s="6"/>
      <c r="G76" s="21"/>
    </row>
    <row r="77" spans="1:7" x14ac:dyDescent="0.2">
      <c r="A77" s="39"/>
      <c r="B77" s="40"/>
      <c r="C77" s="15" t="s">
        <v>2</v>
      </c>
      <c r="D77" s="4"/>
      <c r="E77" s="17"/>
      <c r="F77" s="6"/>
      <c r="G77" s="21"/>
    </row>
    <row r="78" spans="1:7" x14ac:dyDescent="0.2">
      <c r="A78" s="39"/>
      <c r="B78" s="40"/>
      <c r="C78" s="15" t="s">
        <v>3</v>
      </c>
      <c r="D78" s="43" t="str">
        <f t="shared" ref="D78" si="11">IF(D75="","",IF(D76&gt;D75,(D76-D75-D77)*24,(1-D75-D77+D76)*24))</f>
        <v/>
      </c>
      <c r="E78" s="18">
        <f>SUMIF(D79:D79,"",D78:D78)</f>
        <v>0</v>
      </c>
      <c r="F78" s="12">
        <f>SUM(D78:D78)</f>
        <v>0</v>
      </c>
      <c r="G78" s="21"/>
    </row>
    <row r="79" spans="1:7" x14ac:dyDescent="0.2">
      <c r="A79" s="39"/>
      <c r="B79" s="40"/>
      <c r="C79" s="32" t="s">
        <v>4</v>
      </c>
      <c r="D79" s="33"/>
      <c r="E79" s="17"/>
      <c r="F79" s="6"/>
      <c r="G79" s="24"/>
    </row>
    <row r="80" spans="1:7" ht="13.5" thickBot="1" x14ac:dyDescent="0.25">
      <c r="A80" s="41"/>
      <c r="B80" s="42"/>
      <c r="C80" s="35" t="s">
        <v>28</v>
      </c>
      <c r="D80" s="36"/>
      <c r="E80" s="34"/>
      <c r="F80" s="6"/>
      <c r="G80" s="25"/>
    </row>
    <row r="81" spans="1:7" x14ac:dyDescent="0.2">
      <c r="A81" s="37" t="s">
        <v>107</v>
      </c>
      <c r="B81" s="38" t="s">
        <v>113</v>
      </c>
      <c r="C81" s="14" t="s">
        <v>0</v>
      </c>
      <c r="D81" s="26"/>
      <c r="E81" s="16"/>
      <c r="F81" s="6"/>
      <c r="G81" s="25"/>
    </row>
    <row r="82" spans="1:7" x14ac:dyDescent="0.2">
      <c r="A82" s="39"/>
      <c r="B82" s="40"/>
      <c r="C82" s="15" t="s">
        <v>1</v>
      </c>
      <c r="D82" s="27"/>
      <c r="E82" s="17"/>
      <c r="F82" s="6"/>
      <c r="G82" s="21"/>
    </row>
    <row r="83" spans="1:7" x14ac:dyDescent="0.2">
      <c r="A83" s="39"/>
      <c r="B83" s="40"/>
      <c r="C83" s="15" t="s">
        <v>2</v>
      </c>
      <c r="D83" s="4"/>
      <c r="E83" s="17"/>
      <c r="F83" s="6"/>
      <c r="G83" s="21"/>
    </row>
    <row r="84" spans="1:7" x14ac:dyDescent="0.2">
      <c r="A84" s="39"/>
      <c r="B84" s="40"/>
      <c r="C84" s="15" t="s">
        <v>3</v>
      </c>
      <c r="D84" s="43" t="str">
        <f t="shared" ref="D84" si="12">IF(D81="","",IF(D82&gt;D81,(D82-D81-D83)*24,(1-D81-D83+D82)*24))</f>
        <v/>
      </c>
      <c r="E84" s="18">
        <f>SUMIF(D85:D85,"",D84:D84)</f>
        <v>0</v>
      </c>
      <c r="F84" s="12">
        <f>SUM(D84:D84)</f>
        <v>0</v>
      </c>
      <c r="G84" s="21"/>
    </row>
    <row r="85" spans="1:7" x14ac:dyDescent="0.2">
      <c r="A85" s="39"/>
      <c r="B85" s="40"/>
      <c r="C85" s="32" t="s">
        <v>4</v>
      </c>
      <c r="D85" s="33"/>
      <c r="E85" s="17"/>
      <c r="F85" s="6"/>
      <c r="G85" s="24"/>
    </row>
    <row r="86" spans="1:7" ht="13.5" thickBot="1" x14ac:dyDescent="0.25">
      <c r="A86" s="41"/>
      <c r="B86" s="42"/>
      <c r="C86" s="35" t="s">
        <v>28</v>
      </c>
      <c r="D86" s="36"/>
      <c r="E86" s="34"/>
      <c r="F86" s="6"/>
      <c r="G86" s="25"/>
    </row>
    <row r="87" spans="1:7" x14ac:dyDescent="0.2">
      <c r="A87" s="37" t="s">
        <v>76</v>
      </c>
      <c r="B87" s="38" t="s">
        <v>77</v>
      </c>
      <c r="C87" s="14" t="s">
        <v>0</v>
      </c>
      <c r="D87" s="26"/>
      <c r="E87" s="16"/>
      <c r="F87" s="6"/>
      <c r="G87" s="25"/>
    </row>
    <row r="88" spans="1:7" x14ac:dyDescent="0.2">
      <c r="A88" s="39"/>
      <c r="B88" s="40"/>
      <c r="C88" s="15" t="s">
        <v>1</v>
      </c>
      <c r="D88" s="27"/>
      <c r="E88" s="17"/>
      <c r="F88" s="6"/>
      <c r="G88" s="21"/>
    </row>
    <row r="89" spans="1:7" x14ac:dyDescent="0.2">
      <c r="A89" s="39"/>
      <c r="B89" s="40"/>
      <c r="C89" s="15" t="s">
        <v>2</v>
      </c>
      <c r="D89" s="4"/>
      <c r="E89" s="17"/>
      <c r="F89" s="6"/>
      <c r="G89" s="21"/>
    </row>
    <row r="90" spans="1:7" x14ac:dyDescent="0.2">
      <c r="A90" s="39"/>
      <c r="B90" s="40"/>
      <c r="C90" s="15" t="s">
        <v>3</v>
      </c>
      <c r="D90" s="43" t="str">
        <f t="shared" ref="D90" si="13">IF(D87="","",IF(D88&gt;D87,(D88-D87-D89)*24,(1-D87-D89+D88)*24))</f>
        <v/>
      </c>
      <c r="E90" s="18">
        <f>SUMIF(D91:D91,"",D90:D90)</f>
        <v>0</v>
      </c>
      <c r="F90" s="12">
        <f>SUM(D90:D90)</f>
        <v>0</v>
      </c>
      <c r="G90" s="21"/>
    </row>
    <row r="91" spans="1:7" x14ac:dyDescent="0.2">
      <c r="A91" s="39"/>
      <c r="B91" s="40"/>
      <c r="C91" s="32" t="s">
        <v>4</v>
      </c>
      <c r="D91" s="33"/>
      <c r="E91" s="17"/>
      <c r="F91" s="6"/>
      <c r="G91" s="24"/>
    </row>
    <row r="92" spans="1:7" ht="13.5" thickBot="1" x14ac:dyDescent="0.25">
      <c r="A92" s="41"/>
      <c r="B92" s="42"/>
      <c r="C92" s="35" t="s">
        <v>28</v>
      </c>
      <c r="D92" s="36"/>
      <c r="E92" s="34"/>
      <c r="F92" s="6"/>
      <c r="G92" s="25"/>
    </row>
    <row r="93" spans="1:7" x14ac:dyDescent="0.2">
      <c r="A93" s="37" t="s">
        <v>120</v>
      </c>
      <c r="B93" s="38" t="s">
        <v>64</v>
      </c>
      <c r="C93" s="14" t="s">
        <v>0</v>
      </c>
      <c r="D93" s="26"/>
      <c r="E93" s="16"/>
      <c r="F93" s="6"/>
      <c r="G93" s="25"/>
    </row>
    <row r="94" spans="1:7" x14ac:dyDescent="0.2">
      <c r="A94" s="39"/>
      <c r="B94" s="40"/>
      <c r="C94" s="15" t="s">
        <v>1</v>
      </c>
      <c r="D94" s="27"/>
      <c r="E94" s="17"/>
      <c r="F94" s="6"/>
      <c r="G94" s="21"/>
    </row>
    <row r="95" spans="1:7" x14ac:dyDescent="0.2">
      <c r="A95" s="39"/>
      <c r="B95" s="40"/>
      <c r="C95" s="15" t="s">
        <v>2</v>
      </c>
      <c r="D95" s="4"/>
      <c r="E95" s="17"/>
      <c r="F95" s="6"/>
      <c r="G95" s="21"/>
    </row>
    <row r="96" spans="1:7" x14ac:dyDescent="0.2">
      <c r="A96" s="39"/>
      <c r="B96" s="40"/>
      <c r="C96" s="15" t="s">
        <v>3</v>
      </c>
      <c r="D96" s="43" t="str">
        <f t="shared" ref="D96" si="14">IF(D93="","",IF(D94&gt;D93,(D94-D93-D95)*24,(1-D93-D95+D94)*24))</f>
        <v/>
      </c>
      <c r="E96" s="18">
        <f>SUMIF(D97:D97,"",D96:D96)</f>
        <v>0</v>
      </c>
      <c r="F96" s="12">
        <f>SUM(D96:D96)</f>
        <v>0</v>
      </c>
      <c r="G96" s="21"/>
    </row>
    <row r="97" spans="1:7" x14ac:dyDescent="0.2">
      <c r="A97" s="39"/>
      <c r="B97" s="40"/>
      <c r="C97" s="32" t="s">
        <v>4</v>
      </c>
      <c r="D97" s="33"/>
      <c r="E97" s="17"/>
      <c r="F97" s="6"/>
      <c r="G97" s="24"/>
    </row>
    <row r="98" spans="1:7" ht="13.5" thickBot="1" x14ac:dyDescent="0.25">
      <c r="A98" s="41"/>
      <c r="B98" s="42"/>
      <c r="C98" s="35" t="s">
        <v>28</v>
      </c>
      <c r="D98" s="36"/>
      <c r="E98" s="34"/>
      <c r="F98" s="6"/>
      <c r="G98" s="25"/>
    </row>
    <row r="99" spans="1:7" x14ac:dyDescent="0.2">
      <c r="A99" s="37" t="s">
        <v>131</v>
      </c>
      <c r="B99" s="38" t="s">
        <v>132</v>
      </c>
      <c r="C99" s="14" t="s">
        <v>0</v>
      </c>
      <c r="D99" s="26"/>
      <c r="E99" s="16"/>
      <c r="F99" s="6"/>
      <c r="G99" s="25"/>
    </row>
    <row r="100" spans="1:7" x14ac:dyDescent="0.2">
      <c r="A100" s="39"/>
      <c r="B100" s="40"/>
      <c r="C100" s="15" t="s">
        <v>1</v>
      </c>
      <c r="D100" s="27"/>
      <c r="E100" s="17"/>
      <c r="F100" s="6"/>
      <c r="G100" s="21"/>
    </row>
    <row r="101" spans="1:7" x14ac:dyDescent="0.2">
      <c r="A101" s="39"/>
      <c r="B101" s="40"/>
      <c r="C101" s="15" t="s">
        <v>2</v>
      </c>
      <c r="D101" s="4"/>
      <c r="E101" s="17"/>
      <c r="F101" s="6"/>
      <c r="G101" s="21"/>
    </row>
    <row r="102" spans="1:7" x14ac:dyDescent="0.2">
      <c r="A102" s="39"/>
      <c r="B102" s="40"/>
      <c r="C102" s="15" t="s">
        <v>3</v>
      </c>
      <c r="D102" s="43" t="str">
        <f t="shared" ref="D102" si="15">IF(D99="","",IF(D100&gt;D99,(D100-D99-D101)*24,(1-D99-D101+D100)*24))</f>
        <v/>
      </c>
      <c r="E102" s="18">
        <f>SUMIF(D103:D103,"",D102:D102)</f>
        <v>0</v>
      </c>
      <c r="F102" s="12">
        <f>SUM(D102:D102)</f>
        <v>0</v>
      </c>
      <c r="G102" s="21"/>
    </row>
    <row r="103" spans="1:7" x14ac:dyDescent="0.2">
      <c r="A103" s="39"/>
      <c r="B103" s="40"/>
      <c r="C103" s="32" t="s">
        <v>4</v>
      </c>
      <c r="D103" s="33"/>
      <c r="E103" s="17"/>
      <c r="F103" s="6"/>
      <c r="G103" s="24"/>
    </row>
    <row r="104" spans="1:7" ht="13.5" thickBot="1" x14ac:dyDescent="0.25">
      <c r="A104" s="41"/>
      <c r="B104" s="42"/>
      <c r="C104" s="35" t="s">
        <v>28</v>
      </c>
      <c r="D104" s="54"/>
      <c r="E104" s="34"/>
      <c r="F104" s="6"/>
      <c r="G104" s="25"/>
    </row>
    <row r="105" spans="1:7" x14ac:dyDescent="0.2">
      <c r="A105" s="37" t="s">
        <v>58</v>
      </c>
      <c r="B105" s="38" t="s">
        <v>59</v>
      </c>
      <c r="C105" s="14" t="s">
        <v>0</v>
      </c>
      <c r="D105" s="26"/>
      <c r="E105" s="16"/>
      <c r="F105" s="6"/>
      <c r="G105" s="25"/>
    </row>
    <row r="106" spans="1:7" x14ac:dyDescent="0.2">
      <c r="A106" s="39"/>
      <c r="B106" s="40"/>
      <c r="C106" s="15" t="s">
        <v>1</v>
      </c>
      <c r="D106" s="27"/>
      <c r="E106" s="17"/>
      <c r="F106" s="6"/>
      <c r="G106" s="21"/>
    </row>
    <row r="107" spans="1:7" x14ac:dyDescent="0.2">
      <c r="A107" s="39"/>
      <c r="B107" s="40"/>
      <c r="C107" s="15" t="s">
        <v>2</v>
      </c>
      <c r="D107" s="4"/>
      <c r="E107" s="17"/>
      <c r="F107" s="6"/>
      <c r="G107" s="21"/>
    </row>
    <row r="108" spans="1:7" x14ac:dyDescent="0.2">
      <c r="A108" s="39"/>
      <c r="B108" s="40"/>
      <c r="C108" s="15" t="s">
        <v>3</v>
      </c>
      <c r="D108" s="43" t="str">
        <f t="shared" ref="D108" si="16">IF(D105="","",IF(D106&gt;D105,(D106-D105-D107)*24,(1-D105-D107+D106)*24))</f>
        <v/>
      </c>
      <c r="E108" s="18">
        <f>SUMIF(D109:D109,"",D108:D108)</f>
        <v>0</v>
      </c>
      <c r="F108" s="12">
        <f>SUM(D108:D108)</f>
        <v>0</v>
      </c>
      <c r="G108" s="21"/>
    </row>
    <row r="109" spans="1:7" x14ac:dyDescent="0.2">
      <c r="A109" s="39"/>
      <c r="B109" s="40"/>
      <c r="C109" s="32" t="s">
        <v>4</v>
      </c>
      <c r="D109" s="33"/>
      <c r="E109" s="17"/>
      <c r="F109" s="6"/>
      <c r="G109" s="24"/>
    </row>
    <row r="110" spans="1:7" ht="13.5" thickBot="1" x14ac:dyDescent="0.25">
      <c r="A110" s="41"/>
      <c r="B110" s="42"/>
      <c r="C110" s="35" t="s">
        <v>28</v>
      </c>
      <c r="D110" s="54"/>
      <c r="E110" s="34"/>
      <c r="F110" s="6"/>
      <c r="G110" s="25"/>
    </row>
    <row r="111" spans="1:7" x14ac:dyDescent="0.2">
      <c r="A111" s="37" t="s">
        <v>135</v>
      </c>
      <c r="B111" s="38" t="s">
        <v>136</v>
      </c>
      <c r="C111" s="14" t="s">
        <v>0</v>
      </c>
      <c r="D111" s="26"/>
      <c r="E111" s="16"/>
      <c r="F111" s="6"/>
      <c r="G111" s="25"/>
    </row>
    <row r="112" spans="1:7" x14ac:dyDescent="0.2">
      <c r="A112" s="39"/>
      <c r="B112" s="40"/>
      <c r="C112" s="15" t="s">
        <v>1</v>
      </c>
      <c r="D112" s="27"/>
      <c r="E112" s="17"/>
      <c r="F112" s="6"/>
      <c r="G112" s="21"/>
    </row>
    <row r="113" spans="1:7" x14ac:dyDescent="0.2">
      <c r="A113" s="39"/>
      <c r="B113" s="40"/>
      <c r="C113" s="15" t="s">
        <v>2</v>
      </c>
      <c r="D113" s="4"/>
      <c r="E113" s="17"/>
      <c r="F113" s="6"/>
      <c r="G113" s="21"/>
    </row>
    <row r="114" spans="1:7" x14ac:dyDescent="0.2">
      <c r="A114" s="39"/>
      <c r="B114" s="40"/>
      <c r="C114" s="15" t="s">
        <v>3</v>
      </c>
      <c r="D114" s="43" t="str">
        <f t="shared" ref="D114" si="17">IF(D111="","",IF(D112&gt;D111,(D112-D111-D113)*24,(1-D111-D113+D112)*24))</f>
        <v/>
      </c>
      <c r="E114" s="18">
        <f>SUMIF(D115:D115,"",D114:D114)</f>
        <v>0</v>
      </c>
      <c r="F114" s="12">
        <f>SUM(D114:D114)</f>
        <v>0</v>
      </c>
      <c r="G114" s="21"/>
    </row>
    <row r="115" spans="1:7" x14ac:dyDescent="0.2">
      <c r="A115" s="39"/>
      <c r="B115" s="40"/>
      <c r="C115" s="32" t="s">
        <v>4</v>
      </c>
      <c r="D115" s="33"/>
      <c r="E115" s="17"/>
      <c r="F115" s="6"/>
      <c r="G115" s="24"/>
    </row>
    <row r="116" spans="1:7" ht="13.5" thickBot="1" x14ac:dyDescent="0.25">
      <c r="A116" s="41"/>
      <c r="B116" s="42"/>
      <c r="C116" s="35" t="s">
        <v>28</v>
      </c>
      <c r="D116" s="54"/>
      <c r="E116" s="34"/>
      <c r="F116" s="6"/>
      <c r="G116" s="25"/>
    </row>
    <row r="117" spans="1:7" x14ac:dyDescent="0.2">
      <c r="A117" s="37" t="s">
        <v>137</v>
      </c>
      <c r="B117" s="38" t="s">
        <v>138</v>
      </c>
      <c r="C117" s="14" t="s">
        <v>0</v>
      </c>
      <c r="D117" s="26"/>
      <c r="E117" s="16"/>
      <c r="F117" s="6"/>
      <c r="G117" s="25"/>
    </row>
    <row r="118" spans="1:7" x14ac:dyDescent="0.2">
      <c r="A118" s="39"/>
      <c r="B118" s="40"/>
      <c r="C118" s="15" t="s">
        <v>1</v>
      </c>
      <c r="D118" s="27"/>
      <c r="E118" s="17"/>
      <c r="F118" s="6"/>
      <c r="G118" s="21"/>
    </row>
    <row r="119" spans="1:7" x14ac:dyDescent="0.2">
      <c r="A119" s="39"/>
      <c r="B119" s="40"/>
      <c r="C119" s="15" t="s">
        <v>2</v>
      </c>
      <c r="D119" s="4"/>
      <c r="E119" s="17"/>
      <c r="F119" s="6"/>
      <c r="G119" s="21"/>
    </row>
    <row r="120" spans="1:7" x14ac:dyDescent="0.2">
      <c r="A120" s="39"/>
      <c r="B120" s="40"/>
      <c r="C120" s="15" t="s">
        <v>3</v>
      </c>
      <c r="D120" s="43" t="str">
        <f t="shared" ref="D120" si="18">IF(D117="","",IF(D118&gt;D117,(D118-D117-D119)*24,(1-D117-D119+D118)*24))</f>
        <v/>
      </c>
      <c r="E120" s="18">
        <f>SUMIF(D121:D121,"",D120:D120)</f>
        <v>0</v>
      </c>
      <c r="F120" s="12">
        <f>SUM(D120:D120)</f>
        <v>0</v>
      </c>
      <c r="G120" s="21"/>
    </row>
    <row r="121" spans="1:7" x14ac:dyDescent="0.2">
      <c r="A121" s="39"/>
      <c r="B121" s="40"/>
      <c r="C121" s="32" t="s">
        <v>4</v>
      </c>
      <c r="D121" s="33"/>
      <c r="E121" s="17"/>
      <c r="F121" s="6"/>
      <c r="G121" s="24"/>
    </row>
    <row r="122" spans="1:7" ht="13.5" thickBot="1" x14ac:dyDescent="0.25">
      <c r="A122" s="41"/>
      <c r="B122" s="42"/>
      <c r="C122" s="35" t="s">
        <v>28</v>
      </c>
      <c r="D122" s="54"/>
      <c r="E122" s="34"/>
      <c r="F122" s="6"/>
      <c r="G122" s="25"/>
    </row>
    <row r="123" spans="1:7" x14ac:dyDescent="0.2">
      <c r="A123" s="37" t="s">
        <v>139</v>
      </c>
      <c r="B123" s="38" t="s">
        <v>140</v>
      </c>
      <c r="C123" s="14" t="s">
        <v>0</v>
      </c>
      <c r="D123" s="26"/>
      <c r="E123" s="16"/>
      <c r="F123" s="6"/>
      <c r="G123" s="25"/>
    </row>
    <row r="124" spans="1:7" x14ac:dyDescent="0.2">
      <c r="A124" s="39"/>
      <c r="B124" s="40"/>
      <c r="C124" s="15" t="s">
        <v>1</v>
      </c>
      <c r="D124" s="27"/>
      <c r="E124" s="17"/>
      <c r="F124" s="6"/>
      <c r="G124" s="21"/>
    </row>
    <row r="125" spans="1:7" x14ac:dyDescent="0.2">
      <c r="A125" s="39"/>
      <c r="B125" s="40"/>
      <c r="C125" s="15" t="s">
        <v>2</v>
      </c>
      <c r="D125" s="4"/>
      <c r="E125" s="17"/>
      <c r="F125" s="6"/>
      <c r="G125" s="21"/>
    </row>
    <row r="126" spans="1:7" x14ac:dyDescent="0.2">
      <c r="A126" s="39"/>
      <c r="B126" s="40"/>
      <c r="C126" s="15" t="s">
        <v>3</v>
      </c>
      <c r="D126" s="43" t="str">
        <f t="shared" ref="D126" si="19">IF(D123="","",IF(D124&gt;D123,(D124-D123-D125)*24,(1-D123-D125+D124)*24))</f>
        <v/>
      </c>
      <c r="E126" s="18">
        <f>SUMIF(D127:D127,"",D126:D126)</f>
        <v>0</v>
      </c>
      <c r="F126" s="12">
        <f>SUM(D126:D126)</f>
        <v>0</v>
      </c>
      <c r="G126" s="21"/>
    </row>
    <row r="127" spans="1:7" x14ac:dyDescent="0.2">
      <c r="A127" s="39"/>
      <c r="B127" s="40"/>
      <c r="C127" s="32" t="s">
        <v>4</v>
      </c>
      <c r="D127" s="33"/>
      <c r="E127" s="17"/>
      <c r="F127" s="6"/>
      <c r="G127" s="24"/>
    </row>
    <row r="128" spans="1:7" ht="13.5" thickBot="1" x14ac:dyDescent="0.25">
      <c r="A128" s="41"/>
      <c r="B128" s="42"/>
      <c r="C128" s="35" t="s">
        <v>28</v>
      </c>
      <c r="D128" s="36"/>
      <c r="E128" s="34"/>
      <c r="F128" s="6"/>
      <c r="G128" s="25"/>
    </row>
    <row r="129" spans="1:7" x14ac:dyDescent="0.2">
      <c r="A129" s="37" t="s">
        <v>141</v>
      </c>
      <c r="B129" s="38" t="s">
        <v>142</v>
      </c>
      <c r="C129" s="14" t="s">
        <v>0</v>
      </c>
      <c r="D129" s="26"/>
      <c r="E129" s="16"/>
      <c r="F129" s="6"/>
      <c r="G129" s="25"/>
    </row>
    <row r="130" spans="1:7" x14ac:dyDescent="0.2">
      <c r="A130" s="39"/>
      <c r="B130" s="40"/>
      <c r="C130" s="15" t="s">
        <v>1</v>
      </c>
      <c r="D130" s="27"/>
      <c r="E130" s="17"/>
      <c r="F130" s="6"/>
      <c r="G130" s="21"/>
    </row>
    <row r="131" spans="1:7" x14ac:dyDescent="0.2">
      <c r="A131" s="39"/>
      <c r="B131" s="40"/>
      <c r="C131" s="15" t="s">
        <v>2</v>
      </c>
      <c r="D131" s="4"/>
      <c r="E131" s="17"/>
      <c r="F131" s="6"/>
      <c r="G131" s="21"/>
    </row>
    <row r="132" spans="1:7" x14ac:dyDescent="0.2">
      <c r="A132" s="39"/>
      <c r="B132" s="40"/>
      <c r="C132" s="15" t="s">
        <v>3</v>
      </c>
      <c r="D132" s="43" t="str">
        <f t="shared" ref="D132" si="20">IF(D129="","",IF(D130&gt;D129,(D130-D129-D131)*24,(1-D129-D131+D130)*24))</f>
        <v/>
      </c>
      <c r="E132" s="18">
        <f>SUMIF(D133:D133,"",D132:D132)</f>
        <v>0</v>
      </c>
      <c r="F132" s="12">
        <f>SUM(D132:D132)</f>
        <v>0</v>
      </c>
      <c r="G132" s="21"/>
    </row>
    <row r="133" spans="1:7" x14ac:dyDescent="0.2">
      <c r="A133" s="39"/>
      <c r="B133" s="40"/>
      <c r="C133" s="32" t="s">
        <v>4</v>
      </c>
      <c r="D133" s="33"/>
      <c r="E133" s="17"/>
      <c r="F133" s="6"/>
      <c r="G133" s="24"/>
    </row>
    <row r="134" spans="1:7" ht="13.5" thickBot="1" x14ac:dyDescent="0.25">
      <c r="A134" s="41"/>
      <c r="B134" s="42"/>
      <c r="C134" s="35" t="s">
        <v>28</v>
      </c>
      <c r="D134" s="36"/>
      <c r="E134" s="34"/>
      <c r="F134" s="6"/>
      <c r="G134" s="25"/>
    </row>
    <row r="135" spans="1:7" x14ac:dyDescent="0.2">
      <c r="A135" s="37" t="s">
        <v>68</v>
      </c>
      <c r="B135" s="38" t="s">
        <v>69</v>
      </c>
      <c r="C135" s="14" t="s">
        <v>0</v>
      </c>
      <c r="D135" s="26"/>
      <c r="E135" s="16"/>
      <c r="F135" s="6"/>
      <c r="G135" s="25"/>
    </row>
    <row r="136" spans="1:7" x14ac:dyDescent="0.2">
      <c r="A136" s="39"/>
      <c r="B136" s="40"/>
      <c r="C136" s="15" t="s">
        <v>1</v>
      </c>
      <c r="D136" s="27"/>
      <c r="E136" s="17"/>
      <c r="F136" s="6"/>
      <c r="G136" s="21"/>
    </row>
    <row r="137" spans="1:7" x14ac:dyDescent="0.2">
      <c r="A137" s="39"/>
      <c r="B137" s="40"/>
      <c r="C137" s="15" t="s">
        <v>2</v>
      </c>
      <c r="D137" s="4"/>
      <c r="E137" s="17"/>
      <c r="F137" s="6"/>
      <c r="G137" s="21"/>
    </row>
    <row r="138" spans="1:7" x14ac:dyDescent="0.2">
      <c r="A138" s="39"/>
      <c r="B138" s="40"/>
      <c r="C138" s="15" t="s">
        <v>3</v>
      </c>
      <c r="D138" s="43" t="str">
        <f t="shared" ref="D138" si="21">IF(D135="","",IF(D136&gt;D135,(D136-D135-D137)*24,(1-D135-D137+D136)*24))</f>
        <v/>
      </c>
      <c r="E138" s="18">
        <f>SUMIF(D139:D139,"",D138:D138)</f>
        <v>0</v>
      </c>
      <c r="F138" s="12">
        <f>SUM(D138:D138)</f>
        <v>0</v>
      </c>
      <c r="G138" s="21"/>
    </row>
    <row r="139" spans="1:7" x14ac:dyDescent="0.2">
      <c r="A139" s="39"/>
      <c r="B139" s="40"/>
      <c r="C139" s="32" t="s">
        <v>4</v>
      </c>
      <c r="D139" s="33"/>
      <c r="E139" s="17"/>
      <c r="F139" s="6"/>
      <c r="G139" s="24"/>
    </row>
    <row r="140" spans="1:7" ht="13.5" thickBot="1" x14ac:dyDescent="0.25">
      <c r="A140" s="41"/>
      <c r="B140" s="42"/>
      <c r="C140" s="35" t="s">
        <v>28</v>
      </c>
      <c r="D140" s="36"/>
      <c r="E140" s="34"/>
      <c r="F140" s="6"/>
      <c r="G140" s="25"/>
    </row>
    <row r="141" spans="1:7" x14ac:dyDescent="0.2">
      <c r="A141" s="37" t="s">
        <v>93</v>
      </c>
      <c r="B141" s="38" t="s">
        <v>94</v>
      </c>
      <c r="C141" s="14" t="s">
        <v>0</v>
      </c>
      <c r="D141" s="26"/>
      <c r="E141" s="16"/>
      <c r="F141" s="6"/>
      <c r="G141" s="25"/>
    </row>
    <row r="142" spans="1:7" x14ac:dyDescent="0.2">
      <c r="A142" s="39"/>
      <c r="B142" s="40"/>
      <c r="C142" s="15" t="s">
        <v>1</v>
      </c>
      <c r="D142" s="27"/>
      <c r="E142" s="17"/>
      <c r="F142" s="6"/>
      <c r="G142" s="21"/>
    </row>
    <row r="143" spans="1:7" x14ac:dyDescent="0.2">
      <c r="A143" s="39"/>
      <c r="B143" s="40"/>
      <c r="C143" s="15" t="s">
        <v>2</v>
      </c>
      <c r="D143" s="4"/>
      <c r="E143" s="17"/>
      <c r="F143" s="6"/>
      <c r="G143" s="21"/>
    </row>
    <row r="144" spans="1:7" x14ac:dyDescent="0.2">
      <c r="A144" s="39"/>
      <c r="B144" s="40"/>
      <c r="C144" s="15" t="s">
        <v>3</v>
      </c>
      <c r="D144" s="43" t="str">
        <f t="shared" ref="D144" si="22">IF(D141="","",IF(D142&gt;D141,(D142-D141-D143)*24,(1-D141-D143+D142)*24))</f>
        <v/>
      </c>
      <c r="E144" s="18">
        <f>SUMIF(D145:D145,"",D144:D144)</f>
        <v>0</v>
      </c>
      <c r="F144" s="12">
        <f>SUM(D144:D144)</f>
        <v>0</v>
      </c>
      <c r="G144" s="21"/>
    </row>
    <row r="145" spans="1:7" x14ac:dyDescent="0.2">
      <c r="A145" s="39"/>
      <c r="B145" s="40"/>
      <c r="C145" s="32" t="s">
        <v>4</v>
      </c>
      <c r="D145" s="33"/>
      <c r="E145" s="17"/>
      <c r="F145" s="6"/>
      <c r="G145" s="24"/>
    </row>
    <row r="146" spans="1:7" ht="13.5" thickBot="1" x14ac:dyDescent="0.25">
      <c r="A146" s="41"/>
      <c r="B146" s="42"/>
      <c r="C146" s="35" t="s">
        <v>28</v>
      </c>
      <c r="D146" s="36"/>
      <c r="E146" s="34"/>
      <c r="F146" s="6"/>
      <c r="G146" s="25"/>
    </row>
    <row r="147" spans="1:7" x14ac:dyDescent="0.2">
      <c r="A147" s="37" t="s">
        <v>100</v>
      </c>
      <c r="B147" s="38" t="s">
        <v>101</v>
      </c>
      <c r="C147" s="14" t="s">
        <v>0</v>
      </c>
      <c r="D147" s="26"/>
      <c r="E147" s="16"/>
      <c r="F147" s="6"/>
      <c r="G147" s="25"/>
    </row>
    <row r="148" spans="1:7" x14ac:dyDescent="0.2">
      <c r="A148" s="39"/>
      <c r="B148" s="40"/>
      <c r="C148" s="15" t="s">
        <v>1</v>
      </c>
      <c r="D148" s="27"/>
      <c r="E148" s="17"/>
      <c r="F148" s="6"/>
      <c r="G148" s="21"/>
    </row>
    <row r="149" spans="1:7" x14ac:dyDescent="0.2">
      <c r="A149" s="39"/>
      <c r="B149" s="40"/>
      <c r="C149" s="15" t="s">
        <v>2</v>
      </c>
      <c r="D149" s="4"/>
      <c r="E149" s="17"/>
      <c r="F149" s="6"/>
      <c r="G149" s="21"/>
    </row>
    <row r="150" spans="1:7" x14ac:dyDescent="0.2">
      <c r="A150" s="39"/>
      <c r="B150" s="40"/>
      <c r="C150" s="15" t="s">
        <v>3</v>
      </c>
      <c r="D150" s="43" t="str">
        <f t="shared" ref="D150" si="23">IF(D147="","",IF(D148&gt;D147,(D148-D147-D149)*24,(1-D147-D149+D148)*24))</f>
        <v/>
      </c>
      <c r="E150" s="18">
        <f>SUMIF(D151:D151,"",D150:D150)</f>
        <v>0</v>
      </c>
      <c r="F150" s="12">
        <f>SUM(D150:D150)</f>
        <v>0</v>
      </c>
      <c r="G150" s="21"/>
    </row>
    <row r="151" spans="1:7" x14ac:dyDescent="0.2">
      <c r="A151" s="39"/>
      <c r="B151" s="40"/>
      <c r="C151" s="32" t="s">
        <v>4</v>
      </c>
      <c r="D151" s="33"/>
      <c r="E151" s="17"/>
      <c r="F151" s="6"/>
      <c r="G151" s="24"/>
    </row>
    <row r="152" spans="1:7" ht="13.5" thickBot="1" x14ac:dyDescent="0.25">
      <c r="A152" s="41"/>
      <c r="B152" s="42"/>
      <c r="C152" s="35" t="s">
        <v>28</v>
      </c>
      <c r="D152" s="36"/>
      <c r="E152" s="34"/>
      <c r="F152" s="6"/>
      <c r="G152" s="25"/>
    </row>
    <row r="153" spans="1:7" x14ac:dyDescent="0.2">
      <c r="A153" s="37" t="s">
        <v>108</v>
      </c>
      <c r="B153" s="38" t="s">
        <v>109</v>
      </c>
      <c r="C153" s="14" t="s">
        <v>0</v>
      </c>
      <c r="D153" s="26"/>
      <c r="E153" s="16"/>
      <c r="F153" s="6"/>
      <c r="G153" s="25"/>
    </row>
    <row r="154" spans="1:7" x14ac:dyDescent="0.2">
      <c r="A154" s="39"/>
      <c r="B154" s="40"/>
      <c r="C154" s="15" t="s">
        <v>1</v>
      </c>
      <c r="D154" s="27"/>
      <c r="E154" s="17"/>
      <c r="F154" s="6"/>
      <c r="G154" s="21"/>
    </row>
    <row r="155" spans="1:7" x14ac:dyDescent="0.2">
      <c r="A155" s="39"/>
      <c r="B155" s="40"/>
      <c r="C155" s="15" t="s">
        <v>2</v>
      </c>
      <c r="D155" s="4"/>
      <c r="E155" s="17"/>
      <c r="F155" s="6"/>
      <c r="G155" s="21"/>
    </row>
    <row r="156" spans="1:7" x14ac:dyDescent="0.2">
      <c r="A156" s="39"/>
      <c r="B156" s="40"/>
      <c r="C156" s="15" t="s">
        <v>3</v>
      </c>
      <c r="D156" s="43" t="str">
        <f t="shared" ref="D156" si="24">IF(D153="","",IF(D154&gt;D153,(D154-D153-D155)*24,(1-D153-D155+D154)*24))</f>
        <v/>
      </c>
      <c r="E156" s="18">
        <f>SUMIF(D157:D157,"",D156:D156)</f>
        <v>0</v>
      </c>
      <c r="F156" s="12">
        <f>SUM(D156:D156)</f>
        <v>0</v>
      </c>
      <c r="G156" s="21"/>
    </row>
    <row r="157" spans="1:7" x14ac:dyDescent="0.2">
      <c r="A157" s="39"/>
      <c r="B157" s="40"/>
      <c r="C157" s="32" t="s">
        <v>4</v>
      </c>
      <c r="D157" s="33"/>
      <c r="E157" s="17"/>
      <c r="F157" s="6"/>
      <c r="G157" s="24"/>
    </row>
    <row r="158" spans="1:7" ht="13.5" thickBot="1" x14ac:dyDescent="0.25">
      <c r="A158" s="41"/>
      <c r="B158" s="42"/>
      <c r="C158" s="35" t="s">
        <v>28</v>
      </c>
      <c r="D158" s="36"/>
      <c r="E158" s="34"/>
      <c r="F158" s="6"/>
      <c r="G158" s="25"/>
    </row>
    <row r="159" spans="1:7" x14ac:dyDescent="0.2">
      <c r="A159" s="37" t="s">
        <v>100</v>
      </c>
      <c r="B159" s="38" t="s">
        <v>125</v>
      </c>
      <c r="C159" s="14" t="s">
        <v>0</v>
      </c>
      <c r="D159" s="26"/>
      <c r="E159" s="16"/>
      <c r="F159" s="6"/>
      <c r="G159" s="25"/>
    </row>
    <row r="160" spans="1:7" x14ac:dyDescent="0.2">
      <c r="A160" s="39"/>
      <c r="B160" s="40"/>
      <c r="C160" s="15" t="s">
        <v>1</v>
      </c>
      <c r="D160" s="27"/>
      <c r="E160" s="17"/>
      <c r="F160" s="6"/>
      <c r="G160" s="21"/>
    </row>
    <row r="161" spans="1:7" x14ac:dyDescent="0.2">
      <c r="A161" s="39"/>
      <c r="B161" s="40"/>
      <c r="C161" s="15" t="s">
        <v>2</v>
      </c>
      <c r="D161" s="4"/>
      <c r="E161" s="17"/>
      <c r="F161" s="6"/>
      <c r="G161" s="21"/>
    </row>
    <row r="162" spans="1:7" x14ac:dyDescent="0.2">
      <c r="A162" s="39"/>
      <c r="B162" s="40"/>
      <c r="C162" s="15" t="s">
        <v>3</v>
      </c>
      <c r="D162" s="43" t="str">
        <f t="shared" ref="D162" si="25">IF(D159="","",IF(D160&gt;D159,(D160-D159-D161)*24,(1-D159-D161+D160)*24))</f>
        <v/>
      </c>
      <c r="E162" s="18">
        <f>SUMIF(D163:D163,"",D162:D162)</f>
        <v>0</v>
      </c>
      <c r="F162" s="12">
        <f>SUM(D162:D162)</f>
        <v>0</v>
      </c>
      <c r="G162" s="21"/>
    </row>
    <row r="163" spans="1:7" x14ac:dyDescent="0.2">
      <c r="A163" s="39"/>
      <c r="B163" s="40"/>
      <c r="C163" s="32" t="s">
        <v>4</v>
      </c>
      <c r="D163" s="33"/>
      <c r="E163" s="17"/>
      <c r="F163" s="6"/>
      <c r="G163" s="24"/>
    </row>
    <row r="164" spans="1:7" ht="13.5" thickBot="1" x14ac:dyDescent="0.25">
      <c r="A164" s="41"/>
      <c r="B164" s="42"/>
      <c r="C164" s="35" t="s">
        <v>28</v>
      </c>
      <c r="D164" s="36"/>
      <c r="E164" s="34"/>
      <c r="F164" s="6"/>
      <c r="G164" s="25"/>
    </row>
    <row r="165" spans="1:7" x14ac:dyDescent="0.2">
      <c r="A165" s="37" t="s">
        <v>144</v>
      </c>
      <c r="B165" s="38" t="s">
        <v>143</v>
      </c>
      <c r="C165" s="14" t="s">
        <v>0</v>
      </c>
      <c r="D165" s="26"/>
      <c r="E165" s="16"/>
      <c r="F165" s="6"/>
      <c r="G165" s="25"/>
    </row>
    <row r="166" spans="1:7" x14ac:dyDescent="0.2">
      <c r="A166" s="39"/>
      <c r="B166" s="40"/>
      <c r="C166" s="15" t="s">
        <v>1</v>
      </c>
      <c r="D166" s="27"/>
      <c r="E166" s="17"/>
      <c r="F166" s="6"/>
      <c r="G166" s="21"/>
    </row>
    <row r="167" spans="1:7" x14ac:dyDescent="0.2">
      <c r="A167" s="39"/>
      <c r="B167" s="40"/>
      <c r="C167" s="15" t="s">
        <v>2</v>
      </c>
      <c r="D167" s="4"/>
      <c r="E167" s="17"/>
      <c r="F167" s="6"/>
      <c r="G167" s="21"/>
    </row>
    <row r="168" spans="1:7" x14ac:dyDescent="0.2">
      <c r="A168" s="39"/>
      <c r="B168" s="40"/>
      <c r="C168" s="15" t="s">
        <v>3</v>
      </c>
      <c r="D168" s="43" t="str">
        <f t="shared" ref="D168" si="26">IF(D165="","",IF(D166&gt;D165,(D166-D165-D167)*24,(1-D165-D167+D166)*24))</f>
        <v/>
      </c>
      <c r="E168" s="18">
        <f>SUMIF(D169:D169,"",D168:D168)</f>
        <v>0</v>
      </c>
      <c r="F168" s="12">
        <f>SUM(D168:D168)</f>
        <v>0</v>
      </c>
      <c r="G168" s="21"/>
    </row>
    <row r="169" spans="1:7" x14ac:dyDescent="0.2">
      <c r="A169" s="39"/>
      <c r="B169" s="40"/>
      <c r="C169" s="32" t="s">
        <v>4</v>
      </c>
      <c r="D169" s="33"/>
      <c r="E169" s="17"/>
      <c r="F169" s="6"/>
      <c r="G169" s="24"/>
    </row>
    <row r="170" spans="1:7" ht="13.5" thickBot="1" x14ac:dyDescent="0.25">
      <c r="A170" s="41"/>
      <c r="B170" s="42"/>
      <c r="C170" s="35" t="s">
        <v>28</v>
      </c>
      <c r="D170" s="36"/>
      <c r="E170" s="34"/>
      <c r="F170" s="6"/>
      <c r="G170" s="25"/>
    </row>
    <row r="171" spans="1:7" x14ac:dyDescent="0.2">
      <c r="A171" s="37" t="s">
        <v>73</v>
      </c>
      <c r="B171" s="38" t="s">
        <v>72</v>
      </c>
      <c r="C171" s="14" t="s">
        <v>0</v>
      </c>
      <c r="D171" s="26"/>
      <c r="E171" s="16"/>
      <c r="F171" s="6"/>
      <c r="G171" s="25"/>
    </row>
    <row r="172" spans="1:7" x14ac:dyDescent="0.2">
      <c r="A172" s="39"/>
      <c r="B172" s="40"/>
      <c r="C172" s="15" t="s">
        <v>1</v>
      </c>
      <c r="D172" s="27"/>
      <c r="E172" s="17"/>
      <c r="F172" s="6"/>
      <c r="G172" s="21"/>
    </row>
    <row r="173" spans="1:7" x14ac:dyDescent="0.2">
      <c r="A173" s="39"/>
      <c r="B173" s="40"/>
      <c r="C173" s="15" t="s">
        <v>2</v>
      </c>
      <c r="D173" s="4"/>
      <c r="E173" s="17"/>
      <c r="F173" s="6"/>
      <c r="G173" s="21"/>
    </row>
    <row r="174" spans="1:7" x14ac:dyDescent="0.2">
      <c r="A174" s="39"/>
      <c r="B174" s="40"/>
      <c r="C174" s="15" t="s">
        <v>3</v>
      </c>
      <c r="D174" s="43" t="str">
        <f t="shared" ref="D174" si="27">IF(D171="","",IF(D172&gt;D171,(D172-D171-D173)*24,(1-D171-D173+D172)*24))</f>
        <v/>
      </c>
      <c r="E174" s="18">
        <f>SUMIF(D175:D175,"",D174:D174)</f>
        <v>0</v>
      </c>
      <c r="F174" s="12">
        <f>SUM(D174:D174)</f>
        <v>0</v>
      </c>
      <c r="G174" s="21"/>
    </row>
    <row r="175" spans="1:7" x14ac:dyDescent="0.2">
      <c r="A175" s="39"/>
      <c r="B175" s="40"/>
      <c r="C175" s="32" t="s">
        <v>4</v>
      </c>
      <c r="D175" s="33"/>
      <c r="E175" s="17"/>
      <c r="F175" s="6"/>
      <c r="G175" s="24"/>
    </row>
    <row r="176" spans="1:7" ht="13.5" thickBot="1" x14ac:dyDescent="0.25">
      <c r="A176" s="41"/>
      <c r="B176" s="42"/>
      <c r="C176" s="35" t="s">
        <v>28</v>
      </c>
      <c r="D176" s="36"/>
      <c r="E176" s="34"/>
      <c r="F176" s="6"/>
      <c r="G176" s="25"/>
    </row>
    <row r="177" spans="1:7" x14ac:dyDescent="0.2">
      <c r="A177" s="37" t="s">
        <v>112</v>
      </c>
      <c r="B177" s="38" t="s">
        <v>37</v>
      </c>
      <c r="C177" s="14" t="s">
        <v>0</v>
      </c>
      <c r="D177" s="26"/>
      <c r="E177" s="16"/>
      <c r="F177" s="6"/>
      <c r="G177" s="25"/>
    </row>
    <row r="178" spans="1:7" x14ac:dyDescent="0.2">
      <c r="A178" s="39"/>
      <c r="B178" s="40"/>
      <c r="C178" s="15" t="s">
        <v>1</v>
      </c>
      <c r="D178" s="27"/>
      <c r="E178" s="17"/>
      <c r="F178" s="6"/>
      <c r="G178" s="21"/>
    </row>
    <row r="179" spans="1:7" x14ac:dyDescent="0.2">
      <c r="A179" s="39"/>
      <c r="B179" s="40"/>
      <c r="C179" s="15" t="s">
        <v>2</v>
      </c>
      <c r="D179" s="4"/>
      <c r="E179" s="17"/>
      <c r="F179" s="6"/>
      <c r="G179" s="21"/>
    </row>
    <row r="180" spans="1:7" x14ac:dyDescent="0.2">
      <c r="A180" s="39"/>
      <c r="B180" s="40"/>
      <c r="C180" s="15" t="s">
        <v>3</v>
      </c>
      <c r="D180" s="43" t="str">
        <f t="shared" ref="D180" si="28">IF(D177="","",IF(D178&gt;D177,(D178-D177-D179)*24,(1-D177-D179+D178)*24))</f>
        <v/>
      </c>
      <c r="E180" s="18">
        <f>SUMIF(D181:D181,"",D180:D180)</f>
        <v>0</v>
      </c>
      <c r="F180" s="12">
        <f>SUM(D180:D180)</f>
        <v>0</v>
      </c>
      <c r="G180" s="21"/>
    </row>
    <row r="181" spans="1:7" x14ac:dyDescent="0.2">
      <c r="A181" s="39"/>
      <c r="B181" s="40"/>
      <c r="C181" s="32" t="s">
        <v>4</v>
      </c>
      <c r="D181" s="33"/>
      <c r="E181" s="17"/>
      <c r="F181" s="6"/>
      <c r="G181" s="24"/>
    </row>
    <row r="182" spans="1:7" ht="13.5" thickBot="1" x14ac:dyDescent="0.25">
      <c r="A182" s="41"/>
      <c r="B182" s="42"/>
      <c r="C182" s="35" t="s">
        <v>28</v>
      </c>
      <c r="D182" s="54"/>
      <c r="E182" s="34"/>
      <c r="F182" s="6"/>
      <c r="G182" s="25"/>
    </row>
    <row r="183" spans="1:7" x14ac:dyDescent="0.2">
      <c r="A183" s="37" t="s">
        <v>126</v>
      </c>
      <c r="B183" s="38" t="s">
        <v>127</v>
      </c>
      <c r="C183" s="14" t="s">
        <v>0</v>
      </c>
      <c r="D183" s="26"/>
      <c r="E183" s="16"/>
      <c r="F183" s="6"/>
      <c r="G183" s="25"/>
    </row>
    <row r="184" spans="1:7" x14ac:dyDescent="0.2">
      <c r="A184" s="39"/>
      <c r="B184" s="40"/>
      <c r="C184" s="15" t="s">
        <v>1</v>
      </c>
      <c r="D184" s="27"/>
      <c r="E184" s="17"/>
      <c r="F184" s="6"/>
      <c r="G184" s="21"/>
    </row>
    <row r="185" spans="1:7" x14ac:dyDescent="0.2">
      <c r="A185" s="39"/>
      <c r="B185" s="40"/>
      <c r="C185" s="15" t="s">
        <v>2</v>
      </c>
      <c r="D185" s="27"/>
      <c r="E185" s="17"/>
      <c r="F185" s="6"/>
      <c r="G185" s="21"/>
    </row>
    <row r="186" spans="1:7" x14ac:dyDescent="0.2">
      <c r="A186" s="39"/>
      <c r="B186" s="40"/>
      <c r="C186" s="15" t="s">
        <v>3</v>
      </c>
      <c r="D186" s="57" t="str">
        <f t="shared" ref="D186" si="29">IF(D183="","",IF(D184&gt;D183,(D184-D183-D185)*24,(1-D183-D185+D184)*24))</f>
        <v/>
      </c>
      <c r="E186" s="18">
        <f>SUMIF(D187:D187,"",D186:D186)</f>
        <v>0</v>
      </c>
      <c r="F186" s="12">
        <f>SUM(D186:D186)</f>
        <v>0</v>
      </c>
      <c r="G186" s="21"/>
    </row>
    <row r="187" spans="1:7" x14ac:dyDescent="0.2">
      <c r="A187" s="39"/>
      <c r="B187" s="40"/>
      <c r="C187" s="32" t="s">
        <v>4</v>
      </c>
      <c r="D187" s="33"/>
      <c r="E187" s="17"/>
      <c r="F187" s="6"/>
      <c r="G187" s="24"/>
    </row>
    <row r="188" spans="1:7" ht="13.5" thickBot="1" x14ac:dyDescent="0.25">
      <c r="A188" s="41"/>
      <c r="B188" s="42"/>
      <c r="C188" s="35" t="s">
        <v>28</v>
      </c>
      <c r="D188" s="36"/>
      <c r="E188" s="34"/>
      <c r="F188" s="6"/>
      <c r="G188" s="25"/>
    </row>
    <row r="189" spans="1:7" x14ac:dyDescent="0.2">
      <c r="A189" s="37" t="s">
        <v>49</v>
      </c>
      <c r="B189" s="38" t="s">
        <v>36</v>
      </c>
      <c r="C189" s="14" t="s">
        <v>0</v>
      </c>
      <c r="D189" s="26"/>
      <c r="E189" s="16"/>
      <c r="F189" s="6"/>
      <c r="G189" s="25"/>
    </row>
    <row r="190" spans="1:7" x14ac:dyDescent="0.2">
      <c r="A190" s="39"/>
      <c r="B190" s="40"/>
      <c r="C190" s="15" t="s">
        <v>1</v>
      </c>
      <c r="D190" s="27"/>
      <c r="E190" s="17"/>
      <c r="F190" s="6"/>
      <c r="G190" s="21"/>
    </row>
    <row r="191" spans="1:7" x14ac:dyDescent="0.2">
      <c r="A191" s="39"/>
      <c r="B191" s="40"/>
      <c r="C191" s="15" t="s">
        <v>2</v>
      </c>
      <c r="D191" s="4"/>
      <c r="E191" s="17"/>
      <c r="F191" s="6"/>
      <c r="G191" s="21"/>
    </row>
    <row r="192" spans="1:7" x14ac:dyDescent="0.2">
      <c r="A192" s="39"/>
      <c r="B192" s="40"/>
      <c r="C192" s="15" t="s">
        <v>3</v>
      </c>
      <c r="D192" s="43"/>
      <c r="E192" s="18">
        <f>SUMIF(D193:D193,"",D192:D192)</f>
        <v>0</v>
      </c>
      <c r="F192" s="12">
        <f>SUM(D192:D192)</f>
        <v>0</v>
      </c>
      <c r="G192" s="21"/>
    </row>
    <row r="193" spans="1:7" x14ac:dyDescent="0.2">
      <c r="A193" s="39"/>
      <c r="B193" s="40"/>
      <c r="C193" s="32" t="s">
        <v>4</v>
      </c>
      <c r="D193" s="33"/>
      <c r="E193" s="17"/>
      <c r="F193" s="6"/>
      <c r="G193" s="24"/>
    </row>
    <row r="194" spans="1:7" ht="13.5" thickBot="1" x14ac:dyDescent="0.25">
      <c r="A194" s="41"/>
      <c r="B194" s="42"/>
      <c r="C194" s="35" t="s">
        <v>28</v>
      </c>
      <c r="D194" s="66"/>
      <c r="E194" s="34"/>
      <c r="F194" s="6"/>
      <c r="G194" s="25"/>
    </row>
    <row r="195" spans="1:7" x14ac:dyDescent="0.2">
      <c r="A195" s="37" t="s">
        <v>86</v>
      </c>
      <c r="B195" s="38" t="s">
        <v>87</v>
      </c>
      <c r="C195" s="14" t="s">
        <v>0</v>
      </c>
      <c r="D195" s="26"/>
      <c r="E195" s="16"/>
      <c r="F195" s="6"/>
      <c r="G195" s="25"/>
    </row>
    <row r="196" spans="1:7" x14ac:dyDescent="0.2">
      <c r="A196" s="39"/>
      <c r="B196" s="40"/>
      <c r="C196" s="15" t="s">
        <v>1</v>
      </c>
      <c r="D196" s="27"/>
      <c r="E196" s="17"/>
      <c r="F196" s="6"/>
      <c r="G196" s="21"/>
    </row>
    <row r="197" spans="1:7" x14ac:dyDescent="0.2">
      <c r="A197" s="39"/>
      <c r="B197" s="40"/>
      <c r="C197" s="15" t="s">
        <v>2</v>
      </c>
      <c r="D197" s="4"/>
      <c r="E197" s="17"/>
      <c r="F197" s="6"/>
      <c r="G197" s="21"/>
    </row>
    <row r="198" spans="1:7" x14ac:dyDescent="0.2">
      <c r="A198" s="39"/>
      <c r="B198" s="40"/>
      <c r="C198" s="15" t="s">
        <v>3</v>
      </c>
      <c r="D198" s="43" t="str">
        <f t="shared" ref="D198" si="30">IF(D195="","",IF(D196&gt;D195,(D196-D195-D197)*24,(1-D195-D197+D196)*24))</f>
        <v/>
      </c>
      <c r="E198" s="18">
        <f>SUMIF(D199:D199,"",D198:D198)</f>
        <v>0</v>
      </c>
      <c r="F198" s="12">
        <f>SUM(D198:D198)</f>
        <v>0</v>
      </c>
      <c r="G198" s="21"/>
    </row>
    <row r="199" spans="1:7" x14ac:dyDescent="0.2">
      <c r="A199" s="39"/>
      <c r="B199" s="40"/>
      <c r="C199" s="32" t="s">
        <v>4</v>
      </c>
      <c r="D199" s="33"/>
      <c r="E199" s="17"/>
      <c r="F199" s="6"/>
      <c r="G199" s="24"/>
    </row>
    <row r="200" spans="1:7" ht="13.5" thickBot="1" x14ac:dyDescent="0.25">
      <c r="A200" s="41"/>
      <c r="B200" s="42"/>
      <c r="C200" s="35" t="s">
        <v>28</v>
      </c>
      <c r="D200" s="66"/>
      <c r="E200" s="34"/>
      <c r="F200" s="6"/>
      <c r="G200" s="25"/>
    </row>
    <row r="201" spans="1:7" x14ac:dyDescent="0.2">
      <c r="A201" s="37" t="s">
        <v>110</v>
      </c>
      <c r="B201" s="38" t="s">
        <v>111</v>
      </c>
      <c r="C201" s="14" t="s">
        <v>0</v>
      </c>
      <c r="D201" s="26"/>
      <c r="E201" s="16"/>
      <c r="F201" s="6"/>
      <c r="G201" s="25"/>
    </row>
    <row r="202" spans="1:7" x14ac:dyDescent="0.2">
      <c r="A202" s="39"/>
      <c r="B202" s="40"/>
      <c r="C202" s="15" t="s">
        <v>1</v>
      </c>
      <c r="D202" s="27"/>
      <c r="E202" s="17"/>
      <c r="F202" s="6"/>
      <c r="G202" s="21"/>
    </row>
    <row r="203" spans="1:7" x14ac:dyDescent="0.2">
      <c r="A203" s="39"/>
      <c r="B203" s="40"/>
      <c r="C203" s="15" t="s">
        <v>2</v>
      </c>
      <c r="D203" s="4"/>
      <c r="E203" s="17"/>
      <c r="F203" s="6"/>
      <c r="G203" s="21"/>
    </row>
    <row r="204" spans="1:7" x14ac:dyDescent="0.2">
      <c r="A204" s="39"/>
      <c r="B204" s="40"/>
      <c r="C204" s="15" t="s">
        <v>3</v>
      </c>
      <c r="D204" s="43" t="str">
        <f t="shared" ref="D204" si="31">IF(D201="","",IF(D202&gt;D201,(D202-D201-D203)*24,(1-D201-D203+D202)*24))</f>
        <v/>
      </c>
      <c r="E204" s="18">
        <f>SUMIF(D205:D205,"",D204:D204)</f>
        <v>0</v>
      </c>
      <c r="F204" s="12">
        <f>SUM(D204:D204)</f>
        <v>0</v>
      </c>
      <c r="G204" s="21"/>
    </row>
    <row r="205" spans="1:7" x14ac:dyDescent="0.2">
      <c r="A205" s="39"/>
      <c r="B205" s="40"/>
      <c r="C205" s="32" t="s">
        <v>4</v>
      </c>
      <c r="D205" s="33"/>
      <c r="E205" s="17"/>
      <c r="F205" s="6"/>
      <c r="G205" s="24"/>
    </row>
    <row r="206" spans="1:7" ht="13.5" thickBot="1" x14ac:dyDescent="0.25">
      <c r="A206" s="41"/>
      <c r="B206" s="42"/>
      <c r="C206" s="35" t="s">
        <v>28</v>
      </c>
      <c r="D206" s="66"/>
      <c r="E206" s="34"/>
      <c r="F206" s="6"/>
      <c r="G206" s="25"/>
    </row>
    <row r="207" spans="1:7" x14ac:dyDescent="0.2">
      <c r="A207" s="37" t="s">
        <v>133</v>
      </c>
      <c r="B207" s="38" t="s">
        <v>134</v>
      </c>
      <c r="C207" s="14" t="s">
        <v>0</v>
      </c>
      <c r="D207" s="26"/>
      <c r="E207" s="16"/>
      <c r="F207" s="6"/>
      <c r="G207" s="25"/>
    </row>
    <row r="208" spans="1:7" x14ac:dyDescent="0.2">
      <c r="A208" s="39"/>
      <c r="B208" s="40"/>
      <c r="C208" s="15" t="s">
        <v>1</v>
      </c>
      <c r="D208" s="27"/>
      <c r="E208" s="17"/>
      <c r="F208" s="6"/>
      <c r="G208" s="21"/>
    </row>
    <row r="209" spans="1:7" x14ac:dyDescent="0.2">
      <c r="A209" s="39"/>
      <c r="B209" s="40"/>
      <c r="C209" s="15" t="s">
        <v>2</v>
      </c>
      <c r="D209" s="4"/>
      <c r="E209" s="17"/>
      <c r="F209" s="6"/>
      <c r="G209" s="21"/>
    </row>
    <row r="210" spans="1:7" x14ac:dyDescent="0.2">
      <c r="A210" s="39"/>
      <c r="B210" s="40"/>
      <c r="C210" s="15" t="s">
        <v>3</v>
      </c>
      <c r="D210" s="43" t="str">
        <f t="shared" ref="D210" si="32">IF(D207="","",IF(D208&gt;D207,(D208-D207-D209)*24,(1-D207-D209+D208)*24))</f>
        <v/>
      </c>
      <c r="E210" s="18">
        <f>SUMIF(D211:D211,"",D210:D210)</f>
        <v>0</v>
      </c>
      <c r="F210" s="12">
        <f>SUM(D210:D210)</f>
        <v>0</v>
      </c>
      <c r="G210" s="21"/>
    </row>
    <row r="211" spans="1:7" x14ac:dyDescent="0.2">
      <c r="A211" s="39"/>
      <c r="B211" s="40"/>
      <c r="C211" s="32" t="s">
        <v>4</v>
      </c>
      <c r="D211" s="33"/>
      <c r="E211" s="17"/>
      <c r="F211" s="6"/>
      <c r="G211" s="24"/>
    </row>
    <row r="212" spans="1:7" ht="13.5" thickBot="1" x14ac:dyDescent="0.25">
      <c r="A212" s="41"/>
      <c r="B212" s="42"/>
      <c r="C212" s="35" t="s">
        <v>28</v>
      </c>
      <c r="D212" s="66"/>
      <c r="E212" s="34"/>
      <c r="F212" s="6"/>
      <c r="G212" s="25"/>
    </row>
    <row r="213" spans="1:7" x14ac:dyDescent="0.2">
      <c r="A213" s="37" t="s">
        <v>147</v>
      </c>
      <c r="B213" s="38" t="s">
        <v>146</v>
      </c>
      <c r="C213" s="14" t="s">
        <v>0</v>
      </c>
      <c r="D213" s="26"/>
      <c r="E213" s="16"/>
      <c r="F213" s="6"/>
      <c r="G213" s="25"/>
    </row>
    <row r="214" spans="1:7" x14ac:dyDescent="0.2">
      <c r="A214" s="39"/>
      <c r="B214" s="40"/>
      <c r="C214" s="15" t="s">
        <v>1</v>
      </c>
      <c r="D214" s="27"/>
      <c r="E214" s="17"/>
      <c r="F214" s="6"/>
      <c r="G214" s="21"/>
    </row>
    <row r="215" spans="1:7" x14ac:dyDescent="0.2">
      <c r="A215" s="39"/>
      <c r="B215" s="40"/>
      <c r="C215" s="15" t="s">
        <v>2</v>
      </c>
      <c r="D215" s="4"/>
      <c r="E215" s="17"/>
      <c r="F215" s="6"/>
      <c r="G215" s="21"/>
    </row>
    <row r="216" spans="1:7" x14ac:dyDescent="0.2">
      <c r="A216" s="39"/>
      <c r="B216" s="40"/>
      <c r="C216" s="15" t="s">
        <v>3</v>
      </c>
      <c r="D216" s="43" t="str">
        <f t="shared" ref="D216" si="33">IF(D213="","",IF(D214&gt;D213,(D214-D213-D215)*24,(1-D213-D215+D214)*24))</f>
        <v/>
      </c>
      <c r="E216" s="18">
        <f>SUMIF(D217:D217,"",D216:D216)</f>
        <v>0</v>
      </c>
      <c r="F216" s="12">
        <f>SUM(D216:D216)</f>
        <v>0</v>
      </c>
      <c r="G216" s="21"/>
    </row>
    <row r="217" spans="1:7" x14ac:dyDescent="0.2">
      <c r="A217" s="39"/>
      <c r="B217" s="40"/>
      <c r="C217" s="32" t="s">
        <v>4</v>
      </c>
      <c r="D217" s="33"/>
      <c r="E217" s="17"/>
      <c r="F217" s="6"/>
      <c r="G217" s="24"/>
    </row>
    <row r="218" spans="1:7" ht="13.5" thickBot="1" x14ac:dyDescent="0.25">
      <c r="A218" s="41"/>
      <c r="B218" s="42"/>
      <c r="C218" s="35" t="s">
        <v>28</v>
      </c>
      <c r="D218" s="54"/>
      <c r="E218" s="34"/>
      <c r="F218" s="6"/>
      <c r="G218" s="25"/>
    </row>
    <row r="219" spans="1:7" x14ac:dyDescent="0.2">
      <c r="A219" s="37" t="s">
        <v>82</v>
      </c>
      <c r="B219" s="38" t="s">
        <v>83</v>
      </c>
      <c r="C219" s="14" t="s">
        <v>0</v>
      </c>
      <c r="D219" s="26"/>
      <c r="E219" s="16"/>
      <c r="F219" s="6"/>
      <c r="G219" s="25"/>
    </row>
    <row r="220" spans="1:7" x14ac:dyDescent="0.2">
      <c r="A220" s="39"/>
      <c r="B220" s="40"/>
      <c r="C220" s="15" t="s">
        <v>1</v>
      </c>
      <c r="D220" s="27"/>
      <c r="E220" s="17"/>
      <c r="F220" s="6"/>
      <c r="G220" s="21"/>
    </row>
    <row r="221" spans="1:7" x14ac:dyDescent="0.2">
      <c r="A221" s="39"/>
      <c r="B221" s="40"/>
      <c r="C221" s="15" t="s">
        <v>2</v>
      </c>
      <c r="D221" s="4"/>
      <c r="E221" s="17"/>
      <c r="F221" s="6"/>
      <c r="G221" s="21"/>
    </row>
    <row r="222" spans="1:7" x14ac:dyDescent="0.2">
      <c r="A222" s="39"/>
      <c r="B222" s="40"/>
      <c r="C222" s="15" t="s">
        <v>3</v>
      </c>
      <c r="D222" s="43" t="str">
        <f t="shared" ref="D222" si="34">IF(D219="","",IF(D220&gt;D219,(D220-D219-D221)*24,(1-D219-D221+D220)*24))</f>
        <v/>
      </c>
      <c r="E222" s="18">
        <f>SUMIF(D223:D223,"",D222:D222)</f>
        <v>0</v>
      </c>
      <c r="F222" s="12">
        <f>SUM(D222:D222)</f>
        <v>0</v>
      </c>
      <c r="G222" s="21"/>
    </row>
    <row r="223" spans="1:7" x14ac:dyDescent="0.2">
      <c r="A223" s="39"/>
      <c r="B223" s="40"/>
      <c r="C223" s="32" t="s">
        <v>4</v>
      </c>
      <c r="D223" s="33"/>
      <c r="E223" s="17"/>
      <c r="F223" s="6"/>
      <c r="G223" s="24"/>
    </row>
    <row r="224" spans="1:7" ht="13.5" thickBot="1" x14ac:dyDescent="0.25">
      <c r="A224" s="41"/>
      <c r="B224" s="42"/>
      <c r="C224" s="35" t="s">
        <v>28</v>
      </c>
      <c r="D224" s="54"/>
      <c r="E224" s="34"/>
      <c r="F224" s="6"/>
      <c r="G224" s="25"/>
    </row>
    <row r="225" spans="1:7" x14ac:dyDescent="0.2">
      <c r="A225" s="37" t="s">
        <v>105</v>
      </c>
      <c r="B225" s="38" t="s">
        <v>106</v>
      </c>
      <c r="C225" s="14" t="s">
        <v>0</v>
      </c>
      <c r="D225" s="26"/>
      <c r="E225" s="16"/>
      <c r="F225" s="6"/>
      <c r="G225" s="25"/>
    </row>
    <row r="226" spans="1:7" x14ac:dyDescent="0.2">
      <c r="A226" s="39"/>
      <c r="B226" s="40"/>
      <c r="C226" s="15" t="s">
        <v>1</v>
      </c>
      <c r="D226" s="27"/>
      <c r="E226" s="17"/>
      <c r="F226" s="6"/>
      <c r="G226" s="21"/>
    </row>
    <row r="227" spans="1:7" x14ac:dyDescent="0.2">
      <c r="A227" s="39"/>
      <c r="B227" s="40"/>
      <c r="C227" s="15" t="s">
        <v>2</v>
      </c>
      <c r="D227" s="4"/>
      <c r="E227" s="17"/>
      <c r="F227" s="6"/>
      <c r="G227" s="21"/>
    </row>
    <row r="228" spans="1:7" x14ac:dyDescent="0.2">
      <c r="A228" s="39"/>
      <c r="B228" s="40"/>
      <c r="C228" s="15" t="s">
        <v>3</v>
      </c>
      <c r="D228" s="43" t="str">
        <f t="shared" ref="D228" si="35">IF(D225="","",IF(D226&gt;D225,(D226-D225-D227)*24,(1-D225-D227+D226)*24))</f>
        <v/>
      </c>
      <c r="E228" s="18">
        <f>SUMIF(D229:D229,"",D228:D228)</f>
        <v>0</v>
      </c>
      <c r="F228" s="12">
        <f>SUM(D228:D228)</f>
        <v>0</v>
      </c>
      <c r="G228" s="21"/>
    </row>
    <row r="229" spans="1:7" x14ac:dyDescent="0.2">
      <c r="A229" s="39"/>
      <c r="B229" s="40"/>
      <c r="C229" s="32" t="s">
        <v>4</v>
      </c>
      <c r="D229" s="33"/>
      <c r="E229" s="17"/>
      <c r="F229" s="6"/>
      <c r="G229" s="24"/>
    </row>
    <row r="230" spans="1:7" ht="13.5" thickBot="1" x14ac:dyDescent="0.25">
      <c r="A230" s="41"/>
      <c r="B230" s="42"/>
      <c r="C230" s="35" t="s">
        <v>28</v>
      </c>
      <c r="D230" s="54"/>
      <c r="E230" s="34"/>
      <c r="F230" s="6"/>
      <c r="G230" s="25"/>
    </row>
    <row r="231" spans="1:7" x14ac:dyDescent="0.2">
      <c r="A231" s="37" t="s">
        <v>91</v>
      </c>
      <c r="B231" s="38" t="s">
        <v>92</v>
      </c>
      <c r="C231" s="14" t="s">
        <v>0</v>
      </c>
      <c r="D231" s="26"/>
      <c r="E231" s="16"/>
      <c r="F231" s="6"/>
      <c r="G231" s="25"/>
    </row>
    <row r="232" spans="1:7" x14ac:dyDescent="0.2">
      <c r="A232" s="39"/>
      <c r="B232" s="40"/>
      <c r="C232" s="15" t="s">
        <v>1</v>
      </c>
      <c r="D232" s="27"/>
      <c r="E232" s="17"/>
      <c r="F232" s="6"/>
      <c r="G232" s="21"/>
    </row>
    <row r="233" spans="1:7" x14ac:dyDescent="0.2">
      <c r="A233" s="39"/>
      <c r="B233" s="40"/>
      <c r="C233" s="15" t="s">
        <v>2</v>
      </c>
      <c r="D233" s="4"/>
      <c r="E233" s="17"/>
      <c r="F233" s="6"/>
      <c r="G233" s="21"/>
    </row>
    <row r="234" spans="1:7" x14ac:dyDescent="0.2">
      <c r="A234" s="39"/>
      <c r="B234" s="40"/>
      <c r="C234" s="15" t="s">
        <v>3</v>
      </c>
      <c r="D234" s="43" t="str">
        <f t="shared" ref="D234" si="36">IF(D231="","",IF(D232&gt;D231,(D232-D231-D233)*24,(1-D231-D233+D232)*24))</f>
        <v/>
      </c>
      <c r="E234" s="18">
        <f>SUMIF(D235:D235,"",D234:D234)</f>
        <v>0</v>
      </c>
      <c r="F234" s="12">
        <f>SUM(D234:D234)</f>
        <v>0</v>
      </c>
      <c r="G234" s="21"/>
    </row>
    <row r="235" spans="1:7" x14ac:dyDescent="0.2">
      <c r="A235" s="39"/>
      <c r="B235" s="40"/>
      <c r="C235" s="32" t="s">
        <v>4</v>
      </c>
      <c r="D235" s="33"/>
      <c r="E235" s="17"/>
      <c r="F235" s="6"/>
      <c r="G235" s="24"/>
    </row>
    <row r="236" spans="1:7" ht="13.5" thickBot="1" x14ac:dyDescent="0.25">
      <c r="A236" s="41"/>
      <c r="B236" s="42"/>
      <c r="C236" s="35" t="s">
        <v>28</v>
      </c>
      <c r="D236" s="54"/>
      <c r="E236" s="34"/>
      <c r="F236" s="6"/>
      <c r="G236" s="25"/>
    </row>
    <row r="237" spans="1:7" x14ac:dyDescent="0.2">
      <c r="A237" s="37" t="s">
        <v>148</v>
      </c>
      <c r="B237" s="38" t="s">
        <v>149</v>
      </c>
      <c r="C237" s="14" t="s">
        <v>0</v>
      </c>
      <c r="D237" s="26"/>
      <c r="E237" s="16"/>
      <c r="F237" s="6"/>
      <c r="G237" s="25"/>
    </row>
    <row r="238" spans="1:7" x14ac:dyDescent="0.2">
      <c r="A238" s="39"/>
      <c r="B238" s="40"/>
      <c r="C238" s="15" t="s">
        <v>1</v>
      </c>
      <c r="D238" s="27"/>
      <c r="E238" s="17"/>
      <c r="F238" s="6"/>
      <c r="G238" s="21"/>
    </row>
    <row r="239" spans="1:7" x14ac:dyDescent="0.2">
      <c r="A239" s="39"/>
      <c r="B239" s="40"/>
      <c r="C239" s="15" t="s">
        <v>2</v>
      </c>
      <c r="D239" s="4"/>
      <c r="E239" s="17"/>
      <c r="F239" s="6"/>
      <c r="G239" s="21"/>
    </row>
    <row r="240" spans="1:7" x14ac:dyDescent="0.2">
      <c r="A240" s="39"/>
      <c r="B240" s="40"/>
      <c r="C240" s="15" t="s">
        <v>3</v>
      </c>
      <c r="D240" s="43" t="str">
        <f t="shared" ref="D240" si="37">IF(D237="","",IF(D238&gt;D237,(D238-D237-D239)*24,(1-D237-D239+D238)*24))</f>
        <v/>
      </c>
      <c r="E240" s="18">
        <f>SUMIF(D241:D241,"",D240:D240)</f>
        <v>0</v>
      </c>
      <c r="F240" s="12">
        <f>SUM(D240:D240)</f>
        <v>0</v>
      </c>
      <c r="G240" s="21"/>
    </row>
    <row r="241" spans="1:7" x14ac:dyDescent="0.2">
      <c r="A241" s="39"/>
      <c r="B241" s="40"/>
      <c r="C241" s="32" t="s">
        <v>4</v>
      </c>
      <c r="D241" s="33"/>
      <c r="E241" s="17"/>
      <c r="F241" s="6"/>
      <c r="G241" s="24"/>
    </row>
    <row r="242" spans="1:7" ht="13.5" thickBot="1" x14ac:dyDescent="0.25">
      <c r="A242" s="41"/>
      <c r="B242" s="42"/>
      <c r="C242" s="35" t="s">
        <v>28</v>
      </c>
      <c r="D242" s="54"/>
      <c r="E242" s="34"/>
      <c r="F242" s="6"/>
      <c r="G242" s="25"/>
    </row>
    <row r="243" spans="1:7" x14ac:dyDescent="0.2">
      <c r="A243" s="37" t="s">
        <v>50</v>
      </c>
      <c r="B243" s="38" t="s">
        <v>51</v>
      </c>
      <c r="C243" s="14" t="s">
        <v>0</v>
      </c>
      <c r="D243" s="26"/>
      <c r="E243" s="16"/>
      <c r="F243" s="6"/>
      <c r="G243" s="25"/>
    </row>
    <row r="244" spans="1:7" x14ac:dyDescent="0.2">
      <c r="A244" s="39"/>
      <c r="B244" s="40"/>
      <c r="C244" s="15" t="s">
        <v>1</v>
      </c>
      <c r="D244" s="27"/>
      <c r="E244" s="17"/>
      <c r="F244" s="6"/>
      <c r="G244" s="21"/>
    </row>
    <row r="245" spans="1:7" x14ac:dyDescent="0.2">
      <c r="A245" s="39"/>
      <c r="B245" s="40"/>
      <c r="C245" s="15" t="s">
        <v>2</v>
      </c>
      <c r="D245" s="4"/>
      <c r="E245" s="17"/>
      <c r="F245" s="6"/>
      <c r="G245" s="21"/>
    </row>
    <row r="246" spans="1:7" x14ac:dyDescent="0.2">
      <c r="A246" s="39"/>
      <c r="B246" s="40"/>
      <c r="C246" s="15" t="s">
        <v>3</v>
      </c>
      <c r="D246" s="43" t="str">
        <f t="shared" ref="D246" si="38">IF(D243="","",IF(D244&gt;D243,(D244-D243-D245)*24,(1-D243-D245+D244)*24))</f>
        <v/>
      </c>
      <c r="E246" s="18">
        <f>SUMIF(D247:D247,"",D246:D246)</f>
        <v>0</v>
      </c>
      <c r="F246" s="12">
        <f>SUM(D246:D246)</f>
        <v>0</v>
      </c>
      <c r="G246" s="21"/>
    </row>
    <row r="247" spans="1:7" x14ac:dyDescent="0.2">
      <c r="A247" s="39"/>
      <c r="B247" s="40"/>
      <c r="C247" s="32" t="s">
        <v>4</v>
      </c>
      <c r="D247" s="33"/>
      <c r="E247" s="17"/>
      <c r="F247" s="6"/>
      <c r="G247" s="24"/>
    </row>
    <row r="248" spans="1:7" ht="13.5" thickBot="1" x14ac:dyDescent="0.25">
      <c r="A248" s="41"/>
      <c r="B248" s="42"/>
      <c r="C248" s="35" t="s">
        <v>28</v>
      </c>
      <c r="D248" s="54"/>
      <c r="E248" s="34"/>
      <c r="F248" s="6"/>
      <c r="G248" s="25"/>
    </row>
    <row r="249" spans="1:7" x14ac:dyDescent="0.2">
      <c r="A249" s="37" t="s">
        <v>61</v>
      </c>
      <c r="B249" s="38" t="s">
        <v>62</v>
      </c>
      <c r="C249" s="14" t="s">
        <v>0</v>
      </c>
      <c r="D249" s="26"/>
      <c r="E249" s="16"/>
      <c r="F249" s="6"/>
      <c r="G249" s="25"/>
    </row>
    <row r="250" spans="1:7" x14ac:dyDescent="0.2">
      <c r="A250" s="39"/>
      <c r="B250" s="40"/>
      <c r="C250" s="15" t="s">
        <v>1</v>
      </c>
      <c r="D250" s="27"/>
      <c r="E250" s="17"/>
      <c r="F250" s="6"/>
      <c r="G250" s="21"/>
    </row>
    <row r="251" spans="1:7" x14ac:dyDescent="0.2">
      <c r="A251" s="39"/>
      <c r="B251" s="40"/>
      <c r="C251" s="15" t="s">
        <v>2</v>
      </c>
      <c r="D251" s="4"/>
      <c r="E251" s="17"/>
      <c r="F251" s="6"/>
      <c r="G251" s="21"/>
    </row>
    <row r="252" spans="1:7" x14ac:dyDescent="0.2">
      <c r="A252" s="39"/>
      <c r="B252" s="40"/>
      <c r="C252" s="15" t="s">
        <v>3</v>
      </c>
      <c r="D252" s="43" t="str">
        <f t="shared" ref="D252" si="39">IF(D249="","",IF(D250&gt;D249,(D250-D249-D251)*24,(1-D249-D251+D250)*24))</f>
        <v/>
      </c>
      <c r="E252" s="18">
        <f>SUMIF(D253:D253,"",D252:D252)</f>
        <v>0</v>
      </c>
      <c r="F252" s="12">
        <f>SUM(D252:D252)</f>
        <v>0</v>
      </c>
      <c r="G252" s="21"/>
    </row>
    <row r="253" spans="1:7" x14ac:dyDescent="0.2">
      <c r="A253" s="39"/>
      <c r="B253" s="40"/>
      <c r="C253" s="32" t="s">
        <v>4</v>
      </c>
      <c r="D253" s="33"/>
      <c r="E253" s="17"/>
      <c r="F253" s="6"/>
      <c r="G253" s="24"/>
    </row>
    <row r="254" spans="1:7" ht="13.5" thickBot="1" x14ac:dyDescent="0.25">
      <c r="A254" s="41"/>
      <c r="B254" s="42"/>
      <c r="C254" s="35" t="s">
        <v>28</v>
      </c>
      <c r="D254" s="54"/>
      <c r="E254" s="34"/>
      <c r="F254" s="6"/>
      <c r="G254" s="25"/>
    </row>
    <row r="255" spans="1:7" x14ac:dyDescent="0.2">
      <c r="A255" s="37" t="s">
        <v>116</v>
      </c>
      <c r="B255" s="38" t="s">
        <v>117</v>
      </c>
      <c r="C255" s="14" t="s">
        <v>0</v>
      </c>
      <c r="D255" s="26"/>
      <c r="E255" s="16"/>
      <c r="F255" s="6"/>
      <c r="G255" s="25"/>
    </row>
    <row r="256" spans="1:7" x14ac:dyDescent="0.2">
      <c r="A256" s="39"/>
      <c r="B256" s="40"/>
      <c r="C256" s="15" t="s">
        <v>1</v>
      </c>
      <c r="D256" s="27"/>
      <c r="E256" s="17"/>
      <c r="F256" s="6"/>
      <c r="G256" s="21"/>
    </row>
    <row r="257" spans="1:7" x14ac:dyDescent="0.2">
      <c r="A257" s="39"/>
      <c r="B257" s="40"/>
      <c r="C257" s="15" t="s">
        <v>2</v>
      </c>
      <c r="D257" s="4"/>
      <c r="E257" s="17"/>
      <c r="F257" s="6"/>
      <c r="G257" s="21"/>
    </row>
    <row r="258" spans="1:7" x14ac:dyDescent="0.2">
      <c r="A258" s="39"/>
      <c r="B258" s="40"/>
      <c r="C258" s="15" t="s">
        <v>3</v>
      </c>
      <c r="D258" s="43" t="str">
        <f t="shared" ref="D258" si="40">IF(D255="","",IF(D256&gt;D255,(D256-D255-D257)*24,(1-D255-D257+D256)*24))</f>
        <v/>
      </c>
      <c r="E258" s="18">
        <f>SUMIF(D259:D259,"",D258:D258)</f>
        <v>0</v>
      </c>
      <c r="F258" s="12">
        <f>SUM(D258:D258)</f>
        <v>0</v>
      </c>
      <c r="G258" s="21"/>
    </row>
    <row r="259" spans="1:7" x14ac:dyDescent="0.2">
      <c r="A259" s="39"/>
      <c r="B259" s="40"/>
      <c r="C259" s="32" t="s">
        <v>4</v>
      </c>
      <c r="D259" s="33"/>
      <c r="E259" s="17"/>
      <c r="F259" s="6"/>
      <c r="G259" s="24"/>
    </row>
    <row r="260" spans="1:7" ht="13.5" thickBot="1" x14ac:dyDescent="0.25">
      <c r="A260" s="41"/>
      <c r="B260" s="42"/>
      <c r="C260" s="35" t="s">
        <v>28</v>
      </c>
      <c r="D260" s="54"/>
      <c r="E260" s="34"/>
      <c r="F260" s="6"/>
      <c r="G260" s="25"/>
    </row>
    <row r="261" spans="1:7" x14ac:dyDescent="0.2">
      <c r="A261" s="37" t="s">
        <v>119</v>
      </c>
      <c r="B261" s="38" t="s">
        <v>45</v>
      </c>
      <c r="C261" s="14" t="s">
        <v>0</v>
      </c>
      <c r="D261" s="26"/>
      <c r="E261" s="16"/>
      <c r="F261" s="6"/>
      <c r="G261" s="25"/>
    </row>
    <row r="262" spans="1:7" x14ac:dyDescent="0.2">
      <c r="A262" s="39"/>
      <c r="B262" s="40"/>
      <c r="C262" s="15" t="s">
        <v>1</v>
      </c>
      <c r="D262" s="27"/>
      <c r="E262" s="17"/>
      <c r="F262" s="6"/>
      <c r="G262" s="21"/>
    </row>
    <row r="263" spans="1:7" x14ac:dyDescent="0.2">
      <c r="A263" s="39"/>
      <c r="B263" s="40"/>
      <c r="C263" s="15" t="s">
        <v>2</v>
      </c>
      <c r="D263" s="4"/>
      <c r="E263" s="17"/>
      <c r="F263" s="6"/>
      <c r="G263" s="21"/>
    </row>
    <row r="264" spans="1:7" x14ac:dyDescent="0.2">
      <c r="A264" s="39"/>
      <c r="B264" s="40"/>
      <c r="C264" s="15" t="s">
        <v>3</v>
      </c>
      <c r="D264" s="43" t="str">
        <f t="shared" ref="D264" si="41">IF(D261="","",IF(D262&gt;D261,(D262-D261-D263)*24,(1-D261-D263+D262)*24))</f>
        <v/>
      </c>
      <c r="E264" s="18">
        <f>SUMIF(D265:D265,"",D264:D264)</f>
        <v>0</v>
      </c>
      <c r="F264" s="12">
        <f>SUM(D264:D264)</f>
        <v>0</v>
      </c>
      <c r="G264" s="21"/>
    </row>
    <row r="265" spans="1:7" x14ac:dyDescent="0.2">
      <c r="A265" s="39"/>
      <c r="B265" s="40"/>
      <c r="C265" s="32" t="s">
        <v>4</v>
      </c>
      <c r="D265" s="33"/>
      <c r="E265" s="17"/>
      <c r="F265" s="6"/>
      <c r="G265" s="24"/>
    </row>
    <row r="266" spans="1:7" ht="13.5" thickBot="1" x14ac:dyDescent="0.25">
      <c r="A266" s="41"/>
      <c r="B266" s="42"/>
      <c r="C266" s="35" t="s">
        <v>28</v>
      </c>
      <c r="D266" s="54"/>
      <c r="E266" s="34"/>
      <c r="F266" s="6"/>
      <c r="G266" s="25"/>
    </row>
    <row r="267" spans="1:7" x14ac:dyDescent="0.2">
      <c r="A267" s="37" t="s">
        <v>60</v>
      </c>
      <c r="B267" s="38" t="s">
        <v>51</v>
      </c>
      <c r="C267" s="14" t="s">
        <v>0</v>
      </c>
      <c r="D267" s="26"/>
      <c r="E267" s="16"/>
      <c r="F267" s="6"/>
      <c r="G267" s="25"/>
    </row>
    <row r="268" spans="1:7" x14ac:dyDescent="0.2">
      <c r="A268" s="39"/>
      <c r="B268" s="40"/>
      <c r="C268" s="15" t="s">
        <v>1</v>
      </c>
      <c r="D268" s="27"/>
      <c r="E268" s="17"/>
      <c r="F268" s="6"/>
      <c r="G268" s="21"/>
    </row>
    <row r="269" spans="1:7" x14ac:dyDescent="0.2">
      <c r="A269" s="39"/>
      <c r="B269" s="40"/>
      <c r="C269" s="15" t="s">
        <v>2</v>
      </c>
      <c r="D269" s="4"/>
      <c r="E269" s="17"/>
      <c r="F269" s="6"/>
      <c r="G269" s="21"/>
    </row>
    <row r="270" spans="1:7" x14ac:dyDescent="0.2">
      <c r="A270" s="39"/>
      <c r="B270" s="40"/>
      <c r="C270" s="15" t="s">
        <v>3</v>
      </c>
      <c r="D270" s="43" t="str">
        <f t="shared" ref="D270" si="42">IF(D267="","",IF(D268&gt;D267,(D268-D267-D269)*24,(1-D267-D269+D268)*24))</f>
        <v/>
      </c>
      <c r="E270" s="18">
        <f>SUMIF(D271:D271,"",D270:D270)</f>
        <v>0</v>
      </c>
      <c r="F270" s="12">
        <f>SUM(D270:D270)</f>
        <v>0</v>
      </c>
      <c r="G270" s="21"/>
    </row>
    <row r="271" spans="1:7" x14ac:dyDescent="0.2">
      <c r="A271" s="39"/>
      <c r="B271" s="40"/>
      <c r="C271" s="32" t="s">
        <v>4</v>
      </c>
      <c r="D271" s="33"/>
      <c r="E271" s="17"/>
      <c r="F271" s="6"/>
      <c r="G271" s="24"/>
    </row>
    <row r="272" spans="1:7" ht="13.5" thickBot="1" x14ac:dyDescent="0.25">
      <c r="A272" s="41"/>
      <c r="B272" s="42"/>
      <c r="C272" s="35" t="s">
        <v>28</v>
      </c>
      <c r="D272" s="54"/>
      <c r="E272" s="34"/>
      <c r="F272" s="6"/>
      <c r="G272" s="25"/>
    </row>
    <row r="273" spans="1:7" x14ac:dyDescent="0.2">
      <c r="A273" s="37" t="s">
        <v>60</v>
      </c>
      <c r="B273" s="38" t="s">
        <v>51</v>
      </c>
      <c r="C273" s="14" t="s">
        <v>0</v>
      </c>
      <c r="D273" s="26"/>
      <c r="E273" s="16"/>
      <c r="F273" s="6"/>
      <c r="G273" s="25"/>
    </row>
    <row r="274" spans="1:7" x14ac:dyDescent="0.2">
      <c r="A274" s="39"/>
      <c r="B274" s="40"/>
      <c r="C274" s="15" t="s">
        <v>1</v>
      </c>
      <c r="D274" s="27"/>
      <c r="E274" s="17"/>
      <c r="F274" s="6"/>
      <c r="G274" s="21"/>
    </row>
    <row r="275" spans="1:7" x14ac:dyDescent="0.2">
      <c r="A275" s="39"/>
      <c r="B275" s="40"/>
      <c r="C275" s="15" t="s">
        <v>2</v>
      </c>
      <c r="D275" s="4"/>
      <c r="E275" s="17"/>
      <c r="F275" s="6"/>
      <c r="G275" s="21"/>
    </row>
    <row r="276" spans="1:7" x14ac:dyDescent="0.2">
      <c r="A276" s="39"/>
      <c r="B276" s="40"/>
      <c r="C276" s="15" t="s">
        <v>3</v>
      </c>
      <c r="D276" s="43" t="str">
        <f t="shared" ref="D276" si="43">IF(D273="","",IF(D274&gt;D273,(D274-D273-D275)*24,(1-D273-D275+D274)*24))</f>
        <v/>
      </c>
      <c r="E276" s="18">
        <f>SUMIF(D277:D277,"",D276:D276)</f>
        <v>0</v>
      </c>
      <c r="F276" s="12">
        <f>SUM(D276:D276)</f>
        <v>0</v>
      </c>
      <c r="G276" s="21"/>
    </row>
    <row r="277" spans="1:7" x14ac:dyDescent="0.2">
      <c r="A277" s="39"/>
      <c r="B277" s="40"/>
      <c r="C277" s="32" t="s">
        <v>4</v>
      </c>
      <c r="D277" s="33"/>
      <c r="E277" s="17"/>
      <c r="F277" s="6"/>
      <c r="G277" s="24"/>
    </row>
    <row r="278" spans="1:7" ht="13.5" thickBot="1" x14ac:dyDescent="0.25">
      <c r="A278" s="41"/>
      <c r="B278" s="42"/>
      <c r="C278" s="35" t="s">
        <v>28</v>
      </c>
      <c r="D278" s="67"/>
      <c r="E278" s="34"/>
      <c r="F278" s="6"/>
      <c r="G278" s="25"/>
    </row>
    <row r="279" spans="1:7" x14ac:dyDescent="0.2">
      <c r="A279" s="6"/>
      <c r="B279" s="6"/>
      <c r="C279" s="6"/>
      <c r="D279" s="5"/>
      <c r="E279" s="5"/>
      <c r="F279" s="6"/>
      <c r="G279" s="25"/>
    </row>
    <row r="280" spans="1:7" x14ac:dyDescent="0.2">
      <c r="A280" s="6"/>
      <c r="B280" s="6"/>
      <c r="C280" s="6"/>
      <c r="D280" s="5"/>
      <c r="E280" s="5"/>
      <c r="F280" s="6"/>
      <c r="G280" s="21"/>
    </row>
    <row r="281" spans="1:7" x14ac:dyDescent="0.2">
      <c r="A281" s="6"/>
      <c r="B281" s="6"/>
      <c r="C281" s="7" t="s">
        <v>15</v>
      </c>
      <c r="D281" s="11">
        <f>SUM(P4:P224)</f>
        <v>0</v>
      </c>
      <c r="E281" s="12"/>
      <c r="F281" s="12">
        <f>SUM(F3:F280)</f>
        <v>0</v>
      </c>
      <c r="G281" s="21"/>
    </row>
    <row r="282" spans="1:7" x14ac:dyDescent="0.2">
      <c r="A282" s="6"/>
      <c r="B282" s="6"/>
      <c r="C282" s="7" t="s">
        <v>16</v>
      </c>
      <c r="D282" s="11">
        <f>SUM(H4:H224)</f>
        <v>0</v>
      </c>
      <c r="E282" s="11" t="e">
        <f>SUM(#REF!)</f>
        <v>#REF!</v>
      </c>
      <c r="F282" s="12"/>
      <c r="G282" s="21"/>
    </row>
    <row r="283" spans="1:7" x14ac:dyDescent="0.2">
      <c r="A283" s="6"/>
      <c r="B283" s="6"/>
      <c r="C283" s="6"/>
      <c r="D283" s="5"/>
      <c r="E283" s="5"/>
      <c r="F283" s="6"/>
      <c r="G283" s="24"/>
    </row>
    <row r="284" spans="1:7" x14ac:dyDescent="0.2">
      <c r="G284" s="25"/>
    </row>
    <row r="285" spans="1:7" x14ac:dyDescent="0.2">
      <c r="G285" s="25"/>
    </row>
    <row r="286" spans="1:7" x14ac:dyDescent="0.2">
      <c r="G286" s="21"/>
    </row>
    <row r="287" spans="1:7" x14ac:dyDescent="0.2">
      <c r="G287" s="21"/>
    </row>
    <row r="288" spans="1:7" x14ac:dyDescent="0.2">
      <c r="G288" s="21"/>
    </row>
    <row r="289" spans="7:7" x14ac:dyDescent="0.2">
      <c r="G289" s="24"/>
    </row>
    <row r="290" spans="7:7" x14ac:dyDescent="0.2">
      <c r="G290" s="25"/>
    </row>
    <row r="291" spans="7:7" x14ac:dyDescent="0.2">
      <c r="G291" s="25"/>
    </row>
    <row r="292" spans="7:7" x14ac:dyDescent="0.2">
      <c r="G292" s="21"/>
    </row>
    <row r="293" spans="7:7" x14ac:dyDescent="0.2">
      <c r="G293" s="21"/>
    </row>
    <row r="294" spans="7:7" x14ac:dyDescent="0.2">
      <c r="G294" s="21"/>
    </row>
    <row r="295" spans="7:7" x14ac:dyDescent="0.2">
      <c r="G295" s="24"/>
    </row>
    <row r="296" spans="7:7" x14ac:dyDescent="0.2">
      <c r="G296" s="25"/>
    </row>
    <row r="297" spans="7:7" x14ac:dyDescent="0.2">
      <c r="G297" s="25"/>
    </row>
    <row r="298" spans="7:7" x14ac:dyDescent="0.2">
      <c r="G298" s="21"/>
    </row>
    <row r="299" spans="7:7" x14ac:dyDescent="0.2">
      <c r="G299" s="21"/>
    </row>
    <row r="300" spans="7:7" x14ac:dyDescent="0.2">
      <c r="G300" s="21"/>
    </row>
    <row r="301" spans="7:7" x14ac:dyDescent="0.2">
      <c r="G301" s="24"/>
    </row>
    <row r="302" spans="7:7" x14ac:dyDescent="0.2">
      <c r="G302" s="25"/>
    </row>
    <row r="303" spans="7:7" x14ac:dyDescent="0.2">
      <c r="G303" s="25"/>
    </row>
    <row r="304" spans="7:7" x14ac:dyDescent="0.2">
      <c r="G304" s="21"/>
    </row>
    <row r="305" spans="7:7" x14ac:dyDescent="0.2">
      <c r="G305" s="21"/>
    </row>
    <row r="306" spans="7:7" x14ac:dyDescent="0.2">
      <c r="G306" s="21"/>
    </row>
    <row r="307" spans="7:7" x14ac:dyDescent="0.2">
      <c r="G307" s="24"/>
    </row>
    <row r="308" spans="7:7" x14ac:dyDescent="0.2">
      <c r="G308" s="25"/>
    </row>
    <row r="309" spans="7:7" x14ac:dyDescent="0.2">
      <c r="G309" s="25"/>
    </row>
    <row r="310" spans="7:7" x14ac:dyDescent="0.2">
      <c r="G310" s="21"/>
    </row>
    <row r="311" spans="7:7" x14ac:dyDescent="0.2">
      <c r="G311" s="21"/>
    </row>
    <row r="312" spans="7:7" x14ac:dyDescent="0.2">
      <c r="G312" s="21"/>
    </row>
    <row r="313" spans="7:7" x14ac:dyDescent="0.2">
      <c r="G313" s="24"/>
    </row>
    <row r="314" spans="7:7" x14ac:dyDescent="0.2">
      <c r="G314" s="25"/>
    </row>
    <row r="315" spans="7:7" x14ac:dyDescent="0.2">
      <c r="G315" s="25"/>
    </row>
    <row r="316" spans="7:7" x14ac:dyDescent="0.2">
      <c r="G316" s="21"/>
    </row>
    <row r="317" spans="7:7" x14ac:dyDescent="0.2">
      <c r="G317" s="21"/>
    </row>
    <row r="318" spans="7:7" x14ac:dyDescent="0.2">
      <c r="G318" s="21"/>
    </row>
    <row r="319" spans="7:7" x14ac:dyDescent="0.2">
      <c r="G319" s="24"/>
    </row>
    <row r="320" spans="7:7" x14ac:dyDescent="0.2">
      <c r="G320" s="25"/>
    </row>
    <row r="321" spans="7:7" x14ac:dyDescent="0.2">
      <c r="G321" s="25"/>
    </row>
    <row r="322" spans="7:7" x14ac:dyDescent="0.2">
      <c r="G322" s="21"/>
    </row>
    <row r="323" spans="7:7" x14ac:dyDescent="0.2">
      <c r="G323" s="21"/>
    </row>
    <row r="324" spans="7:7" x14ac:dyDescent="0.2">
      <c r="G324" s="21"/>
    </row>
    <row r="325" spans="7:7" x14ac:dyDescent="0.2">
      <c r="G325" s="24"/>
    </row>
    <row r="326" spans="7:7" x14ac:dyDescent="0.2">
      <c r="G326" s="25"/>
    </row>
    <row r="327" spans="7:7" x14ac:dyDescent="0.2">
      <c r="G327" s="25"/>
    </row>
    <row r="328" spans="7:7" x14ac:dyDescent="0.2">
      <c r="G328" s="21"/>
    </row>
    <row r="329" spans="7:7" x14ac:dyDescent="0.2">
      <c r="G329" s="21"/>
    </row>
    <row r="330" spans="7:7" x14ac:dyDescent="0.2">
      <c r="G330" s="21"/>
    </row>
    <row r="331" spans="7:7" x14ac:dyDescent="0.2">
      <c r="G331" s="24"/>
    </row>
    <row r="332" spans="7:7" x14ac:dyDescent="0.2">
      <c r="G332" s="25"/>
    </row>
    <row r="333" spans="7:7" x14ac:dyDescent="0.2">
      <c r="G333" s="25"/>
    </row>
    <row r="334" spans="7:7" x14ac:dyDescent="0.2">
      <c r="G334" s="21"/>
    </row>
    <row r="335" spans="7:7" x14ac:dyDescent="0.2">
      <c r="G335" s="21"/>
    </row>
    <row r="336" spans="7:7" x14ac:dyDescent="0.2">
      <c r="G336" s="21"/>
    </row>
    <row r="337" spans="7:7" x14ac:dyDescent="0.2">
      <c r="G337" s="24"/>
    </row>
    <row r="338" spans="7:7" x14ac:dyDescent="0.2">
      <c r="G338" s="25"/>
    </row>
    <row r="339" spans="7:7" x14ac:dyDescent="0.2">
      <c r="G339" s="25"/>
    </row>
    <row r="340" spans="7:7" x14ac:dyDescent="0.2">
      <c r="G340" s="21"/>
    </row>
    <row r="341" spans="7:7" x14ac:dyDescent="0.2">
      <c r="G341" s="21"/>
    </row>
    <row r="342" spans="7:7" x14ac:dyDescent="0.2">
      <c r="G342" s="21"/>
    </row>
    <row r="343" spans="7:7" x14ac:dyDescent="0.2">
      <c r="G343" s="24"/>
    </row>
    <row r="344" spans="7:7" x14ac:dyDescent="0.2">
      <c r="G344" s="25"/>
    </row>
    <row r="345" spans="7:7" x14ac:dyDescent="0.2">
      <c r="G345" s="25"/>
    </row>
    <row r="346" spans="7:7" x14ac:dyDescent="0.2">
      <c r="G346" s="21"/>
    </row>
    <row r="347" spans="7:7" x14ac:dyDescent="0.2">
      <c r="G347" s="21"/>
    </row>
    <row r="348" spans="7:7" x14ac:dyDescent="0.2">
      <c r="G348" s="21"/>
    </row>
    <row r="349" spans="7:7" x14ac:dyDescent="0.2">
      <c r="G349" s="24"/>
    </row>
    <row r="350" spans="7:7" x14ac:dyDescent="0.2">
      <c r="G350" s="25"/>
    </row>
    <row r="351" spans="7:7" x14ac:dyDescent="0.2">
      <c r="G351" s="25"/>
    </row>
    <row r="352" spans="7:7" x14ac:dyDescent="0.2">
      <c r="G352" s="21"/>
    </row>
    <row r="353" spans="7:7" x14ac:dyDescent="0.2">
      <c r="G353" s="21"/>
    </row>
    <row r="354" spans="7:7" x14ac:dyDescent="0.2">
      <c r="G354" s="21"/>
    </row>
    <row r="355" spans="7:7" x14ac:dyDescent="0.2">
      <c r="G355" s="24"/>
    </row>
    <row r="356" spans="7:7" x14ac:dyDescent="0.2">
      <c r="G356" s="25"/>
    </row>
    <row r="357" spans="7:7" x14ac:dyDescent="0.2">
      <c r="G357" s="25"/>
    </row>
    <row r="358" spans="7:7" x14ac:dyDescent="0.2">
      <c r="G358" s="21"/>
    </row>
    <row r="359" spans="7:7" x14ac:dyDescent="0.2">
      <c r="G359" s="21"/>
    </row>
    <row r="360" spans="7:7" x14ac:dyDescent="0.2">
      <c r="G360" s="21"/>
    </row>
    <row r="361" spans="7:7" x14ac:dyDescent="0.2">
      <c r="G361" s="24"/>
    </row>
    <row r="362" spans="7:7" x14ac:dyDescent="0.2">
      <c r="G362" s="25"/>
    </row>
    <row r="363" spans="7:7" x14ac:dyDescent="0.2">
      <c r="G363" s="25"/>
    </row>
    <row r="364" spans="7:7" x14ac:dyDescent="0.2">
      <c r="G364" s="21"/>
    </row>
    <row r="365" spans="7:7" x14ac:dyDescent="0.2">
      <c r="G365" s="21"/>
    </row>
    <row r="366" spans="7:7" x14ac:dyDescent="0.2">
      <c r="G366" s="21"/>
    </row>
    <row r="367" spans="7:7" x14ac:dyDescent="0.2">
      <c r="G367" s="24"/>
    </row>
    <row r="368" spans="7:7" x14ac:dyDescent="0.2">
      <c r="G368" s="25"/>
    </row>
    <row r="369" spans="7:7" x14ac:dyDescent="0.2">
      <c r="G369" s="25"/>
    </row>
    <row r="370" spans="7:7" x14ac:dyDescent="0.2">
      <c r="G370" s="21"/>
    </row>
    <row r="371" spans="7:7" x14ac:dyDescent="0.2">
      <c r="G371" s="21"/>
    </row>
    <row r="372" spans="7:7" x14ac:dyDescent="0.2">
      <c r="G372" s="21"/>
    </row>
    <row r="373" spans="7:7" x14ac:dyDescent="0.2">
      <c r="G373" s="24"/>
    </row>
    <row r="374" spans="7:7" x14ac:dyDescent="0.2">
      <c r="G374" s="25"/>
    </row>
    <row r="375" spans="7:7" x14ac:dyDescent="0.2">
      <c r="G375" s="25"/>
    </row>
    <row r="376" spans="7:7" x14ac:dyDescent="0.2">
      <c r="G376" s="21"/>
    </row>
    <row r="377" spans="7:7" x14ac:dyDescent="0.2">
      <c r="G377" s="21"/>
    </row>
    <row r="378" spans="7:7" x14ac:dyDescent="0.2">
      <c r="G378" s="21"/>
    </row>
    <row r="379" spans="7:7" x14ac:dyDescent="0.2">
      <c r="G379" s="24"/>
    </row>
    <row r="380" spans="7:7" x14ac:dyDescent="0.2">
      <c r="G380" s="25"/>
    </row>
    <row r="381" spans="7:7" x14ac:dyDescent="0.2">
      <c r="G381" s="25"/>
    </row>
    <row r="382" spans="7:7" x14ac:dyDescent="0.2">
      <c r="G382" s="21"/>
    </row>
    <row r="383" spans="7:7" x14ac:dyDescent="0.2">
      <c r="G383" s="21"/>
    </row>
    <row r="384" spans="7:7" x14ac:dyDescent="0.2">
      <c r="G384" s="21"/>
    </row>
    <row r="385" spans="7:7" x14ac:dyDescent="0.2">
      <c r="G385" s="24"/>
    </row>
    <row r="386" spans="7:7" x14ac:dyDescent="0.2">
      <c r="G386" s="25"/>
    </row>
    <row r="387" spans="7:7" x14ac:dyDescent="0.2">
      <c r="G387" s="25"/>
    </row>
    <row r="388" spans="7:7" x14ac:dyDescent="0.2">
      <c r="G388" s="21"/>
    </row>
    <row r="389" spans="7:7" x14ac:dyDescent="0.2">
      <c r="G389" s="21"/>
    </row>
    <row r="390" spans="7:7" x14ac:dyDescent="0.2">
      <c r="G390" s="21"/>
    </row>
    <row r="391" spans="7:7" x14ac:dyDescent="0.2">
      <c r="G391" s="24"/>
    </row>
    <row r="392" spans="7:7" x14ac:dyDescent="0.2">
      <c r="G392" s="25"/>
    </row>
    <row r="393" spans="7:7" x14ac:dyDescent="0.2">
      <c r="G393" s="25"/>
    </row>
    <row r="394" spans="7:7" x14ac:dyDescent="0.2">
      <c r="G394" s="21"/>
    </row>
    <row r="395" spans="7:7" x14ac:dyDescent="0.2">
      <c r="G395" s="21"/>
    </row>
    <row r="396" spans="7:7" x14ac:dyDescent="0.2">
      <c r="G396" s="21"/>
    </row>
    <row r="397" spans="7:7" x14ac:dyDescent="0.2">
      <c r="G397" s="24"/>
    </row>
    <row r="398" spans="7:7" x14ac:dyDescent="0.2">
      <c r="G398" s="25"/>
    </row>
    <row r="399" spans="7:7" x14ac:dyDescent="0.2">
      <c r="G399" s="25"/>
    </row>
    <row r="400" spans="7:7" x14ac:dyDescent="0.2">
      <c r="G400" s="21"/>
    </row>
    <row r="401" spans="7:7" x14ac:dyDescent="0.2">
      <c r="G401" s="21"/>
    </row>
    <row r="402" spans="7:7" x14ac:dyDescent="0.2">
      <c r="G402" s="21"/>
    </row>
    <row r="403" spans="7:7" x14ac:dyDescent="0.2">
      <c r="G403" s="24"/>
    </row>
    <row r="404" spans="7:7" x14ac:dyDescent="0.2">
      <c r="G404" s="25"/>
    </row>
    <row r="405" spans="7:7" x14ac:dyDescent="0.2">
      <c r="G405" s="25"/>
    </row>
    <row r="406" spans="7:7" x14ac:dyDescent="0.2">
      <c r="G406" s="21"/>
    </row>
    <row r="407" spans="7:7" x14ac:dyDescent="0.2">
      <c r="G407" s="21"/>
    </row>
    <row r="408" spans="7:7" x14ac:dyDescent="0.2">
      <c r="G408" s="21"/>
    </row>
    <row r="409" spans="7:7" x14ac:dyDescent="0.2">
      <c r="G409" s="24"/>
    </row>
    <row r="410" spans="7:7" x14ac:dyDescent="0.2">
      <c r="G410" s="25"/>
    </row>
    <row r="411" spans="7:7" x14ac:dyDescent="0.2">
      <c r="G411" s="25"/>
    </row>
    <row r="412" spans="7:7" x14ac:dyDescent="0.2">
      <c r="G412" s="21"/>
    </row>
    <row r="413" spans="7:7" x14ac:dyDescent="0.2">
      <c r="G413" s="21"/>
    </row>
    <row r="414" spans="7:7" x14ac:dyDescent="0.2">
      <c r="G414" s="21"/>
    </row>
    <row r="415" spans="7:7" x14ac:dyDescent="0.2">
      <c r="G415" s="24"/>
    </row>
    <row r="416" spans="7:7" x14ac:dyDescent="0.2">
      <c r="G416" s="25"/>
    </row>
    <row r="417" spans="7:7" x14ac:dyDescent="0.2">
      <c r="G417" s="25"/>
    </row>
    <row r="418" spans="7:7" x14ac:dyDescent="0.2">
      <c r="G418" s="21"/>
    </row>
    <row r="419" spans="7:7" x14ac:dyDescent="0.2">
      <c r="G419" s="21"/>
    </row>
    <row r="420" spans="7:7" x14ac:dyDescent="0.2">
      <c r="G420" s="21"/>
    </row>
    <row r="421" spans="7:7" x14ac:dyDescent="0.2">
      <c r="G421" s="24"/>
    </row>
    <row r="422" spans="7:7" x14ac:dyDescent="0.2">
      <c r="G422" s="25"/>
    </row>
    <row r="423" spans="7:7" x14ac:dyDescent="0.2">
      <c r="G423" s="25"/>
    </row>
    <row r="424" spans="7:7" x14ac:dyDescent="0.2">
      <c r="G424" s="21"/>
    </row>
    <row r="425" spans="7:7" x14ac:dyDescent="0.2">
      <c r="G425" s="21"/>
    </row>
    <row r="426" spans="7:7" x14ac:dyDescent="0.2">
      <c r="G426" s="21"/>
    </row>
    <row r="427" spans="7:7" x14ac:dyDescent="0.2">
      <c r="G427" s="24"/>
    </row>
    <row r="428" spans="7:7" x14ac:dyDescent="0.2">
      <c r="G428" s="25"/>
    </row>
    <row r="429" spans="7:7" x14ac:dyDescent="0.2">
      <c r="G429" s="25"/>
    </row>
    <row r="430" spans="7:7" x14ac:dyDescent="0.2">
      <c r="G430" s="21"/>
    </row>
    <row r="431" spans="7:7" x14ac:dyDescent="0.2">
      <c r="G431" s="21"/>
    </row>
    <row r="432" spans="7:7" x14ac:dyDescent="0.2">
      <c r="G432" s="21"/>
    </row>
    <row r="433" spans="7:7" x14ac:dyDescent="0.2">
      <c r="G433" s="24"/>
    </row>
    <row r="434" spans="7:7" x14ac:dyDescent="0.2">
      <c r="G434" s="25"/>
    </row>
    <row r="435" spans="7:7" x14ac:dyDescent="0.2">
      <c r="G435" s="25"/>
    </row>
    <row r="436" spans="7:7" x14ac:dyDescent="0.2">
      <c r="G436" s="21"/>
    </row>
    <row r="437" spans="7:7" x14ac:dyDescent="0.2">
      <c r="G437" s="21"/>
    </row>
    <row r="438" spans="7:7" x14ac:dyDescent="0.2">
      <c r="G438" s="21"/>
    </row>
    <row r="439" spans="7:7" x14ac:dyDescent="0.2">
      <c r="G439" s="24"/>
    </row>
    <row r="440" spans="7:7" x14ac:dyDescent="0.2">
      <c r="G440" s="25"/>
    </row>
    <row r="441" spans="7:7" x14ac:dyDescent="0.2">
      <c r="G441" s="25"/>
    </row>
    <row r="442" spans="7:7" x14ac:dyDescent="0.2">
      <c r="G442" s="21"/>
    </row>
    <row r="443" spans="7:7" x14ac:dyDescent="0.2">
      <c r="G443" s="21"/>
    </row>
    <row r="444" spans="7:7" x14ac:dyDescent="0.2">
      <c r="G444" s="21"/>
    </row>
    <row r="445" spans="7:7" x14ac:dyDescent="0.2">
      <c r="G445" s="24"/>
    </row>
    <row r="446" spans="7:7" x14ac:dyDescent="0.2">
      <c r="G446" s="25"/>
    </row>
    <row r="447" spans="7:7" x14ac:dyDescent="0.2">
      <c r="G447" s="25"/>
    </row>
    <row r="448" spans="7:7" x14ac:dyDescent="0.2">
      <c r="G448" s="21"/>
    </row>
    <row r="449" spans="7:7" x14ac:dyDescent="0.2">
      <c r="G449" s="21"/>
    </row>
    <row r="450" spans="7:7" x14ac:dyDescent="0.2">
      <c r="G450" s="21"/>
    </row>
    <row r="451" spans="7:7" x14ac:dyDescent="0.2">
      <c r="G451" s="24"/>
    </row>
    <row r="452" spans="7:7" x14ac:dyDescent="0.2">
      <c r="G452" s="25"/>
    </row>
    <row r="453" spans="7:7" x14ac:dyDescent="0.2">
      <c r="G453" s="25"/>
    </row>
    <row r="454" spans="7:7" x14ac:dyDescent="0.2">
      <c r="G454" s="21"/>
    </row>
    <row r="455" spans="7:7" x14ac:dyDescent="0.2">
      <c r="G455" s="21"/>
    </row>
    <row r="456" spans="7:7" x14ac:dyDescent="0.2">
      <c r="G456" s="21"/>
    </row>
    <row r="457" spans="7:7" x14ac:dyDescent="0.2">
      <c r="G457" s="24"/>
    </row>
    <row r="458" spans="7:7" x14ac:dyDescent="0.2">
      <c r="G458" s="25"/>
    </row>
    <row r="459" spans="7:7" x14ac:dyDescent="0.2">
      <c r="G459" s="25"/>
    </row>
    <row r="460" spans="7:7" x14ac:dyDescent="0.2">
      <c r="G460" s="21"/>
    </row>
    <row r="461" spans="7:7" x14ac:dyDescent="0.2">
      <c r="G461" s="21"/>
    </row>
    <row r="462" spans="7:7" x14ac:dyDescent="0.2">
      <c r="G462" s="21"/>
    </row>
    <row r="463" spans="7:7" x14ac:dyDescent="0.2">
      <c r="G463" s="24"/>
    </row>
    <row r="464" spans="7:7" x14ac:dyDescent="0.2">
      <c r="G464" s="25"/>
    </row>
    <row r="465" spans="7:7" x14ac:dyDescent="0.2">
      <c r="G465" s="25"/>
    </row>
    <row r="466" spans="7:7" x14ac:dyDescent="0.2">
      <c r="G466" s="21"/>
    </row>
    <row r="467" spans="7:7" x14ac:dyDescent="0.2">
      <c r="G467" s="21"/>
    </row>
    <row r="468" spans="7:7" x14ac:dyDescent="0.2">
      <c r="G468" s="21"/>
    </row>
    <row r="469" spans="7:7" x14ac:dyDescent="0.2">
      <c r="G469" s="24"/>
    </row>
    <row r="470" spans="7:7" x14ac:dyDescent="0.2">
      <c r="G470" s="25"/>
    </row>
    <row r="471" spans="7:7" x14ac:dyDescent="0.2">
      <c r="G471" s="25"/>
    </row>
    <row r="472" spans="7:7" x14ac:dyDescent="0.2">
      <c r="G472" s="21"/>
    </row>
    <row r="473" spans="7:7" x14ac:dyDescent="0.2">
      <c r="G473" s="21"/>
    </row>
    <row r="474" spans="7:7" x14ac:dyDescent="0.2">
      <c r="G474" s="21"/>
    </row>
    <row r="475" spans="7:7" x14ac:dyDescent="0.2">
      <c r="G475" s="24"/>
    </row>
    <row r="476" spans="7:7" x14ac:dyDescent="0.2">
      <c r="G476" s="25"/>
    </row>
    <row r="477" spans="7:7" x14ac:dyDescent="0.2">
      <c r="G477" s="25"/>
    </row>
    <row r="478" spans="7:7" x14ac:dyDescent="0.2">
      <c r="G478" s="21"/>
    </row>
    <row r="479" spans="7:7" x14ac:dyDescent="0.2">
      <c r="G479" s="21"/>
    </row>
    <row r="480" spans="7:7" x14ac:dyDescent="0.2">
      <c r="G480" s="21"/>
    </row>
    <row r="481" spans="7:7" x14ac:dyDescent="0.2">
      <c r="G481" s="24"/>
    </row>
    <row r="482" spans="7:7" x14ac:dyDescent="0.2">
      <c r="G482" s="25"/>
    </row>
    <row r="483" spans="7:7" x14ac:dyDescent="0.2">
      <c r="G483" s="25"/>
    </row>
    <row r="484" spans="7:7" x14ac:dyDescent="0.2">
      <c r="G484" s="21"/>
    </row>
    <row r="485" spans="7:7" x14ac:dyDescent="0.2">
      <c r="G485" s="21"/>
    </row>
    <row r="486" spans="7:7" x14ac:dyDescent="0.2">
      <c r="G486" s="21"/>
    </row>
    <row r="487" spans="7:7" x14ac:dyDescent="0.2">
      <c r="G487" s="24"/>
    </row>
    <row r="488" spans="7:7" x14ac:dyDescent="0.2">
      <c r="G488" s="25"/>
    </row>
    <row r="489" spans="7:7" x14ac:dyDescent="0.2">
      <c r="G489" s="25"/>
    </row>
    <row r="490" spans="7:7" x14ac:dyDescent="0.2">
      <c r="G490" s="21"/>
    </row>
    <row r="491" spans="7:7" x14ac:dyDescent="0.2">
      <c r="G491" s="21"/>
    </row>
    <row r="492" spans="7:7" x14ac:dyDescent="0.2">
      <c r="G492" s="21"/>
    </row>
    <row r="493" spans="7:7" x14ac:dyDescent="0.2">
      <c r="G493" s="24"/>
    </row>
    <row r="494" spans="7:7" x14ac:dyDescent="0.2">
      <c r="G494" s="25"/>
    </row>
    <row r="495" spans="7:7" x14ac:dyDescent="0.2">
      <c r="G495" s="25"/>
    </row>
    <row r="496" spans="7:7" x14ac:dyDescent="0.2">
      <c r="G496" s="21"/>
    </row>
    <row r="497" spans="7:7" x14ac:dyDescent="0.2">
      <c r="G497" s="21"/>
    </row>
    <row r="498" spans="7:7" x14ac:dyDescent="0.2">
      <c r="G498" s="21"/>
    </row>
    <row r="499" spans="7:7" x14ac:dyDescent="0.2">
      <c r="G499" s="24"/>
    </row>
    <row r="500" spans="7:7" x14ac:dyDescent="0.2">
      <c r="G500" s="25"/>
    </row>
    <row r="501" spans="7:7" x14ac:dyDescent="0.2">
      <c r="G501" s="25"/>
    </row>
    <row r="503" spans="7:7" x14ac:dyDescent="0.2">
      <c r="G503" s="29" t="s">
        <v>26</v>
      </c>
    </row>
    <row r="504" spans="7:7" x14ac:dyDescent="0.2">
      <c r="G504" s="28" t="e">
        <f>+D281+#REF!+#REF!+#REF!+#REF!+#REF!+#REF!</f>
        <v>#REF!</v>
      </c>
    </row>
    <row r="505" spans="7:7" x14ac:dyDescent="0.2">
      <c r="G505" s="28" t="e">
        <f>+D282+#REF!+#REF!+#REF!+#REF!+#REF!+#REF!</f>
        <v>#REF!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95"/>
  <sheetViews>
    <sheetView topLeftCell="A142" workbookViewId="0">
      <selection activeCell="A148" sqref="A148:XFD153"/>
    </sheetView>
  </sheetViews>
  <sheetFormatPr defaultRowHeight="12.75" x14ac:dyDescent="0.2"/>
  <cols>
    <col min="1" max="1" width="18.28515625" customWidth="1"/>
    <col min="2" max="2" width="14.140625" customWidth="1"/>
    <col min="6" max="10" width="0" hidden="1" customWidth="1"/>
  </cols>
  <sheetData>
    <row r="1" spans="1:13" x14ac:dyDescent="0.2">
      <c r="A1" s="50" t="s">
        <v>34</v>
      </c>
      <c r="B1" s="49"/>
      <c r="C1" s="6"/>
      <c r="D1" s="62" t="s">
        <v>9</v>
      </c>
      <c r="E1" s="62" t="s">
        <v>10</v>
      </c>
      <c r="F1" s="62" t="s">
        <v>11</v>
      </c>
      <c r="G1" s="62" t="s">
        <v>12</v>
      </c>
      <c r="H1" s="62" t="s">
        <v>13</v>
      </c>
      <c r="I1" s="62" t="s">
        <v>7</v>
      </c>
      <c r="J1" s="62" t="s">
        <v>8</v>
      </c>
      <c r="K1" s="5" t="s">
        <v>5</v>
      </c>
      <c r="L1" s="5" t="s">
        <v>5</v>
      </c>
      <c r="M1" s="30"/>
    </row>
    <row r="2" spans="1:13" ht="13.5" thickBot="1" x14ac:dyDescent="0.25">
      <c r="A2" s="29"/>
      <c r="B2" s="48"/>
      <c r="C2" s="6"/>
      <c r="D2" s="31">
        <v>45168</v>
      </c>
      <c r="E2" s="31">
        <v>45169</v>
      </c>
      <c r="F2" s="31">
        <v>45163</v>
      </c>
      <c r="G2" s="31">
        <v>45164</v>
      </c>
      <c r="H2" s="31">
        <v>45165</v>
      </c>
      <c r="I2" s="31">
        <v>45166</v>
      </c>
      <c r="J2" s="31">
        <v>45167</v>
      </c>
      <c r="K2" s="5" t="s">
        <v>6</v>
      </c>
      <c r="L2" s="5" t="s">
        <v>14</v>
      </c>
      <c r="M2" s="51" t="s">
        <v>32</v>
      </c>
    </row>
    <row r="3" spans="1:13" ht="13.5" thickBot="1" x14ac:dyDescent="0.25">
      <c r="A3" s="6" t="s">
        <v>30</v>
      </c>
      <c r="B3" s="6" t="s">
        <v>35</v>
      </c>
      <c r="C3" s="6"/>
      <c r="D3" s="65"/>
      <c r="E3" s="65"/>
      <c r="F3" s="65"/>
      <c r="G3" s="65"/>
      <c r="H3" s="60"/>
      <c r="I3" s="60"/>
      <c r="J3" s="47"/>
      <c r="K3" s="5"/>
      <c r="L3" s="6"/>
      <c r="M3" s="52" t="s">
        <v>39</v>
      </c>
    </row>
    <row r="4" spans="1:13" x14ac:dyDescent="0.2">
      <c r="A4" s="37" t="s">
        <v>88</v>
      </c>
      <c r="B4" s="38" t="s">
        <v>47</v>
      </c>
      <c r="C4" s="14" t="s">
        <v>0</v>
      </c>
      <c r="D4" s="26">
        <v>0.54166666666666663</v>
      </c>
      <c r="E4" s="26"/>
      <c r="F4" s="26"/>
      <c r="G4" s="26"/>
      <c r="H4" s="26"/>
      <c r="I4" s="26"/>
      <c r="J4" s="26"/>
      <c r="K4" s="16"/>
      <c r="L4" s="6"/>
      <c r="M4" s="21"/>
    </row>
    <row r="5" spans="1:13" x14ac:dyDescent="0.2">
      <c r="A5" s="39"/>
      <c r="B5" s="40"/>
      <c r="C5" s="15" t="s">
        <v>1</v>
      </c>
      <c r="D5" s="27">
        <v>0.77083333333333337</v>
      </c>
      <c r="E5" s="27"/>
      <c r="F5" s="27"/>
      <c r="G5" s="27"/>
      <c r="H5" s="27"/>
      <c r="I5" s="27"/>
      <c r="J5" s="27"/>
      <c r="K5" s="17"/>
      <c r="L5" s="6"/>
      <c r="M5" s="21"/>
    </row>
    <row r="6" spans="1:13" x14ac:dyDescent="0.2">
      <c r="A6" s="39"/>
      <c r="B6" s="40"/>
      <c r="C6" s="15" t="s">
        <v>2</v>
      </c>
      <c r="D6" s="4"/>
      <c r="E6" s="4"/>
      <c r="F6" s="4"/>
      <c r="G6" s="4"/>
      <c r="H6" s="4"/>
      <c r="I6" s="4"/>
      <c r="J6" s="4"/>
      <c r="K6" s="17"/>
      <c r="L6" s="6"/>
      <c r="M6" s="21"/>
    </row>
    <row r="7" spans="1:13" x14ac:dyDescent="0.2">
      <c r="A7" s="39"/>
      <c r="B7" s="40"/>
      <c r="C7" s="15" t="s">
        <v>3</v>
      </c>
      <c r="D7" s="43">
        <f t="shared" ref="D7:H7" si="0">IF(D4="","",IF(D5&gt;D4,(D5-D4-D6)*24,(1-D4-D6+D5)*24))</f>
        <v>5.5000000000000018</v>
      </c>
      <c r="E7" s="43" t="str">
        <f t="shared" si="0"/>
        <v/>
      </c>
      <c r="F7" s="43" t="str">
        <f t="shared" si="0"/>
        <v/>
      </c>
      <c r="G7" s="43" t="str">
        <f t="shared" si="0"/>
        <v/>
      </c>
      <c r="H7" s="43" t="str">
        <f t="shared" si="0"/>
        <v/>
      </c>
      <c r="I7" s="43" t="str">
        <f>IF(I4="","",IF(I5&gt;I4,(I5-I4-I6)*24,(1-I4-I6+I5)*24))</f>
        <v/>
      </c>
      <c r="J7" s="43" t="str">
        <f>IF(J4="","",IF(J5&gt;J4,(J5-J4-J6)*24,(1-J4-J6+J5)*24))</f>
        <v/>
      </c>
      <c r="K7" s="18">
        <f>SUMIF(D8:J8,"",D7:J7)</f>
        <v>5.5000000000000018</v>
      </c>
      <c r="L7" s="12">
        <f>SUM(D7:J7)</f>
        <v>5.5000000000000018</v>
      </c>
      <c r="M7" s="24"/>
    </row>
    <row r="8" spans="1:13" x14ac:dyDescent="0.2">
      <c r="A8" s="39"/>
      <c r="B8" s="40"/>
      <c r="C8" s="32" t="s">
        <v>4</v>
      </c>
      <c r="D8" s="33"/>
      <c r="E8" s="33"/>
      <c r="F8" s="33"/>
      <c r="G8" s="33"/>
      <c r="H8" s="33"/>
      <c r="I8" s="33"/>
      <c r="J8" s="33"/>
      <c r="K8" s="17"/>
      <c r="L8" s="6"/>
      <c r="M8" s="25"/>
    </row>
    <row r="9" spans="1:13" ht="13.5" thickBot="1" x14ac:dyDescent="0.25">
      <c r="A9" s="41"/>
      <c r="B9" s="42"/>
      <c r="C9" s="35" t="s">
        <v>28</v>
      </c>
      <c r="D9" s="36"/>
      <c r="E9" s="36"/>
      <c r="F9" s="36"/>
      <c r="G9" s="36"/>
      <c r="H9" s="36"/>
      <c r="I9" s="36"/>
      <c r="J9" s="36"/>
      <c r="K9" s="34"/>
      <c r="L9" s="6"/>
      <c r="M9" s="25"/>
    </row>
    <row r="10" spans="1:13" x14ac:dyDescent="0.2">
      <c r="A10" s="37" t="s">
        <v>89</v>
      </c>
      <c r="B10" s="38" t="s">
        <v>90</v>
      </c>
      <c r="C10" s="14" t="s">
        <v>0</v>
      </c>
      <c r="D10" s="26"/>
      <c r="E10" s="26"/>
      <c r="F10" s="26"/>
      <c r="G10" s="26"/>
      <c r="H10" s="26"/>
      <c r="I10" s="26"/>
      <c r="J10" s="26"/>
      <c r="K10" s="16"/>
      <c r="L10" s="6"/>
      <c r="M10" s="21"/>
    </row>
    <row r="11" spans="1:13" x14ac:dyDescent="0.2">
      <c r="A11" s="39"/>
      <c r="B11" s="40"/>
      <c r="C11" s="15" t="s">
        <v>1</v>
      </c>
      <c r="D11" s="27"/>
      <c r="E11" s="27"/>
      <c r="F11" s="27"/>
      <c r="G11" s="27"/>
      <c r="H11" s="27"/>
      <c r="I11" s="27"/>
      <c r="J11" s="27"/>
      <c r="K11" s="17"/>
      <c r="L11" s="6"/>
      <c r="M11" s="21"/>
    </row>
    <row r="12" spans="1:13" x14ac:dyDescent="0.2">
      <c r="A12" s="39"/>
      <c r="B12" s="40"/>
      <c r="C12" s="15" t="s">
        <v>2</v>
      </c>
      <c r="D12" s="4"/>
      <c r="E12" s="4"/>
      <c r="F12" s="4"/>
      <c r="G12" s="4"/>
      <c r="H12" s="4"/>
      <c r="I12" s="4"/>
      <c r="J12" s="4"/>
      <c r="K12" s="17"/>
      <c r="L12" s="6"/>
      <c r="M12" s="21"/>
    </row>
    <row r="13" spans="1:13" x14ac:dyDescent="0.2">
      <c r="A13" s="39"/>
      <c r="B13" s="40"/>
      <c r="C13" s="15" t="s">
        <v>3</v>
      </c>
      <c r="D13" s="43" t="str">
        <f t="shared" ref="D13:H13" si="1">IF(D10="","",IF(D11&gt;D10,(D11-D10-D12)*24,(1-D10-D12+D11)*24))</f>
        <v/>
      </c>
      <c r="E13" s="43" t="str">
        <f t="shared" si="1"/>
        <v/>
      </c>
      <c r="F13" s="43" t="str">
        <f t="shared" si="1"/>
        <v/>
      </c>
      <c r="G13" s="43" t="str">
        <f t="shared" si="1"/>
        <v/>
      </c>
      <c r="H13" s="43" t="str">
        <f t="shared" si="1"/>
        <v/>
      </c>
      <c r="I13" s="43" t="str">
        <f>IF(I10="","",IF(I11&gt;I10,(I11-I10-I12)*24,(1-I10-I12+I11)*24))</f>
        <v/>
      </c>
      <c r="J13" s="43" t="str">
        <f>IF(J10="","",IF(J11&gt;J10,(J11-J10-J12)*24,(1-J10-J12+J11)*24))</f>
        <v/>
      </c>
      <c r="K13" s="18">
        <f>SUMIF(D14:J14,"",D13:J13)</f>
        <v>0</v>
      </c>
      <c r="L13" s="12">
        <f>SUM(D13:J13)</f>
        <v>0</v>
      </c>
      <c r="M13" s="24"/>
    </row>
    <row r="14" spans="1:13" x14ac:dyDescent="0.2">
      <c r="A14" s="39"/>
      <c r="B14" s="40"/>
      <c r="C14" s="32" t="s">
        <v>4</v>
      </c>
      <c r="D14" s="33"/>
      <c r="E14" s="33"/>
      <c r="F14" s="33"/>
      <c r="G14" s="33"/>
      <c r="H14" s="33"/>
      <c r="I14" s="33"/>
      <c r="J14" s="33"/>
      <c r="K14" s="17"/>
      <c r="L14" s="6"/>
      <c r="M14" s="25"/>
    </row>
    <row r="15" spans="1:13" ht="13.5" thickBot="1" x14ac:dyDescent="0.25">
      <c r="A15" s="41"/>
      <c r="B15" s="42"/>
      <c r="C15" s="35" t="s">
        <v>28</v>
      </c>
      <c r="D15" s="36"/>
      <c r="E15" s="36"/>
      <c r="F15" s="36"/>
      <c r="G15" s="36"/>
      <c r="H15" s="36"/>
      <c r="I15" s="36"/>
      <c r="J15" s="36"/>
      <c r="K15" s="34"/>
      <c r="L15" s="6"/>
      <c r="M15" s="25"/>
    </row>
    <row r="16" spans="1:13" x14ac:dyDescent="0.2">
      <c r="A16" s="37" t="s">
        <v>97</v>
      </c>
      <c r="B16" s="38" t="s">
        <v>98</v>
      </c>
      <c r="C16" s="14" t="s">
        <v>0</v>
      </c>
      <c r="D16" s="26"/>
      <c r="E16" s="26"/>
      <c r="F16" s="26"/>
      <c r="G16" s="26"/>
      <c r="H16" s="26"/>
      <c r="I16" s="26"/>
      <c r="J16" s="26"/>
      <c r="K16" s="16"/>
      <c r="L16" s="6"/>
      <c r="M16" s="21"/>
    </row>
    <row r="17" spans="1:13" x14ac:dyDescent="0.2">
      <c r="A17" s="39"/>
      <c r="B17" s="40"/>
      <c r="C17" s="15" t="s">
        <v>1</v>
      </c>
      <c r="D17" s="27"/>
      <c r="E17" s="27"/>
      <c r="F17" s="27"/>
      <c r="G17" s="27"/>
      <c r="H17" s="27"/>
      <c r="I17" s="27"/>
      <c r="J17" s="27"/>
      <c r="K17" s="17"/>
      <c r="L17" s="6"/>
      <c r="M17" s="21"/>
    </row>
    <row r="18" spans="1:13" x14ac:dyDescent="0.2">
      <c r="A18" s="39"/>
      <c r="B18" s="40"/>
      <c r="C18" s="15" t="s">
        <v>2</v>
      </c>
      <c r="D18" s="4"/>
      <c r="E18" s="4"/>
      <c r="F18" s="4"/>
      <c r="G18" s="4"/>
      <c r="H18" s="4"/>
      <c r="I18" s="4"/>
      <c r="J18" s="4"/>
      <c r="K18" s="17"/>
      <c r="L18" s="6"/>
      <c r="M18" s="21"/>
    </row>
    <row r="19" spans="1:13" x14ac:dyDescent="0.2">
      <c r="A19" s="39"/>
      <c r="B19" s="40"/>
      <c r="C19" s="15" t="s">
        <v>3</v>
      </c>
      <c r="D19" s="43" t="str">
        <f t="shared" ref="D19:H19" si="2">IF(D16="","",IF(D17&gt;D16,(D17-D16-D18)*24,(1-D16-D18+D17)*24))</f>
        <v/>
      </c>
      <c r="E19" s="43" t="str">
        <f t="shared" si="2"/>
        <v/>
      </c>
      <c r="F19" s="43" t="str">
        <f t="shared" si="2"/>
        <v/>
      </c>
      <c r="G19" s="43" t="str">
        <f t="shared" si="2"/>
        <v/>
      </c>
      <c r="H19" s="43" t="str">
        <f t="shared" si="2"/>
        <v/>
      </c>
      <c r="I19" s="43" t="str">
        <f>IF(I16="","",IF(I17&gt;I16,(I17-I16-I18)*24,(1-I16-I18+I17)*24))</f>
        <v/>
      </c>
      <c r="J19" s="43" t="str">
        <f>IF(J16="","",IF(J17&gt;J16,(J17-J16-J18)*24,(1-J16-J18+J17)*24))</f>
        <v/>
      </c>
      <c r="K19" s="18">
        <f>SUMIF(D20:J20,"",D19:J19)</f>
        <v>0</v>
      </c>
      <c r="L19" s="12">
        <f>SUM(D19:J19)</f>
        <v>0</v>
      </c>
      <c r="M19" s="24"/>
    </row>
    <row r="20" spans="1:13" x14ac:dyDescent="0.2">
      <c r="A20" s="39"/>
      <c r="B20" s="40"/>
      <c r="C20" s="32" t="s">
        <v>4</v>
      </c>
      <c r="D20" s="33"/>
      <c r="E20" s="33"/>
      <c r="F20" s="33"/>
      <c r="G20" s="33"/>
      <c r="H20" s="33"/>
      <c r="I20" s="33"/>
      <c r="J20" s="33"/>
      <c r="K20" s="17"/>
      <c r="L20" s="6"/>
      <c r="M20" s="25"/>
    </row>
    <row r="21" spans="1:13" ht="13.5" thickBot="1" x14ac:dyDescent="0.25">
      <c r="A21" s="41"/>
      <c r="B21" s="42"/>
      <c r="C21" s="35" t="s">
        <v>28</v>
      </c>
      <c r="D21" s="36"/>
      <c r="E21" s="36"/>
      <c r="F21" s="36"/>
      <c r="G21" s="36"/>
      <c r="H21" s="36"/>
      <c r="I21" s="36"/>
      <c r="J21" s="36"/>
      <c r="K21" s="34"/>
      <c r="L21" s="6"/>
      <c r="M21" s="25"/>
    </row>
    <row r="22" spans="1:13" x14ac:dyDescent="0.2">
      <c r="A22" s="37" t="s">
        <v>121</v>
      </c>
      <c r="B22" s="38" t="s">
        <v>122</v>
      </c>
      <c r="C22" s="14" t="s">
        <v>0</v>
      </c>
      <c r="D22" s="26"/>
      <c r="E22" s="26"/>
      <c r="F22" s="26"/>
      <c r="G22" s="26"/>
      <c r="H22" s="26"/>
      <c r="I22" s="26"/>
      <c r="J22" s="26"/>
      <c r="K22" s="16"/>
      <c r="L22" s="6"/>
      <c r="M22" s="21"/>
    </row>
    <row r="23" spans="1:13" x14ac:dyDescent="0.2">
      <c r="A23" s="39"/>
      <c r="B23" s="40"/>
      <c r="C23" s="15" t="s">
        <v>1</v>
      </c>
      <c r="D23" s="27"/>
      <c r="E23" s="27"/>
      <c r="F23" s="27"/>
      <c r="G23" s="27"/>
      <c r="H23" s="27"/>
      <c r="I23" s="27"/>
      <c r="J23" s="27"/>
      <c r="K23" s="17"/>
      <c r="L23" s="6"/>
      <c r="M23" s="21"/>
    </row>
    <row r="24" spans="1:13" x14ac:dyDescent="0.2">
      <c r="A24" s="39"/>
      <c r="B24" s="40"/>
      <c r="C24" s="15" t="s">
        <v>2</v>
      </c>
      <c r="D24" s="4"/>
      <c r="E24" s="4"/>
      <c r="F24" s="4"/>
      <c r="G24" s="4"/>
      <c r="H24" s="4"/>
      <c r="I24" s="4"/>
      <c r="J24" s="4"/>
      <c r="K24" s="17"/>
      <c r="L24" s="6"/>
      <c r="M24" s="21"/>
    </row>
    <row r="25" spans="1:13" x14ac:dyDescent="0.2">
      <c r="A25" s="39"/>
      <c r="B25" s="40"/>
      <c r="C25" s="15" t="s">
        <v>3</v>
      </c>
      <c r="D25" s="43" t="str">
        <f t="shared" ref="D25:H25" si="3">IF(D22="","",IF(D23&gt;D22,(D23-D22-D24)*24,(1-D22-D24+D23)*24))</f>
        <v/>
      </c>
      <c r="E25" s="43" t="str">
        <f t="shared" si="3"/>
        <v/>
      </c>
      <c r="F25" s="43" t="str">
        <f t="shared" si="3"/>
        <v/>
      </c>
      <c r="G25" s="43" t="str">
        <f t="shared" si="3"/>
        <v/>
      </c>
      <c r="H25" s="43" t="str">
        <f t="shared" si="3"/>
        <v/>
      </c>
      <c r="I25" s="43" t="str">
        <f>IF(I22="","",IF(I23&gt;I22,(I23-I22-I24)*24,(1-I22-I24+I23)*24))</f>
        <v/>
      </c>
      <c r="J25" s="43" t="str">
        <f>IF(J22="","",IF(J23&gt;J22,(J23-J22-J24)*24,(1-J22-J24+J23)*24))</f>
        <v/>
      </c>
      <c r="K25" s="18">
        <f>SUMIF(D26:J26,"",D25:J25)</f>
        <v>0</v>
      </c>
      <c r="L25" s="12">
        <f>SUM(D25:J25)</f>
        <v>0</v>
      </c>
      <c r="M25" s="24"/>
    </row>
    <row r="26" spans="1:13" x14ac:dyDescent="0.2">
      <c r="A26" s="39"/>
      <c r="B26" s="40"/>
      <c r="C26" s="32" t="s">
        <v>4</v>
      </c>
      <c r="D26" s="33"/>
      <c r="E26" s="33"/>
      <c r="F26" s="33"/>
      <c r="G26" s="33"/>
      <c r="H26" s="33"/>
      <c r="I26" s="33"/>
      <c r="J26" s="33"/>
      <c r="K26" s="17"/>
      <c r="L26" s="6"/>
      <c r="M26" s="25"/>
    </row>
    <row r="27" spans="1:13" ht="13.5" thickBot="1" x14ac:dyDescent="0.25">
      <c r="A27" s="41"/>
      <c r="B27" s="42"/>
      <c r="C27" s="35" t="s">
        <v>28</v>
      </c>
      <c r="D27" s="36"/>
      <c r="E27" s="36"/>
      <c r="F27" s="36"/>
      <c r="G27" s="36"/>
      <c r="H27" s="36"/>
      <c r="I27" s="36"/>
      <c r="J27" s="36"/>
      <c r="K27" s="34"/>
      <c r="L27" s="6"/>
      <c r="M27" s="25"/>
    </row>
    <row r="28" spans="1:13" x14ac:dyDescent="0.2">
      <c r="A28" s="37" t="s">
        <v>128</v>
      </c>
      <c r="B28" s="38" t="s">
        <v>37</v>
      </c>
      <c r="C28" s="14" t="s">
        <v>0</v>
      </c>
      <c r="D28" s="26"/>
      <c r="E28" s="26">
        <v>0.54166666666666663</v>
      </c>
      <c r="F28" s="26"/>
      <c r="G28" s="26"/>
      <c r="H28" s="26"/>
      <c r="I28" s="26"/>
      <c r="J28" s="26"/>
      <c r="K28" s="16"/>
      <c r="L28" s="6"/>
      <c r="M28" s="21"/>
    </row>
    <row r="29" spans="1:13" x14ac:dyDescent="0.2">
      <c r="A29" s="39"/>
      <c r="B29" s="40"/>
      <c r="C29" s="15" t="s">
        <v>1</v>
      </c>
      <c r="D29" s="27"/>
      <c r="E29" s="27">
        <v>0.77083333333333337</v>
      </c>
      <c r="F29" s="27"/>
      <c r="G29" s="27"/>
      <c r="H29" s="27"/>
      <c r="I29" s="27"/>
      <c r="J29" s="27"/>
      <c r="K29" s="17"/>
      <c r="L29" s="6"/>
      <c r="M29" s="21"/>
    </row>
    <row r="30" spans="1:13" x14ac:dyDescent="0.2">
      <c r="A30" s="39"/>
      <c r="B30" s="40"/>
      <c r="C30" s="15" t="s">
        <v>2</v>
      </c>
      <c r="D30" s="4"/>
      <c r="E30" s="4"/>
      <c r="F30" s="4"/>
      <c r="G30" s="4"/>
      <c r="H30" s="4"/>
      <c r="I30" s="4"/>
      <c r="J30" s="4"/>
      <c r="K30" s="17"/>
      <c r="L30" s="6"/>
      <c r="M30" s="21"/>
    </row>
    <row r="31" spans="1:13" x14ac:dyDescent="0.2">
      <c r="A31" s="39"/>
      <c r="B31" s="40"/>
      <c r="C31" s="15" t="s">
        <v>3</v>
      </c>
      <c r="D31" s="43" t="str">
        <f t="shared" ref="D31:H31" si="4">IF(D28="","",IF(D29&gt;D28,(D29-D28-D30)*24,(1-D28-D30+D29)*24))</f>
        <v/>
      </c>
      <c r="E31" s="43">
        <f t="shared" si="4"/>
        <v>5.5000000000000018</v>
      </c>
      <c r="F31" s="43" t="str">
        <f t="shared" si="4"/>
        <v/>
      </c>
      <c r="G31" s="43" t="str">
        <f t="shared" si="4"/>
        <v/>
      </c>
      <c r="H31" s="43" t="str">
        <f t="shared" si="4"/>
        <v/>
      </c>
      <c r="I31" s="43" t="str">
        <f>IF(I28="","",IF(I29&gt;I28,(I29-I28-I30)*24,(1-I28-I30+I29)*24))</f>
        <v/>
      </c>
      <c r="J31" s="43" t="str">
        <f>IF(J28="","",IF(J29&gt;J28,(J29-J28-J30)*24,(1-J28-J30+J29)*24))</f>
        <v/>
      </c>
      <c r="K31" s="18">
        <f>SUMIF(D32:J32,"",D31:J31)</f>
        <v>5.5000000000000018</v>
      </c>
      <c r="L31" s="12">
        <f>SUM(D31:J31)</f>
        <v>5.5000000000000018</v>
      </c>
      <c r="M31" s="24"/>
    </row>
    <row r="32" spans="1:13" x14ac:dyDescent="0.2">
      <c r="A32" s="39"/>
      <c r="B32" s="40"/>
      <c r="C32" s="32" t="s">
        <v>4</v>
      </c>
      <c r="D32" s="33"/>
      <c r="E32" s="33"/>
      <c r="F32" s="33"/>
      <c r="G32" s="33"/>
      <c r="H32" s="33"/>
      <c r="I32" s="33"/>
      <c r="J32" s="33"/>
      <c r="K32" s="17"/>
      <c r="L32" s="6"/>
      <c r="M32" s="25"/>
    </row>
    <row r="33" spans="1:13" ht="13.5" thickBot="1" x14ac:dyDescent="0.25">
      <c r="A33" s="41"/>
      <c r="B33" s="42"/>
      <c r="C33" s="35" t="s">
        <v>28</v>
      </c>
      <c r="D33" s="36"/>
      <c r="E33" s="36"/>
      <c r="F33" s="36"/>
      <c r="G33" s="36"/>
      <c r="H33" s="36"/>
      <c r="I33" s="36"/>
      <c r="J33" s="36"/>
      <c r="K33" s="34"/>
      <c r="L33" s="6"/>
      <c r="M33" s="25"/>
    </row>
    <row r="34" spans="1:13" x14ac:dyDescent="0.2">
      <c r="A34" s="37" t="s">
        <v>65</v>
      </c>
      <c r="B34" s="38" t="s">
        <v>66</v>
      </c>
      <c r="C34" s="14" t="s">
        <v>0</v>
      </c>
      <c r="D34" s="26"/>
      <c r="E34" s="26"/>
      <c r="F34" s="26"/>
      <c r="G34" s="26"/>
      <c r="H34" s="26"/>
      <c r="I34" s="26"/>
      <c r="J34" s="26"/>
      <c r="K34" s="16"/>
      <c r="L34" s="6"/>
      <c r="M34" s="21"/>
    </row>
    <row r="35" spans="1:13" x14ac:dyDescent="0.2">
      <c r="A35" s="39"/>
      <c r="B35" s="40"/>
      <c r="C35" s="15" t="s">
        <v>1</v>
      </c>
      <c r="D35" s="27"/>
      <c r="E35" s="27"/>
      <c r="F35" s="27"/>
      <c r="G35" s="27"/>
      <c r="H35" s="27"/>
      <c r="I35" s="27"/>
      <c r="J35" s="27"/>
      <c r="K35" s="17"/>
      <c r="L35" s="6"/>
      <c r="M35" s="21"/>
    </row>
    <row r="36" spans="1:13" x14ac:dyDescent="0.2">
      <c r="A36" s="39"/>
      <c r="B36" s="40"/>
      <c r="C36" s="15" t="s">
        <v>2</v>
      </c>
      <c r="D36" s="4"/>
      <c r="E36" s="4"/>
      <c r="F36" s="4"/>
      <c r="G36" s="4"/>
      <c r="H36" s="4"/>
      <c r="I36" s="4"/>
      <c r="J36" s="4"/>
      <c r="K36" s="17"/>
      <c r="L36" s="6"/>
      <c r="M36" s="21"/>
    </row>
    <row r="37" spans="1:13" x14ac:dyDescent="0.2">
      <c r="A37" s="39"/>
      <c r="B37" s="40"/>
      <c r="C37" s="15" t="s">
        <v>3</v>
      </c>
      <c r="D37" s="43" t="str">
        <f t="shared" ref="D37:H37" si="5">IF(D34="","",IF(D35&gt;D34,(D35-D34-D36)*24,(1-D34-D36+D35)*24))</f>
        <v/>
      </c>
      <c r="E37" s="43" t="str">
        <f t="shared" si="5"/>
        <v/>
      </c>
      <c r="F37" s="43" t="str">
        <f t="shared" si="5"/>
        <v/>
      </c>
      <c r="G37" s="43" t="str">
        <f t="shared" si="5"/>
        <v/>
      </c>
      <c r="H37" s="43" t="str">
        <f t="shared" si="5"/>
        <v/>
      </c>
      <c r="I37" s="43" t="str">
        <f>IF(I34="","",IF(I35&gt;I34,(I35-I34-I36)*24,(1-I34-I36+I35)*24))</f>
        <v/>
      </c>
      <c r="J37" s="43" t="str">
        <f>IF(J34="","",IF(J35&gt;J34,(J35-J34-J36)*24,(1-J34-J36+J35)*24))</f>
        <v/>
      </c>
      <c r="K37" s="18">
        <f>SUMIF(D38:J38,"",D37:J37)</f>
        <v>0</v>
      </c>
      <c r="L37" s="12">
        <f>SUM(D37:J37)</f>
        <v>0</v>
      </c>
      <c r="M37" s="24"/>
    </row>
    <row r="38" spans="1:13" x14ac:dyDescent="0.2">
      <c r="A38" s="39"/>
      <c r="B38" s="40"/>
      <c r="C38" s="32" t="s">
        <v>4</v>
      </c>
      <c r="D38" s="33"/>
      <c r="E38" s="33"/>
      <c r="F38" s="33"/>
      <c r="G38" s="33"/>
      <c r="H38" s="33"/>
      <c r="I38" s="33"/>
      <c r="J38" s="33"/>
      <c r="K38" s="17"/>
      <c r="L38" s="6"/>
      <c r="M38" s="25"/>
    </row>
    <row r="39" spans="1:13" ht="13.5" thickBot="1" x14ac:dyDescent="0.25">
      <c r="A39" s="41"/>
      <c r="B39" s="42"/>
      <c r="C39" s="35" t="s">
        <v>28</v>
      </c>
      <c r="D39" s="36"/>
      <c r="E39" s="36"/>
      <c r="F39" s="36"/>
      <c r="G39" s="36"/>
      <c r="H39" s="36"/>
      <c r="I39" s="36"/>
      <c r="J39" s="36"/>
      <c r="K39" s="34"/>
      <c r="L39" s="6"/>
      <c r="M39" s="25"/>
    </row>
    <row r="40" spans="1:13" x14ac:dyDescent="0.2">
      <c r="A40" s="37" t="s">
        <v>79</v>
      </c>
      <c r="B40" s="38" t="s">
        <v>55</v>
      </c>
      <c r="C40" s="14" t="s">
        <v>0</v>
      </c>
      <c r="D40" s="26">
        <v>0.77083333333333337</v>
      </c>
      <c r="E40" s="26"/>
      <c r="F40" s="26"/>
      <c r="G40" s="26"/>
      <c r="H40" s="26"/>
      <c r="I40" s="26"/>
      <c r="J40" s="26"/>
      <c r="K40" s="16"/>
      <c r="L40" s="6"/>
      <c r="M40" s="21"/>
    </row>
    <row r="41" spans="1:13" x14ac:dyDescent="0.2">
      <c r="A41" s="39"/>
      <c r="B41" s="40"/>
      <c r="C41" s="15" t="s">
        <v>1</v>
      </c>
      <c r="D41" s="27">
        <v>0.95833333333333337</v>
      </c>
      <c r="E41" s="27"/>
      <c r="F41" s="27"/>
      <c r="G41" s="27"/>
      <c r="H41" s="27"/>
      <c r="I41" s="27"/>
      <c r="J41" s="27"/>
      <c r="K41" s="17"/>
      <c r="L41" s="6"/>
      <c r="M41" s="21"/>
    </row>
    <row r="42" spans="1:13" x14ac:dyDescent="0.2">
      <c r="A42" s="39"/>
      <c r="B42" s="40"/>
      <c r="C42" s="15" t="s">
        <v>2</v>
      </c>
      <c r="D42" s="4"/>
      <c r="E42" s="4"/>
      <c r="F42" s="4"/>
      <c r="G42" s="4"/>
      <c r="H42" s="4"/>
      <c r="I42" s="4"/>
      <c r="J42" s="4"/>
      <c r="K42" s="17"/>
      <c r="L42" s="6"/>
      <c r="M42" s="21"/>
    </row>
    <row r="43" spans="1:13" x14ac:dyDescent="0.2">
      <c r="A43" s="39"/>
      <c r="B43" s="40"/>
      <c r="C43" s="15" t="s">
        <v>3</v>
      </c>
      <c r="D43" s="43">
        <f t="shared" ref="D43:H43" si="6">IF(D40="","",IF(D41&gt;D40,(D41-D40-D42)*24,(1-D40-D42+D41)*24))</f>
        <v>4.5</v>
      </c>
      <c r="E43" s="43" t="str">
        <f t="shared" si="6"/>
        <v/>
      </c>
      <c r="F43" s="43" t="str">
        <f t="shared" si="6"/>
        <v/>
      </c>
      <c r="G43" s="43" t="str">
        <f t="shared" si="6"/>
        <v/>
      </c>
      <c r="H43" s="43" t="str">
        <f t="shared" si="6"/>
        <v/>
      </c>
      <c r="I43" s="43" t="str">
        <f>IF(I40="","",IF(I41&gt;I40,(I41-I40-I42)*24,(1-I40-I42+I41)*24))</f>
        <v/>
      </c>
      <c r="J43" s="43" t="str">
        <f>IF(J40="","",IF(J41&gt;J40,(J41-J40-J42)*24,(1-J40-J42+J41)*24))</f>
        <v/>
      </c>
      <c r="K43" s="18">
        <f>SUMIF(D44:J44,"",D43:J43)</f>
        <v>4.5</v>
      </c>
      <c r="L43" s="12">
        <f>SUM(D43:J43)</f>
        <v>4.5</v>
      </c>
      <c r="M43" s="24"/>
    </row>
    <row r="44" spans="1:13" x14ac:dyDescent="0.2">
      <c r="A44" s="39"/>
      <c r="B44" s="40"/>
      <c r="C44" s="32" t="s">
        <v>4</v>
      </c>
      <c r="D44" s="33"/>
      <c r="E44" s="33"/>
      <c r="F44" s="33"/>
      <c r="G44" s="33"/>
      <c r="H44" s="33"/>
      <c r="I44" s="33"/>
      <c r="J44" s="33"/>
      <c r="K44" s="17"/>
      <c r="L44" s="6"/>
      <c r="M44" s="25"/>
    </row>
    <row r="45" spans="1:13" ht="13.5" thickBot="1" x14ac:dyDescent="0.25">
      <c r="A45" s="41"/>
      <c r="B45" s="42"/>
      <c r="C45" s="35" t="s">
        <v>28</v>
      </c>
      <c r="D45" s="36"/>
      <c r="E45" s="36"/>
      <c r="F45" s="36"/>
      <c r="G45" s="36"/>
      <c r="H45" s="36"/>
      <c r="I45" s="36"/>
      <c r="J45" s="36"/>
      <c r="K45" s="34"/>
      <c r="L45" s="6"/>
      <c r="M45" s="25"/>
    </row>
    <row r="46" spans="1:13" x14ac:dyDescent="0.2">
      <c r="A46" s="37" t="s">
        <v>80</v>
      </c>
      <c r="B46" s="38" t="s">
        <v>81</v>
      </c>
      <c r="C46" s="14" t="s">
        <v>0</v>
      </c>
      <c r="D46" s="26">
        <v>0.77083333333333337</v>
      </c>
      <c r="E46" s="26"/>
      <c r="F46" s="26"/>
      <c r="G46" s="26"/>
      <c r="H46" s="26"/>
      <c r="I46" s="26"/>
      <c r="J46" s="26"/>
      <c r="K46" s="16"/>
      <c r="L46" s="6"/>
      <c r="M46" s="21"/>
    </row>
    <row r="47" spans="1:13" x14ac:dyDescent="0.2">
      <c r="A47" s="39"/>
      <c r="B47" s="40"/>
      <c r="C47" s="15" t="s">
        <v>1</v>
      </c>
      <c r="D47" s="27">
        <v>0.95833333333333337</v>
      </c>
      <c r="E47" s="27"/>
      <c r="F47" s="27"/>
      <c r="G47" s="27"/>
      <c r="H47" s="27"/>
      <c r="I47" s="27"/>
      <c r="J47" s="27"/>
      <c r="K47" s="17"/>
      <c r="L47" s="6"/>
      <c r="M47" s="21"/>
    </row>
    <row r="48" spans="1:13" x14ac:dyDescent="0.2">
      <c r="A48" s="39"/>
      <c r="B48" s="40"/>
      <c r="C48" s="15" t="s">
        <v>2</v>
      </c>
      <c r="D48" s="4"/>
      <c r="E48" s="4"/>
      <c r="F48" s="4"/>
      <c r="G48" s="4"/>
      <c r="H48" s="4"/>
      <c r="I48" s="4"/>
      <c r="J48" s="4"/>
      <c r="K48" s="17"/>
      <c r="L48" s="6"/>
      <c r="M48" s="21"/>
    </row>
    <row r="49" spans="1:13" x14ac:dyDescent="0.2">
      <c r="A49" s="39"/>
      <c r="B49" s="40"/>
      <c r="C49" s="15" t="s">
        <v>3</v>
      </c>
      <c r="D49" s="43">
        <f t="shared" ref="D49:J49" si="7">IF(D46="","",IF(D47&gt;D46,(D47-D46-D48)*24,(1-D46-D48+D47)*24))</f>
        <v>4.5</v>
      </c>
      <c r="E49" s="43" t="str">
        <f t="shared" si="7"/>
        <v/>
      </c>
      <c r="F49" s="43" t="str">
        <f t="shared" si="7"/>
        <v/>
      </c>
      <c r="G49" s="43" t="str">
        <f t="shared" si="7"/>
        <v/>
      </c>
      <c r="H49" s="43" t="str">
        <f t="shared" si="7"/>
        <v/>
      </c>
      <c r="I49" s="43" t="str">
        <f t="shared" si="7"/>
        <v/>
      </c>
      <c r="J49" s="44" t="str">
        <f t="shared" si="7"/>
        <v/>
      </c>
      <c r="K49" s="18">
        <f>SUMIF(D50:J50,"",D49:J49)</f>
        <v>4.5</v>
      </c>
      <c r="L49" s="12">
        <f>SUM(D49:J49)</f>
        <v>4.5</v>
      </c>
      <c r="M49" s="24"/>
    </row>
    <row r="50" spans="1:13" x14ac:dyDescent="0.2">
      <c r="A50" s="39"/>
      <c r="B50" s="40"/>
      <c r="C50" s="32" t="s">
        <v>4</v>
      </c>
      <c r="D50" s="33"/>
      <c r="E50" s="33"/>
      <c r="F50" s="33"/>
      <c r="G50" s="33"/>
      <c r="H50" s="33"/>
      <c r="I50" s="33"/>
      <c r="J50" s="33"/>
      <c r="K50" s="17"/>
      <c r="L50" s="6"/>
      <c r="M50" s="25"/>
    </row>
    <row r="51" spans="1:13" ht="13.5" thickBot="1" x14ac:dyDescent="0.25">
      <c r="A51" s="41"/>
      <c r="B51" s="42"/>
      <c r="C51" s="35" t="s">
        <v>28</v>
      </c>
      <c r="D51" s="36"/>
      <c r="E51" s="36"/>
      <c r="F51" s="36"/>
      <c r="G51" s="36"/>
      <c r="H51" s="36"/>
      <c r="I51" s="36"/>
      <c r="J51" s="36"/>
      <c r="K51" s="34"/>
      <c r="L51" s="6"/>
      <c r="M51" s="25"/>
    </row>
    <row r="52" spans="1:13" x14ac:dyDescent="0.2">
      <c r="A52" s="37" t="s">
        <v>41</v>
      </c>
      <c r="B52" s="38" t="s">
        <v>42</v>
      </c>
      <c r="C52" s="14" t="s">
        <v>0</v>
      </c>
      <c r="D52" s="26"/>
      <c r="E52" s="26"/>
      <c r="F52" s="26"/>
      <c r="G52" s="26"/>
      <c r="H52" s="26"/>
      <c r="I52" s="26"/>
      <c r="J52" s="26"/>
      <c r="K52" s="16"/>
      <c r="L52" s="6"/>
      <c r="M52" s="21"/>
    </row>
    <row r="53" spans="1:13" x14ac:dyDescent="0.2">
      <c r="A53" s="39"/>
      <c r="B53" s="40"/>
      <c r="C53" s="15" t="s">
        <v>1</v>
      </c>
      <c r="D53" s="27"/>
      <c r="E53" s="27"/>
      <c r="F53" s="27"/>
      <c r="G53" s="27"/>
      <c r="H53" s="27"/>
      <c r="I53" s="27"/>
      <c r="J53" s="27"/>
      <c r="K53" s="17"/>
      <c r="L53" s="6"/>
      <c r="M53" s="21"/>
    </row>
    <row r="54" spans="1:13" x14ac:dyDescent="0.2">
      <c r="A54" s="39"/>
      <c r="B54" s="40"/>
      <c r="C54" s="15" t="s">
        <v>2</v>
      </c>
      <c r="D54" s="4"/>
      <c r="E54" s="4"/>
      <c r="F54" s="4"/>
      <c r="G54" s="4"/>
      <c r="H54" s="4"/>
      <c r="I54" s="4"/>
      <c r="J54" s="4"/>
      <c r="K54" s="17"/>
      <c r="L54" s="6"/>
      <c r="M54" s="21"/>
    </row>
    <row r="55" spans="1:13" x14ac:dyDescent="0.2">
      <c r="A55" s="39"/>
      <c r="B55" s="40"/>
      <c r="C55" s="15" t="s">
        <v>3</v>
      </c>
      <c r="D55" s="43" t="str">
        <f t="shared" ref="D55:J55" si="8">IF(D52="","",IF(D53&gt;D52,(D53-D52-D54)*24,(1-D52-D54+D53)*24))</f>
        <v/>
      </c>
      <c r="E55" s="43" t="str">
        <f t="shared" si="8"/>
        <v/>
      </c>
      <c r="F55" s="43" t="str">
        <f t="shared" si="8"/>
        <v/>
      </c>
      <c r="G55" s="43" t="str">
        <f t="shared" si="8"/>
        <v/>
      </c>
      <c r="H55" s="43" t="str">
        <f t="shared" si="8"/>
        <v/>
      </c>
      <c r="I55" s="43" t="str">
        <f t="shared" si="8"/>
        <v/>
      </c>
      <c r="J55" s="44" t="str">
        <f t="shared" si="8"/>
        <v/>
      </c>
      <c r="K55" s="18">
        <f>SUMIF(D56:J56,"",D55:J55)</f>
        <v>0</v>
      </c>
      <c r="L55" s="12">
        <f>SUM(D55:J55)</f>
        <v>0</v>
      </c>
      <c r="M55" s="24"/>
    </row>
    <row r="56" spans="1:13" x14ac:dyDescent="0.2">
      <c r="A56" s="39"/>
      <c r="B56" s="40"/>
      <c r="C56" s="32" t="s">
        <v>4</v>
      </c>
      <c r="D56" s="33"/>
      <c r="E56" s="33"/>
      <c r="F56" s="33"/>
      <c r="G56" s="33"/>
      <c r="H56" s="33"/>
      <c r="I56" s="33"/>
      <c r="J56" s="33"/>
      <c r="K56" s="17"/>
      <c r="L56" s="6"/>
      <c r="M56" s="25"/>
    </row>
    <row r="57" spans="1:13" ht="13.5" thickBot="1" x14ac:dyDescent="0.25">
      <c r="A57" s="41"/>
      <c r="B57" s="42"/>
      <c r="C57" s="35" t="s">
        <v>28</v>
      </c>
      <c r="D57" s="54"/>
      <c r="E57" s="36"/>
      <c r="F57" s="36"/>
      <c r="G57" s="54"/>
      <c r="H57" s="36"/>
      <c r="I57" s="54"/>
      <c r="J57" s="36"/>
      <c r="K57" s="34"/>
      <c r="L57" s="6"/>
      <c r="M57" s="25"/>
    </row>
    <row r="58" spans="1:13" x14ac:dyDescent="0.2">
      <c r="A58" s="37" t="s">
        <v>53</v>
      </c>
      <c r="B58" s="38" t="s">
        <v>54</v>
      </c>
      <c r="C58" s="14" t="s">
        <v>0</v>
      </c>
      <c r="D58" s="26"/>
      <c r="E58" s="26"/>
      <c r="F58" s="26"/>
      <c r="G58" s="26"/>
      <c r="H58" s="26"/>
      <c r="I58" s="26"/>
      <c r="J58" s="26"/>
      <c r="K58" s="16"/>
      <c r="L58" s="6"/>
      <c r="M58" s="21"/>
    </row>
    <row r="59" spans="1:13" x14ac:dyDescent="0.2">
      <c r="A59" s="39"/>
      <c r="B59" s="40"/>
      <c r="C59" s="15" t="s">
        <v>1</v>
      </c>
      <c r="D59" s="27"/>
      <c r="E59" s="27"/>
      <c r="F59" s="27"/>
      <c r="G59" s="27"/>
      <c r="H59" s="27"/>
      <c r="I59" s="27"/>
      <c r="J59" s="27"/>
      <c r="K59" s="17"/>
      <c r="L59" s="6"/>
      <c r="M59" s="21"/>
    </row>
    <row r="60" spans="1:13" x14ac:dyDescent="0.2">
      <c r="A60" s="39"/>
      <c r="B60" s="40"/>
      <c r="C60" s="15" t="s">
        <v>2</v>
      </c>
      <c r="D60" s="4"/>
      <c r="E60" s="4"/>
      <c r="F60" s="4"/>
      <c r="G60" s="4"/>
      <c r="H60" s="4"/>
      <c r="I60" s="4"/>
      <c r="J60" s="4"/>
      <c r="K60" s="17"/>
      <c r="L60" s="6"/>
      <c r="M60" s="21"/>
    </row>
    <row r="61" spans="1:13" x14ac:dyDescent="0.2">
      <c r="A61" s="39"/>
      <c r="B61" s="40"/>
      <c r="C61" s="15" t="s">
        <v>3</v>
      </c>
      <c r="D61" s="43" t="str">
        <f t="shared" ref="D61:J61" si="9">IF(D58="","",IF(D59&gt;D58,(D59-D58-D60)*24,(1-D58-D60+D59)*24))</f>
        <v/>
      </c>
      <c r="E61" s="55" t="str">
        <f t="shared" si="9"/>
        <v/>
      </c>
      <c r="F61" s="55" t="str">
        <f t="shared" si="9"/>
        <v/>
      </c>
      <c r="G61" s="43" t="str">
        <f t="shared" si="9"/>
        <v/>
      </c>
      <c r="H61" s="43" t="str">
        <f t="shared" si="9"/>
        <v/>
      </c>
      <c r="I61" s="55"/>
      <c r="J61" s="44" t="str">
        <f t="shared" si="9"/>
        <v/>
      </c>
      <c r="K61" s="18">
        <f>SUMIF(D62:J62,"",D61:J61)</f>
        <v>0</v>
      </c>
      <c r="L61" s="12">
        <f>SUM(D61:J61)</f>
        <v>0</v>
      </c>
      <c r="M61" s="24"/>
    </row>
    <row r="62" spans="1:13" x14ac:dyDescent="0.2">
      <c r="A62" s="39"/>
      <c r="B62" s="40"/>
      <c r="C62" s="32" t="s">
        <v>4</v>
      </c>
      <c r="D62" s="33"/>
      <c r="E62" s="33"/>
      <c r="F62" s="33"/>
      <c r="G62" s="33"/>
      <c r="H62" s="33"/>
      <c r="I62" s="33"/>
      <c r="J62" s="33"/>
      <c r="K62" s="17"/>
      <c r="L62" s="6"/>
      <c r="M62" s="25"/>
    </row>
    <row r="63" spans="1:13" ht="13.5" thickBot="1" x14ac:dyDescent="0.25">
      <c r="A63" s="41"/>
      <c r="B63" s="42"/>
      <c r="C63" s="35" t="s">
        <v>28</v>
      </c>
      <c r="D63" s="54"/>
      <c r="E63" s="36"/>
      <c r="F63" s="36"/>
      <c r="G63" s="36"/>
      <c r="H63" s="36"/>
      <c r="I63" s="36"/>
      <c r="J63" s="36"/>
      <c r="K63" s="34"/>
      <c r="L63" s="6"/>
      <c r="M63" s="25"/>
    </row>
    <row r="64" spans="1:13" x14ac:dyDescent="0.2">
      <c r="A64" s="37" t="s">
        <v>56</v>
      </c>
      <c r="B64" s="38" t="s">
        <v>57</v>
      </c>
      <c r="C64" s="14" t="s">
        <v>0</v>
      </c>
      <c r="D64" s="26"/>
      <c r="E64" s="70"/>
      <c r="F64" s="26"/>
      <c r="G64" s="26"/>
      <c r="H64" s="26"/>
      <c r="I64" s="26"/>
      <c r="J64" s="26"/>
      <c r="K64" s="16"/>
      <c r="L64" s="6"/>
      <c r="M64" s="21"/>
    </row>
    <row r="65" spans="1:13" x14ac:dyDescent="0.2">
      <c r="A65" s="39"/>
      <c r="B65" s="40"/>
      <c r="C65" s="15" t="s">
        <v>1</v>
      </c>
      <c r="D65" s="27"/>
      <c r="E65" s="27"/>
      <c r="F65" s="27"/>
      <c r="G65" s="27"/>
      <c r="H65" s="27"/>
      <c r="I65" s="27"/>
      <c r="J65" s="27"/>
      <c r="K65" s="17"/>
      <c r="L65" s="6"/>
      <c r="M65" s="21"/>
    </row>
    <row r="66" spans="1:13" x14ac:dyDescent="0.2">
      <c r="A66" s="39"/>
      <c r="B66" s="40"/>
      <c r="C66" s="15" t="s">
        <v>2</v>
      </c>
      <c r="D66" s="4"/>
      <c r="E66" s="4"/>
      <c r="F66" s="4"/>
      <c r="G66" s="4"/>
      <c r="H66" s="4"/>
      <c r="I66" s="4"/>
      <c r="J66" s="4"/>
      <c r="K66" s="17"/>
      <c r="L66" s="6"/>
      <c r="M66" s="21"/>
    </row>
    <row r="67" spans="1:13" x14ac:dyDescent="0.2">
      <c r="A67" s="39"/>
      <c r="B67" s="40"/>
      <c r="C67" s="15" t="s">
        <v>3</v>
      </c>
      <c r="D67" s="43" t="str">
        <f t="shared" ref="D67:J67" si="10">IF(D64="","",IF(D65&gt;D64,(D65-D64-D66)*24,(1-D64-D66+D65)*24))</f>
        <v/>
      </c>
      <c r="E67" s="43" t="str">
        <f t="shared" si="10"/>
        <v/>
      </c>
      <c r="F67" s="43" t="str">
        <f t="shared" si="10"/>
        <v/>
      </c>
      <c r="G67" s="43" t="str">
        <f t="shared" si="10"/>
        <v/>
      </c>
      <c r="H67" s="43" t="str">
        <f t="shared" si="10"/>
        <v/>
      </c>
      <c r="I67" s="55" t="str">
        <f t="shared" si="10"/>
        <v/>
      </c>
      <c r="J67" s="44" t="str">
        <f t="shared" si="10"/>
        <v/>
      </c>
      <c r="K67" s="18">
        <f>SUMIF(D68:J68,"",D67:J67)</f>
        <v>0</v>
      </c>
      <c r="L67" s="12">
        <f>SUM(D67:J67)</f>
        <v>0</v>
      </c>
      <c r="M67" s="24"/>
    </row>
    <row r="68" spans="1:13" x14ac:dyDescent="0.2">
      <c r="A68" s="39"/>
      <c r="B68" s="40"/>
      <c r="C68" s="32" t="s">
        <v>4</v>
      </c>
      <c r="D68" s="33"/>
      <c r="E68" s="33"/>
      <c r="F68" s="33"/>
      <c r="G68" s="33"/>
      <c r="H68" s="33"/>
      <c r="I68" s="33"/>
      <c r="J68" s="33"/>
      <c r="K68" s="17"/>
      <c r="L68" s="6"/>
      <c r="M68" s="25"/>
    </row>
    <row r="69" spans="1:13" ht="13.5" thickBot="1" x14ac:dyDescent="0.25">
      <c r="A69" s="41"/>
      <c r="B69" s="42"/>
      <c r="C69" s="35" t="s">
        <v>28</v>
      </c>
      <c r="D69" s="54"/>
      <c r="E69" s="36"/>
      <c r="F69" s="36"/>
      <c r="G69" s="36"/>
      <c r="H69" s="36"/>
      <c r="I69" s="36"/>
      <c r="J69" s="36"/>
      <c r="K69" s="34"/>
      <c r="L69" s="6"/>
      <c r="M69" s="25"/>
    </row>
    <row r="70" spans="1:13" x14ac:dyDescent="0.2">
      <c r="A70" s="37" t="s">
        <v>43</v>
      </c>
      <c r="B70" s="38" t="s">
        <v>40</v>
      </c>
      <c r="C70" s="14" t="s">
        <v>0</v>
      </c>
      <c r="D70" s="26"/>
      <c r="E70" s="26"/>
      <c r="F70" s="26"/>
      <c r="G70" s="26"/>
      <c r="H70" s="26"/>
      <c r="I70" s="26"/>
      <c r="J70" s="26"/>
      <c r="K70" s="16"/>
      <c r="L70" s="6"/>
      <c r="M70" s="21"/>
    </row>
    <row r="71" spans="1:13" x14ac:dyDescent="0.2">
      <c r="A71" s="39"/>
      <c r="B71" s="40"/>
      <c r="C71" s="15" t="s">
        <v>1</v>
      </c>
      <c r="D71" s="27"/>
      <c r="E71" s="27"/>
      <c r="F71" s="27"/>
      <c r="G71" s="27"/>
      <c r="H71" s="27"/>
      <c r="I71" s="27"/>
      <c r="J71" s="27"/>
      <c r="K71" s="17"/>
      <c r="L71" s="6"/>
      <c r="M71" s="21"/>
    </row>
    <row r="72" spans="1:13" x14ac:dyDescent="0.2">
      <c r="A72" s="39"/>
      <c r="B72" s="40"/>
      <c r="C72" s="15" t="s">
        <v>2</v>
      </c>
      <c r="D72" s="4"/>
      <c r="E72" s="4"/>
      <c r="F72" s="4"/>
      <c r="G72" s="4"/>
      <c r="H72" s="4"/>
      <c r="I72" s="4"/>
      <c r="J72" s="4"/>
      <c r="K72" s="17"/>
      <c r="L72" s="6"/>
      <c r="M72" s="21"/>
    </row>
    <row r="73" spans="1:13" x14ac:dyDescent="0.2">
      <c r="A73" s="39"/>
      <c r="B73" s="40"/>
      <c r="C73" s="15" t="s">
        <v>3</v>
      </c>
      <c r="D73" s="43" t="str">
        <f t="shared" ref="D73:J73" si="11">IF(D70="","",IF(D71&gt;D70,(D71-D70-D72)*24,(1-D70-D72+D71)*24))</f>
        <v/>
      </c>
      <c r="E73" s="43" t="str">
        <f t="shared" si="11"/>
        <v/>
      </c>
      <c r="F73" s="43" t="str">
        <f t="shared" si="11"/>
        <v/>
      </c>
      <c r="G73" s="43" t="str">
        <f t="shared" si="11"/>
        <v/>
      </c>
      <c r="H73" s="43" t="str">
        <f t="shared" si="11"/>
        <v/>
      </c>
      <c r="I73" s="55" t="str">
        <f t="shared" si="11"/>
        <v/>
      </c>
      <c r="J73" s="44" t="str">
        <f t="shared" si="11"/>
        <v/>
      </c>
      <c r="K73" s="18">
        <f>SUMIF(D74:J74,"",D73:J73)</f>
        <v>0</v>
      </c>
      <c r="L73" s="12">
        <f>SUM(D73:J73)</f>
        <v>0</v>
      </c>
      <c r="M73" s="24"/>
    </row>
    <row r="74" spans="1:13" x14ac:dyDescent="0.2">
      <c r="A74" s="39"/>
      <c r="B74" s="40"/>
      <c r="C74" s="32" t="s">
        <v>4</v>
      </c>
      <c r="D74" s="33"/>
      <c r="E74" s="33"/>
      <c r="F74" s="33"/>
      <c r="G74" s="33"/>
      <c r="H74" s="33"/>
      <c r="I74" s="33"/>
      <c r="J74" s="33"/>
      <c r="K74" s="17"/>
      <c r="L74" s="6"/>
      <c r="M74" s="25"/>
    </row>
    <row r="75" spans="1:13" ht="13.5" thickBot="1" x14ac:dyDescent="0.25">
      <c r="A75" s="41"/>
      <c r="B75" s="42"/>
      <c r="C75" s="35" t="s">
        <v>28</v>
      </c>
      <c r="D75" s="54"/>
      <c r="E75" s="36"/>
      <c r="F75" s="36"/>
      <c r="G75" s="36"/>
      <c r="H75" s="36"/>
      <c r="I75" s="36"/>
      <c r="J75" s="36"/>
      <c r="K75" s="34"/>
      <c r="L75" s="6"/>
      <c r="M75" s="25"/>
    </row>
    <row r="76" spans="1:13" x14ac:dyDescent="0.2">
      <c r="A76" s="37" t="s">
        <v>84</v>
      </c>
      <c r="B76" s="38" t="s">
        <v>85</v>
      </c>
      <c r="C76" s="14" t="s">
        <v>0</v>
      </c>
      <c r="D76" s="26"/>
      <c r="E76" s="26"/>
      <c r="F76" s="26"/>
      <c r="G76" s="26"/>
      <c r="H76" s="26"/>
      <c r="I76" s="26"/>
      <c r="J76" s="26"/>
      <c r="K76" s="16"/>
      <c r="L76" s="6"/>
      <c r="M76" s="21"/>
    </row>
    <row r="77" spans="1:13" x14ac:dyDescent="0.2">
      <c r="A77" s="39"/>
      <c r="B77" s="40"/>
      <c r="C77" s="15" t="s">
        <v>1</v>
      </c>
      <c r="D77" s="27"/>
      <c r="E77" s="27"/>
      <c r="F77" s="27"/>
      <c r="G77" s="27"/>
      <c r="H77" s="27"/>
      <c r="I77" s="27"/>
      <c r="J77" s="27"/>
      <c r="K77" s="17"/>
      <c r="L77" s="6"/>
      <c r="M77" s="21"/>
    </row>
    <row r="78" spans="1:13" x14ac:dyDescent="0.2">
      <c r="A78" s="39"/>
      <c r="B78" s="40"/>
      <c r="C78" s="15" t="s">
        <v>2</v>
      </c>
      <c r="D78" s="4"/>
      <c r="E78" s="4"/>
      <c r="F78" s="4"/>
      <c r="G78" s="4"/>
      <c r="H78" s="4"/>
      <c r="I78" s="4"/>
      <c r="J78" s="4"/>
      <c r="K78" s="17"/>
      <c r="L78" s="6"/>
      <c r="M78" s="21"/>
    </row>
    <row r="79" spans="1:13" x14ac:dyDescent="0.2">
      <c r="A79" s="39"/>
      <c r="B79" s="40"/>
      <c r="C79" s="15" t="s">
        <v>3</v>
      </c>
      <c r="D79" s="43" t="str">
        <f t="shared" ref="D79:J79" si="12">IF(D76="","",IF(D77&gt;D76,(D77-D76-D78)*24,(1-D76-D78+D77)*24))</f>
        <v/>
      </c>
      <c r="E79" s="43" t="str">
        <f t="shared" si="12"/>
        <v/>
      </c>
      <c r="F79" s="43" t="str">
        <f t="shared" si="12"/>
        <v/>
      </c>
      <c r="G79" s="43" t="str">
        <f t="shared" si="12"/>
        <v/>
      </c>
      <c r="H79" s="43" t="str">
        <f t="shared" si="12"/>
        <v/>
      </c>
      <c r="I79" s="55" t="str">
        <f t="shared" si="12"/>
        <v/>
      </c>
      <c r="J79" s="44" t="str">
        <f t="shared" si="12"/>
        <v/>
      </c>
      <c r="K79" s="18">
        <f>SUMIF(D80:J80,"",D79:J79)</f>
        <v>0</v>
      </c>
      <c r="L79" s="12">
        <f>SUM(D79:J79)</f>
        <v>0</v>
      </c>
      <c r="M79" s="24"/>
    </row>
    <row r="80" spans="1:13" x14ac:dyDescent="0.2">
      <c r="A80" s="39"/>
      <c r="B80" s="40"/>
      <c r="C80" s="32" t="s">
        <v>4</v>
      </c>
      <c r="D80" s="33"/>
      <c r="E80" s="33"/>
      <c r="F80" s="33"/>
      <c r="G80" s="33"/>
      <c r="H80" s="33"/>
      <c r="I80" s="33"/>
      <c r="J80" s="33"/>
      <c r="K80" s="17"/>
      <c r="L80" s="6"/>
      <c r="M80" s="25"/>
    </row>
    <row r="81" spans="1:13" ht="13.5" thickBot="1" x14ac:dyDescent="0.25">
      <c r="A81" s="41"/>
      <c r="B81" s="42"/>
      <c r="C81" s="35" t="s">
        <v>28</v>
      </c>
      <c r="D81" s="54"/>
      <c r="E81" s="36"/>
      <c r="F81" s="36"/>
      <c r="G81" s="36"/>
      <c r="H81" s="36"/>
      <c r="I81" s="36"/>
      <c r="J81" s="36"/>
      <c r="K81" s="34"/>
      <c r="L81" s="6"/>
      <c r="M81" s="25"/>
    </row>
    <row r="82" spans="1:13" x14ac:dyDescent="0.2">
      <c r="A82" s="37" t="s">
        <v>95</v>
      </c>
      <c r="B82" s="38" t="s">
        <v>96</v>
      </c>
      <c r="C82" s="14" t="s">
        <v>0</v>
      </c>
      <c r="D82" s="26"/>
      <c r="E82" s="26"/>
      <c r="F82" s="26"/>
      <c r="G82" s="26"/>
      <c r="H82" s="26"/>
      <c r="I82" s="26"/>
      <c r="J82" s="26"/>
      <c r="K82" s="16"/>
      <c r="L82" s="6"/>
      <c r="M82" s="21"/>
    </row>
    <row r="83" spans="1:13" x14ac:dyDescent="0.2">
      <c r="A83" s="39"/>
      <c r="B83" s="40"/>
      <c r="C83" s="15" t="s">
        <v>1</v>
      </c>
      <c r="D83" s="27"/>
      <c r="E83" s="27"/>
      <c r="F83" s="27"/>
      <c r="G83" s="27"/>
      <c r="H83" s="27"/>
      <c r="I83" s="27"/>
      <c r="J83" s="27"/>
      <c r="K83" s="17"/>
      <c r="L83" s="6"/>
      <c r="M83" s="21"/>
    </row>
    <row r="84" spans="1:13" x14ac:dyDescent="0.2">
      <c r="A84" s="39"/>
      <c r="B84" s="40"/>
      <c r="C84" s="15" t="s">
        <v>2</v>
      </c>
      <c r="D84" s="4"/>
      <c r="E84" s="4"/>
      <c r="F84" s="4"/>
      <c r="G84" s="4"/>
      <c r="H84" s="4"/>
      <c r="I84" s="4"/>
      <c r="J84" s="4"/>
      <c r="K84" s="17"/>
      <c r="L84" s="6"/>
      <c r="M84" s="21"/>
    </row>
    <row r="85" spans="1:13" x14ac:dyDescent="0.2">
      <c r="A85" s="39"/>
      <c r="B85" s="40"/>
      <c r="C85" s="15" t="s">
        <v>3</v>
      </c>
      <c r="D85" s="43" t="str">
        <f t="shared" ref="D85:J85" si="13">IF(D82="","",IF(D83&gt;D82,(D83-D82-D84)*24,(1-D82-D84+D83)*24))</f>
        <v/>
      </c>
      <c r="E85" s="43" t="str">
        <f t="shared" si="13"/>
        <v/>
      </c>
      <c r="F85" s="43" t="str">
        <f t="shared" si="13"/>
        <v/>
      </c>
      <c r="G85" s="43" t="str">
        <f t="shared" si="13"/>
        <v/>
      </c>
      <c r="H85" s="43" t="str">
        <f t="shared" si="13"/>
        <v/>
      </c>
      <c r="I85" s="55" t="str">
        <f t="shared" si="13"/>
        <v/>
      </c>
      <c r="J85" s="44" t="str">
        <f t="shared" si="13"/>
        <v/>
      </c>
      <c r="K85" s="18">
        <f>SUMIF(D86:J86,"",D85:J85)</f>
        <v>0</v>
      </c>
      <c r="L85" s="12">
        <f>SUM(D85:J85)</f>
        <v>0</v>
      </c>
      <c r="M85" s="24"/>
    </row>
    <row r="86" spans="1:13" x14ac:dyDescent="0.2">
      <c r="A86" s="39"/>
      <c r="B86" s="40"/>
      <c r="C86" s="32" t="s">
        <v>4</v>
      </c>
      <c r="D86" s="33"/>
      <c r="E86" s="33"/>
      <c r="F86" s="33"/>
      <c r="G86" s="33"/>
      <c r="H86" s="33"/>
      <c r="I86" s="33"/>
      <c r="J86" s="33"/>
      <c r="K86" s="17"/>
      <c r="L86" s="6"/>
      <c r="M86" s="25"/>
    </row>
    <row r="87" spans="1:13" ht="13.5" thickBot="1" x14ac:dyDescent="0.25">
      <c r="A87" s="41"/>
      <c r="B87" s="42"/>
      <c r="C87" s="35" t="s">
        <v>28</v>
      </c>
      <c r="D87" s="54"/>
      <c r="E87" s="36"/>
      <c r="F87" s="36"/>
      <c r="G87" s="36"/>
      <c r="H87" s="36"/>
      <c r="I87" s="36"/>
      <c r="J87" s="36"/>
      <c r="K87" s="34"/>
      <c r="L87" s="6"/>
      <c r="M87" s="25"/>
    </row>
    <row r="88" spans="1:13" x14ac:dyDescent="0.2">
      <c r="A88" s="37" t="s">
        <v>103</v>
      </c>
      <c r="B88" s="38" t="s">
        <v>104</v>
      </c>
      <c r="C88" s="14" t="s">
        <v>0</v>
      </c>
      <c r="D88" s="26"/>
      <c r="E88" s="26"/>
      <c r="F88" s="26"/>
      <c r="G88" s="26"/>
      <c r="H88" s="26"/>
      <c r="I88" s="26"/>
      <c r="J88" s="26"/>
      <c r="K88" s="16"/>
      <c r="L88" s="6"/>
      <c r="M88" s="21"/>
    </row>
    <row r="89" spans="1:13" x14ac:dyDescent="0.2">
      <c r="A89" s="39"/>
      <c r="B89" s="40"/>
      <c r="C89" s="15" t="s">
        <v>1</v>
      </c>
      <c r="D89" s="27"/>
      <c r="E89" s="27"/>
      <c r="F89" s="27"/>
      <c r="G89" s="27"/>
      <c r="H89" s="27"/>
      <c r="I89" s="27"/>
      <c r="J89" s="27"/>
      <c r="K89" s="17"/>
      <c r="L89" s="6"/>
      <c r="M89" s="21"/>
    </row>
    <row r="90" spans="1:13" x14ac:dyDescent="0.2">
      <c r="A90" s="39"/>
      <c r="B90" s="40"/>
      <c r="C90" s="15" t="s">
        <v>2</v>
      </c>
      <c r="D90" s="4"/>
      <c r="E90" s="4"/>
      <c r="F90" s="4"/>
      <c r="G90" s="4"/>
      <c r="H90" s="4"/>
      <c r="I90" s="4"/>
      <c r="J90" s="4"/>
      <c r="K90" s="17"/>
      <c r="L90" s="6"/>
      <c r="M90" s="21"/>
    </row>
    <row r="91" spans="1:13" x14ac:dyDescent="0.2">
      <c r="A91" s="39"/>
      <c r="B91" s="40"/>
      <c r="C91" s="15" t="s">
        <v>3</v>
      </c>
      <c r="D91" s="43" t="str">
        <f t="shared" ref="D91:J91" si="14">IF(D88="","",IF(D89&gt;D88,(D89-D88-D90)*24,(1-D88-D90+D89)*24))</f>
        <v/>
      </c>
      <c r="E91" s="43" t="str">
        <f t="shared" si="14"/>
        <v/>
      </c>
      <c r="F91" s="43" t="str">
        <f t="shared" si="14"/>
        <v/>
      </c>
      <c r="G91" s="43" t="str">
        <f t="shared" si="14"/>
        <v/>
      </c>
      <c r="H91" s="43" t="str">
        <f t="shared" si="14"/>
        <v/>
      </c>
      <c r="I91" s="55" t="str">
        <f t="shared" si="14"/>
        <v/>
      </c>
      <c r="J91" s="44" t="str">
        <f t="shared" si="14"/>
        <v/>
      </c>
      <c r="K91" s="18">
        <f>SUMIF(D92:J92,"",D91:J91)</f>
        <v>0</v>
      </c>
      <c r="L91" s="12">
        <f>SUM(D91:J91)</f>
        <v>0</v>
      </c>
      <c r="M91" s="24"/>
    </row>
    <row r="92" spans="1:13" x14ac:dyDescent="0.2">
      <c r="A92" s="39"/>
      <c r="B92" s="40"/>
      <c r="C92" s="32" t="s">
        <v>4</v>
      </c>
      <c r="D92" s="33"/>
      <c r="E92" s="33"/>
      <c r="F92" s="33"/>
      <c r="G92" s="33"/>
      <c r="H92" s="33"/>
      <c r="I92" s="33"/>
      <c r="J92" s="33"/>
      <c r="K92" s="17"/>
      <c r="L92" s="6"/>
      <c r="M92" s="25"/>
    </row>
    <row r="93" spans="1:13" ht="13.5" thickBot="1" x14ac:dyDescent="0.25">
      <c r="A93" s="41"/>
      <c r="B93" s="42"/>
      <c r="C93" s="35" t="s">
        <v>28</v>
      </c>
      <c r="D93" s="54"/>
      <c r="E93" s="36"/>
      <c r="F93" s="36"/>
      <c r="G93" s="36"/>
      <c r="H93" s="36"/>
      <c r="I93" s="36"/>
      <c r="J93" s="36"/>
      <c r="K93" s="34"/>
      <c r="L93" s="6"/>
      <c r="M93" s="25"/>
    </row>
    <row r="94" spans="1:13" x14ac:dyDescent="0.2">
      <c r="A94" s="37" t="s">
        <v>129</v>
      </c>
      <c r="B94" s="38" t="s">
        <v>130</v>
      </c>
      <c r="C94" s="14" t="s">
        <v>0</v>
      </c>
      <c r="D94" s="26">
        <v>0.54166666666666663</v>
      </c>
      <c r="E94" s="26"/>
      <c r="F94" s="26"/>
      <c r="G94" s="26"/>
      <c r="H94" s="26"/>
      <c r="I94" s="26"/>
      <c r="J94" s="26"/>
      <c r="K94" s="16"/>
      <c r="L94" s="6"/>
      <c r="M94" s="21"/>
    </row>
    <row r="95" spans="1:13" x14ac:dyDescent="0.2">
      <c r="A95" s="39"/>
      <c r="B95" s="40"/>
      <c r="C95" s="15" t="s">
        <v>1</v>
      </c>
      <c r="D95" s="27">
        <v>0.95833333333333337</v>
      </c>
      <c r="E95" s="27"/>
      <c r="F95" s="27"/>
      <c r="G95" s="27"/>
      <c r="H95" s="27"/>
      <c r="I95" s="27"/>
      <c r="J95" s="27"/>
      <c r="K95" s="17"/>
      <c r="L95" s="6"/>
      <c r="M95" s="21"/>
    </row>
    <row r="96" spans="1:13" x14ac:dyDescent="0.2">
      <c r="A96" s="39"/>
      <c r="B96" s="40"/>
      <c r="C96" s="15" t="s">
        <v>2</v>
      </c>
      <c r="D96" s="4">
        <v>4.1666666666666664E-2</v>
      </c>
      <c r="E96" s="4"/>
      <c r="F96" s="4"/>
      <c r="G96" s="4"/>
      <c r="H96" s="4"/>
      <c r="I96" s="4"/>
      <c r="J96" s="4"/>
      <c r="K96" s="17"/>
      <c r="L96" s="6"/>
      <c r="M96" s="21"/>
    </row>
    <row r="97" spans="1:13" x14ac:dyDescent="0.2">
      <c r="A97" s="39"/>
      <c r="B97" s="40"/>
      <c r="C97" s="15" t="s">
        <v>3</v>
      </c>
      <c r="D97" s="43">
        <f t="shared" ref="D97:J97" si="15">IF(D94="","",IF(D95&gt;D94,(D95-D94-D96)*24,(1-D94-D96+D95)*24))</f>
        <v>9.0000000000000018</v>
      </c>
      <c r="E97" s="43" t="str">
        <f t="shared" si="15"/>
        <v/>
      </c>
      <c r="F97" s="43" t="str">
        <f t="shared" si="15"/>
        <v/>
      </c>
      <c r="G97" s="43" t="str">
        <f t="shared" si="15"/>
        <v/>
      </c>
      <c r="H97" s="43" t="str">
        <f t="shared" si="15"/>
        <v/>
      </c>
      <c r="I97" s="55" t="str">
        <f t="shared" si="15"/>
        <v/>
      </c>
      <c r="J97" s="44" t="str">
        <f t="shared" si="15"/>
        <v/>
      </c>
      <c r="K97" s="18">
        <f>SUMIF(D98:J98,"",D97:J97)</f>
        <v>9.0000000000000018</v>
      </c>
      <c r="L97" s="12">
        <f>SUM(D97:J97)</f>
        <v>9.0000000000000018</v>
      </c>
      <c r="M97" s="24"/>
    </row>
    <row r="98" spans="1:13" x14ac:dyDescent="0.2">
      <c r="A98" s="39"/>
      <c r="B98" s="40"/>
      <c r="C98" s="32" t="s">
        <v>4</v>
      </c>
      <c r="D98" s="33"/>
      <c r="E98" s="33"/>
      <c r="F98" s="33"/>
      <c r="G98" s="33"/>
      <c r="H98" s="33"/>
      <c r="I98" s="33"/>
      <c r="J98" s="33"/>
      <c r="K98" s="17"/>
      <c r="L98" s="6"/>
      <c r="M98" s="25"/>
    </row>
    <row r="99" spans="1:13" ht="13.5" thickBot="1" x14ac:dyDescent="0.25">
      <c r="A99" s="41"/>
      <c r="B99" s="42"/>
      <c r="C99" s="35" t="s">
        <v>28</v>
      </c>
      <c r="D99" s="54"/>
      <c r="E99" s="36"/>
      <c r="F99" s="36"/>
      <c r="G99" s="36"/>
      <c r="H99" s="36"/>
      <c r="I99" s="36"/>
      <c r="J99" s="36"/>
      <c r="K99" s="34"/>
      <c r="L99" s="6"/>
      <c r="M99" s="25"/>
    </row>
    <row r="100" spans="1:13" x14ac:dyDescent="0.2">
      <c r="A100" s="37" t="s">
        <v>44</v>
      </c>
      <c r="B100" s="38" t="s">
        <v>37</v>
      </c>
      <c r="C100" s="14" t="s">
        <v>0</v>
      </c>
      <c r="D100" s="26">
        <v>0.54166666666666663</v>
      </c>
      <c r="E100" s="26"/>
      <c r="F100" s="26"/>
      <c r="G100" s="26"/>
      <c r="H100" s="26"/>
      <c r="I100" s="26"/>
      <c r="J100" s="26"/>
      <c r="K100" s="16"/>
      <c r="L100" s="6"/>
      <c r="M100" s="21"/>
    </row>
    <row r="101" spans="1:13" x14ac:dyDescent="0.2">
      <c r="A101" s="39"/>
      <c r="B101" s="40"/>
      <c r="C101" s="15" t="s">
        <v>1</v>
      </c>
      <c r="D101" s="27">
        <v>0.77083333333333337</v>
      </c>
      <c r="E101" s="27"/>
      <c r="F101" s="27"/>
      <c r="G101" s="27"/>
      <c r="H101" s="27"/>
      <c r="I101" s="27"/>
      <c r="J101" s="27"/>
      <c r="K101" s="17"/>
      <c r="L101" s="6"/>
      <c r="M101" s="21"/>
    </row>
    <row r="102" spans="1:13" x14ac:dyDescent="0.2">
      <c r="A102" s="39"/>
      <c r="B102" s="40"/>
      <c r="C102" s="15" t="s">
        <v>2</v>
      </c>
      <c r="D102" s="4"/>
      <c r="E102" s="4"/>
      <c r="F102" s="4"/>
      <c r="G102" s="4"/>
      <c r="H102" s="4"/>
      <c r="I102" s="4"/>
      <c r="J102" s="4"/>
      <c r="K102" s="17"/>
      <c r="L102" s="6"/>
      <c r="M102" s="21"/>
    </row>
    <row r="103" spans="1:13" x14ac:dyDescent="0.2">
      <c r="A103" s="39"/>
      <c r="B103" s="40"/>
      <c r="C103" s="15" t="s">
        <v>3</v>
      </c>
      <c r="D103" s="43">
        <f t="shared" ref="D103:J103" si="16">IF(D100="","",IF(D101&gt;D100,(D101-D100-D102)*24,(1-D100-D102+D101)*24))</f>
        <v>5.5000000000000018</v>
      </c>
      <c r="E103" s="43" t="str">
        <f t="shared" si="16"/>
        <v/>
      </c>
      <c r="F103" s="43" t="str">
        <f t="shared" si="16"/>
        <v/>
      </c>
      <c r="G103" s="43" t="str">
        <f t="shared" si="16"/>
        <v/>
      </c>
      <c r="H103" s="43" t="str">
        <f t="shared" si="16"/>
        <v/>
      </c>
      <c r="I103" s="55" t="str">
        <f t="shared" si="16"/>
        <v/>
      </c>
      <c r="J103" s="44" t="str">
        <f t="shared" si="16"/>
        <v/>
      </c>
      <c r="K103" s="18">
        <f>SUMIF(D104:J104,"",D103:J103)</f>
        <v>5.5000000000000018</v>
      </c>
      <c r="L103" s="12">
        <f>SUM(D103:J103)</f>
        <v>5.5000000000000018</v>
      </c>
      <c r="M103" s="24"/>
    </row>
    <row r="104" spans="1:13" x14ac:dyDescent="0.2">
      <c r="A104" s="39"/>
      <c r="B104" s="40"/>
      <c r="C104" s="32" t="s">
        <v>4</v>
      </c>
      <c r="D104" s="33"/>
      <c r="E104" s="33"/>
      <c r="F104" s="33"/>
      <c r="G104" s="33"/>
      <c r="H104" s="33"/>
      <c r="I104" s="33"/>
      <c r="J104" s="33"/>
      <c r="K104" s="17"/>
      <c r="L104" s="6"/>
      <c r="M104" s="25"/>
    </row>
    <row r="105" spans="1:13" ht="13.5" thickBot="1" x14ac:dyDescent="0.25">
      <c r="A105" s="41"/>
      <c r="B105" s="42"/>
      <c r="C105" s="35" t="s">
        <v>28</v>
      </c>
      <c r="D105" s="54"/>
      <c r="E105" s="36"/>
      <c r="F105" s="36"/>
      <c r="G105" s="36"/>
      <c r="H105" s="36"/>
      <c r="I105" s="36"/>
      <c r="J105" s="36"/>
      <c r="K105" s="34"/>
      <c r="L105" s="6"/>
      <c r="M105" s="25"/>
    </row>
    <row r="106" spans="1:13" x14ac:dyDescent="0.2">
      <c r="A106" s="37" t="s">
        <v>46</v>
      </c>
      <c r="B106" s="38" t="s">
        <v>47</v>
      </c>
      <c r="C106" s="14" t="s">
        <v>0</v>
      </c>
      <c r="D106" s="26"/>
      <c r="E106" s="26"/>
      <c r="F106" s="26"/>
      <c r="G106" s="26"/>
      <c r="H106" s="26"/>
      <c r="I106" s="26"/>
      <c r="J106" s="26"/>
      <c r="K106" s="16"/>
      <c r="L106" s="6"/>
      <c r="M106" s="21"/>
    </row>
    <row r="107" spans="1:13" x14ac:dyDescent="0.2">
      <c r="A107" s="39"/>
      <c r="B107" s="40"/>
      <c r="C107" s="15" t="s">
        <v>1</v>
      </c>
      <c r="D107" s="27"/>
      <c r="E107" s="27"/>
      <c r="F107" s="27"/>
      <c r="G107" s="27"/>
      <c r="H107" s="27"/>
      <c r="I107" s="27"/>
      <c r="J107" s="27"/>
      <c r="K107" s="17"/>
      <c r="L107" s="6"/>
      <c r="M107" s="21"/>
    </row>
    <row r="108" spans="1:13" x14ac:dyDescent="0.2">
      <c r="A108" s="39"/>
      <c r="B108" s="40"/>
      <c r="C108" s="15" t="s">
        <v>2</v>
      </c>
      <c r="D108" s="4"/>
      <c r="E108" s="4"/>
      <c r="F108" s="4"/>
      <c r="G108" s="58"/>
      <c r="H108" s="4"/>
      <c r="I108" s="4"/>
      <c r="J108" s="4"/>
      <c r="K108" s="17"/>
      <c r="L108" s="6"/>
      <c r="M108" s="21"/>
    </row>
    <row r="109" spans="1:13" x14ac:dyDescent="0.2">
      <c r="A109" s="39"/>
      <c r="B109" s="40"/>
      <c r="C109" s="15" t="s">
        <v>3</v>
      </c>
      <c r="D109" s="43" t="str">
        <f t="shared" ref="D109:J109" si="17">IF(D106="","",IF(D107&gt;D106,(D107-D106-D108)*24,(1-D106-D108+D107)*24))</f>
        <v/>
      </c>
      <c r="E109" s="43" t="str">
        <f t="shared" si="17"/>
        <v/>
      </c>
      <c r="F109" s="43" t="str">
        <f t="shared" si="17"/>
        <v/>
      </c>
      <c r="G109" s="55" t="str">
        <f t="shared" si="17"/>
        <v/>
      </c>
      <c r="H109" s="55" t="str">
        <f t="shared" si="17"/>
        <v/>
      </c>
      <c r="I109" s="43" t="str">
        <f t="shared" si="17"/>
        <v/>
      </c>
      <c r="J109" s="44" t="str">
        <f t="shared" si="17"/>
        <v/>
      </c>
      <c r="K109" s="18">
        <f>SUMIF(D110:J110,"",D109:J109)</f>
        <v>0</v>
      </c>
      <c r="L109" s="12">
        <f>SUM(D109:J109)</f>
        <v>0</v>
      </c>
      <c r="M109" s="24"/>
    </row>
    <row r="110" spans="1:13" x14ac:dyDescent="0.2">
      <c r="A110" s="39"/>
      <c r="B110" s="40"/>
      <c r="C110" s="32" t="s">
        <v>4</v>
      </c>
      <c r="D110" s="33"/>
      <c r="E110" s="33"/>
      <c r="F110" s="33"/>
      <c r="G110" s="33"/>
      <c r="H110" s="33"/>
      <c r="I110" s="33"/>
      <c r="J110" s="33"/>
      <c r="K110" s="17"/>
      <c r="L110" s="6"/>
      <c r="M110" s="25"/>
    </row>
    <row r="111" spans="1:13" ht="13.5" thickBot="1" x14ac:dyDescent="0.25">
      <c r="A111" s="41"/>
      <c r="B111" s="42"/>
      <c r="C111" s="35" t="s">
        <v>28</v>
      </c>
      <c r="D111" s="36"/>
      <c r="E111" s="36"/>
      <c r="F111" s="36"/>
      <c r="G111" s="36"/>
      <c r="H111" s="36"/>
      <c r="I111" s="36"/>
      <c r="J111" s="36"/>
      <c r="K111" s="34"/>
      <c r="L111" s="6"/>
      <c r="M111" s="25"/>
    </row>
    <row r="112" spans="1:13" x14ac:dyDescent="0.2">
      <c r="A112" s="37" t="s">
        <v>67</v>
      </c>
      <c r="B112" s="38" t="s">
        <v>45</v>
      </c>
      <c r="C112" s="14" t="s">
        <v>0</v>
      </c>
      <c r="D112" s="26"/>
      <c r="E112" s="26"/>
      <c r="F112" s="26"/>
      <c r="G112" s="26"/>
      <c r="H112" s="26"/>
      <c r="I112" s="26"/>
      <c r="J112" s="26"/>
      <c r="K112" s="16"/>
      <c r="L112" s="6"/>
      <c r="M112" s="21"/>
    </row>
    <row r="113" spans="1:13" x14ac:dyDescent="0.2">
      <c r="A113" s="39"/>
      <c r="B113" s="40"/>
      <c r="C113" s="15" t="s">
        <v>1</v>
      </c>
      <c r="D113" s="27"/>
      <c r="E113" s="27"/>
      <c r="F113" s="27"/>
      <c r="G113" s="27"/>
      <c r="H113" s="27"/>
      <c r="I113" s="27"/>
      <c r="J113" s="27"/>
      <c r="K113" s="17"/>
      <c r="L113" s="6"/>
      <c r="M113" s="21"/>
    </row>
    <row r="114" spans="1:13" x14ac:dyDescent="0.2">
      <c r="A114" s="39"/>
      <c r="B114" s="40"/>
      <c r="C114" s="15" t="s">
        <v>2</v>
      </c>
      <c r="D114" s="4"/>
      <c r="E114" s="4"/>
      <c r="F114" s="4"/>
      <c r="G114" s="58"/>
      <c r="H114" s="4"/>
      <c r="I114" s="4"/>
      <c r="J114" s="4"/>
      <c r="K114" s="17"/>
      <c r="L114" s="6"/>
      <c r="M114" s="21"/>
    </row>
    <row r="115" spans="1:13" x14ac:dyDescent="0.2">
      <c r="A115" s="39"/>
      <c r="B115" s="40"/>
      <c r="C115" s="15" t="s">
        <v>3</v>
      </c>
      <c r="D115" s="43" t="str">
        <f t="shared" ref="D115:J115" si="18">IF(D112="","",IF(D113&gt;D112,(D113-D112-D114)*24,(1-D112-D114+D113)*24))</f>
        <v/>
      </c>
      <c r="E115" s="43" t="str">
        <f t="shared" si="18"/>
        <v/>
      </c>
      <c r="F115" s="43" t="str">
        <f t="shared" si="18"/>
        <v/>
      </c>
      <c r="G115" s="55" t="str">
        <f t="shared" si="18"/>
        <v/>
      </c>
      <c r="H115" s="55" t="str">
        <f t="shared" si="18"/>
        <v/>
      </c>
      <c r="I115" s="43" t="str">
        <f t="shared" si="18"/>
        <v/>
      </c>
      <c r="J115" s="44" t="str">
        <f t="shared" si="18"/>
        <v/>
      </c>
      <c r="K115" s="18">
        <f>SUMIF(D116:J116,"",D115:J115)</f>
        <v>0</v>
      </c>
      <c r="L115" s="12">
        <f>SUM(D115:J115)</f>
        <v>0</v>
      </c>
      <c r="M115" s="24"/>
    </row>
    <row r="116" spans="1:13" x14ac:dyDescent="0.2">
      <c r="A116" s="39"/>
      <c r="B116" s="40"/>
      <c r="C116" s="32" t="s">
        <v>4</v>
      </c>
      <c r="D116" s="33"/>
      <c r="E116" s="33"/>
      <c r="F116" s="33"/>
      <c r="G116" s="33"/>
      <c r="H116" s="33"/>
      <c r="I116" s="33"/>
      <c r="J116" s="33"/>
      <c r="K116" s="17"/>
      <c r="L116" s="6"/>
      <c r="M116" s="25"/>
    </row>
    <row r="117" spans="1:13" ht="13.5" thickBot="1" x14ac:dyDescent="0.25">
      <c r="A117" s="41"/>
      <c r="B117" s="42"/>
      <c r="C117" s="35" t="s">
        <v>28</v>
      </c>
      <c r="D117" s="36"/>
      <c r="E117" s="36"/>
      <c r="F117" s="36"/>
      <c r="G117" s="36"/>
      <c r="H117" s="36"/>
      <c r="I117" s="36"/>
      <c r="J117" s="36"/>
      <c r="K117" s="34"/>
      <c r="L117" s="6"/>
      <c r="M117" s="25"/>
    </row>
    <row r="118" spans="1:13" x14ac:dyDescent="0.2">
      <c r="A118" s="37" t="s">
        <v>107</v>
      </c>
      <c r="B118" s="38" t="s">
        <v>113</v>
      </c>
      <c r="C118" s="14" t="s">
        <v>0</v>
      </c>
      <c r="D118" s="26"/>
      <c r="E118" s="26"/>
      <c r="F118" s="26"/>
      <c r="G118" s="26"/>
      <c r="H118" s="26"/>
      <c r="I118" s="26"/>
      <c r="J118" s="26"/>
      <c r="K118" s="16"/>
      <c r="L118" s="6"/>
      <c r="M118" s="21"/>
    </row>
    <row r="119" spans="1:13" x14ac:dyDescent="0.2">
      <c r="A119" s="39"/>
      <c r="B119" s="40"/>
      <c r="C119" s="15" t="s">
        <v>1</v>
      </c>
      <c r="D119" s="27"/>
      <c r="E119" s="27"/>
      <c r="F119" s="27"/>
      <c r="G119" s="27"/>
      <c r="H119" s="27"/>
      <c r="I119" s="27"/>
      <c r="J119" s="27"/>
      <c r="K119" s="17"/>
      <c r="L119" s="6"/>
      <c r="M119" s="21"/>
    </row>
    <row r="120" spans="1:13" x14ac:dyDescent="0.2">
      <c r="A120" s="39"/>
      <c r="B120" s="40"/>
      <c r="C120" s="15" t="s">
        <v>2</v>
      </c>
      <c r="D120" s="4"/>
      <c r="E120" s="4"/>
      <c r="F120" s="4"/>
      <c r="G120" s="58"/>
      <c r="H120" s="4"/>
      <c r="I120" s="4"/>
      <c r="J120" s="4"/>
      <c r="K120" s="17"/>
      <c r="L120" s="6"/>
      <c r="M120" s="21"/>
    </row>
    <row r="121" spans="1:13" x14ac:dyDescent="0.2">
      <c r="A121" s="39"/>
      <c r="B121" s="40"/>
      <c r="C121" s="15" t="s">
        <v>3</v>
      </c>
      <c r="D121" s="43" t="str">
        <f t="shared" ref="D121:J121" si="19">IF(D118="","",IF(D119&gt;D118,(D119-D118-D120)*24,(1-D118-D120+D119)*24))</f>
        <v/>
      </c>
      <c r="E121" s="43" t="str">
        <f t="shared" si="19"/>
        <v/>
      </c>
      <c r="F121" s="43" t="str">
        <f t="shared" si="19"/>
        <v/>
      </c>
      <c r="G121" s="55" t="str">
        <f t="shared" si="19"/>
        <v/>
      </c>
      <c r="H121" s="55" t="str">
        <f t="shared" si="19"/>
        <v/>
      </c>
      <c r="I121" s="43" t="str">
        <f t="shared" si="19"/>
        <v/>
      </c>
      <c r="J121" s="44" t="str">
        <f t="shared" si="19"/>
        <v/>
      </c>
      <c r="K121" s="18">
        <f>SUMIF(D122:J122,"",D121:J121)</f>
        <v>0</v>
      </c>
      <c r="L121" s="12">
        <f>SUM(D121:J121)</f>
        <v>0</v>
      </c>
      <c r="M121" s="24"/>
    </row>
    <row r="122" spans="1:13" x14ac:dyDescent="0.2">
      <c r="A122" s="39"/>
      <c r="B122" s="40"/>
      <c r="C122" s="32" t="s">
        <v>4</v>
      </c>
      <c r="D122" s="33"/>
      <c r="E122" s="33"/>
      <c r="F122" s="33"/>
      <c r="G122" s="33"/>
      <c r="H122" s="33"/>
      <c r="I122" s="33"/>
      <c r="J122" s="33"/>
      <c r="K122" s="17"/>
      <c r="L122" s="6"/>
      <c r="M122" s="25"/>
    </row>
    <row r="123" spans="1:13" ht="13.5" thickBot="1" x14ac:dyDescent="0.25">
      <c r="A123" s="41"/>
      <c r="B123" s="42"/>
      <c r="C123" s="35" t="s">
        <v>28</v>
      </c>
      <c r="D123" s="36"/>
      <c r="E123" s="36"/>
      <c r="F123" s="36"/>
      <c r="G123" s="36"/>
      <c r="H123" s="36"/>
      <c r="I123" s="36"/>
      <c r="J123" s="36"/>
      <c r="K123" s="34"/>
      <c r="L123" s="6"/>
      <c r="M123" s="25"/>
    </row>
    <row r="124" spans="1:13" x14ac:dyDescent="0.2">
      <c r="A124" s="37" t="s">
        <v>114</v>
      </c>
      <c r="B124" s="38" t="s">
        <v>115</v>
      </c>
      <c r="C124" s="14" t="s">
        <v>0</v>
      </c>
      <c r="D124" s="26"/>
      <c r="E124" s="26"/>
      <c r="F124" s="26"/>
      <c r="G124" s="26"/>
      <c r="H124" s="26"/>
      <c r="I124" s="26"/>
      <c r="J124" s="26"/>
      <c r="K124" s="16"/>
      <c r="L124" s="6"/>
      <c r="M124" s="21"/>
    </row>
    <row r="125" spans="1:13" x14ac:dyDescent="0.2">
      <c r="A125" s="39"/>
      <c r="B125" s="40"/>
      <c r="C125" s="15" t="s">
        <v>1</v>
      </c>
      <c r="D125" s="27"/>
      <c r="E125" s="27"/>
      <c r="F125" s="27"/>
      <c r="G125" s="27"/>
      <c r="H125" s="27"/>
      <c r="I125" s="27"/>
      <c r="J125" s="27"/>
      <c r="K125" s="17"/>
      <c r="L125" s="6"/>
      <c r="M125" s="21"/>
    </row>
    <row r="126" spans="1:13" x14ac:dyDescent="0.2">
      <c r="A126" s="39"/>
      <c r="B126" s="40"/>
      <c r="C126" s="15" t="s">
        <v>2</v>
      </c>
      <c r="D126" s="4"/>
      <c r="E126" s="4"/>
      <c r="F126" s="4"/>
      <c r="G126" s="58"/>
      <c r="H126" s="4"/>
      <c r="I126" s="4"/>
      <c r="J126" s="4"/>
      <c r="K126" s="17"/>
      <c r="L126" s="6"/>
      <c r="M126" s="21"/>
    </row>
    <row r="127" spans="1:13" x14ac:dyDescent="0.2">
      <c r="A127" s="39"/>
      <c r="B127" s="40"/>
      <c r="C127" s="15" t="s">
        <v>3</v>
      </c>
      <c r="D127" s="43" t="str">
        <f t="shared" ref="D127:J127" si="20">IF(D124="","",IF(D125&gt;D124,(D125-D124-D126)*24,(1-D124-D126+D125)*24))</f>
        <v/>
      </c>
      <c r="E127" s="43" t="str">
        <f t="shared" si="20"/>
        <v/>
      </c>
      <c r="F127" s="43" t="str">
        <f t="shared" si="20"/>
        <v/>
      </c>
      <c r="G127" s="55" t="str">
        <f t="shared" si="20"/>
        <v/>
      </c>
      <c r="H127" s="55" t="str">
        <f t="shared" si="20"/>
        <v/>
      </c>
      <c r="I127" s="43" t="str">
        <f t="shared" si="20"/>
        <v/>
      </c>
      <c r="J127" s="44" t="str">
        <f t="shared" si="20"/>
        <v/>
      </c>
      <c r="K127" s="18">
        <f>SUMIF(D128:J128,"",D127:J127)</f>
        <v>0</v>
      </c>
      <c r="L127" s="12">
        <f>SUM(D127:J127)</f>
        <v>0</v>
      </c>
      <c r="M127" s="24"/>
    </row>
    <row r="128" spans="1:13" x14ac:dyDescent="0.2">
      <c r="A128" s="39"/>
      <c r="B128" s="40"/>
      <c r="C128" s="32" t="s">
        <v>4</v>
      </c>
      <c r="D128" s="33"/>
      <c r="E128" s="33"/>
      <c r="F128" s="33"/>
      <c r="G128" s="33"/>
      <c r="H128" s="33"/>
      <c r="I128" s="33"/>
      <c r="J128" s="33"/>
      <c r="K128" s="17"/>
      <c r="L128" s="6"/>
      <c r="M128" s="25"/>
    </row>
    <row r="129" spans="1:13" ht="12.75" customHeight="1" thickBot="1" x14ac:dyDescent="0.25">
      <c r="A129" s="41"/>
      <c r="B129" s="42"/>
      <c r="C129" s="35" t="s">
        <v>28</v>
      </c>
      <c r="D129" s="36"/>
      <c r="E129" s="36"/>
      <c r="F129" s="36"/>
      <c r="G129" s="36"/>
      <c r="H129" s="36"/>
      <c r="I129" s="36"/>
      <c r="J129" s="36"/>
      <c r="K129" s="34"/>
      <c r="L129" s="6"/>
      <c r="M129" s="25"/>
    </row>
    <row r="130" spans="1:13" x14ac:dyDescent="0.2">
      <c r="A130" s="37" t="s">
        <v>76</v>
      </c>
      <c r="B130" s="38" t="s">
        <v>77</v>
      </c>
      <c r="C130" s="14" t="s">
        <v>0</v>
      </c>
      <c r="D130" s="26"/>
      <c r="E130" s="26"/>
      <c r="F130" s="26"/>
      <c r="G130" s="26"/>
      <c r="H130" s="26"/>
      <c r="I130" s="26"/>
      <c r="J130" s="26"/>
      <c r="K130" s="16"/>
      <c r="L130" s="6"/>
      <c r="M130" s="21"/>
    </row>
    <row r="131" spans="1:13" x14ac:dyDescent="0.2">
      <c r="A131" s="39"/>
      <c r="B131" s="40"/>
      <c r="C131" s="15" t="s">
        <v>1</v>
      </c>
      <c r="D131" s="27"/>
      <c r="E131" s="27"/>
      <c r="F131" s="27"/>
      <c r="G131" s="27"/>
      <c r="H131" s="27"/>
      <c r="I131" s="27"/>
      <c r="J131" s="27"/>
      <c r="K131" s="17"/>
      <c r="L131" s="6"/>
      <c r="M131" s="21"/>
    </row>
    <row r="132" spans="1:13" x14ac:dyDescent="0.2">
      <c r="A132" s="39"/>
      <c r="B132" s="40"/>
      <c r="C132" s="15" t="s">
        <v>2</v>
      </c>
      <c r="D132" s="4"/>
      <c r="E132" s="4"/>
      <c r="F132" s="4"/>
      <c r="G132" s="58"/>
      <c r="H132" s="4"/>
      <c r="I132" s="4"/>
      <c r="J132" s="4"/>
      <c r="K132" s="17"/>
      <c r="L132" s="6"/>
      <c r="M132" s="21"/>
    </row>
    <row r="133" spans="1:13" x14ac:dyDescent="0.2">
      <c r="A133" s="39"/>
      <c r="B133" s="40"/>
      <c r="C133" s="15" t="s">
        <v>3</v>
      </c>
      <c r="D133" s="43" t="str">
        <f t="shared" ref="D133:J133" si="21">IF(D130="","",IF(D131&gt;D130,(D131-D130-D132)*24,(1-D130-D132+D131)*24))</f>
        <v/>
      </c>
      <c r="E133" s="43" t="str">
        <f t="shared" si="21"/>
        <v/>
      </c>
      <c r="F133" s="43" t="str">
        <f t="shared" si="21"/>
        <v/>
      </c>
      <c r="G133" s="55" t="str">
        <f t="shared" si="21"/>
        <v/>
      </c>
      <c r="H133" s="55" t="str">
        <f t="shared" si="21"/>
        <v/>
      </c>
      <c r="I133" s="43" t="str">
        <f t="shared" si="21"/>
        <v/>
      </c>
      <c r="J133" s="44" t="str">
        <f t="shared" si="21"/>
        <v/>
      </c>
      <c r="K133" s="18">
        <f>SUMIF(D134:J134,"",D133:J133)</f>
        <v>0</v>
      </c>
      <c r="L133" s="12">
        <f>SUM(D133:J133)</f>
        <v>0</v>
      </c>
      <c r="M133" s="24"/>
    </row>
    <row r="134" spans="1:13" x14ac:dyDescent="0.2">
      <c r="A134" s="39"/>
      <c r="B134" s="40"/>
      <c r="C134" s="32" t="s">
        <v>4</v>
      </c>
      <c r="D134" s="33"/>
      <c r="E134" s="33"/>
      <c r="F134" s="33"/>
      <c r="G134" s="33"/>
      <c r="H134" s="33"/>
      <c r="I134" s="33"/>
      <c r="J134" s="33"/>
      <c r="K134" s="17"/>
      <c r="L134" s="6"/>
      <c r="M134" s="25"/>
    </row>
    <row r="135" spans="1:13" ht="13.5" thickBot="1" x14ac:dyDescent="0.25">
      <c r="A135" s="41"/>
      <c r="B135" s="42"/>
      <c r="C135" s="35" t="s">
        <v>28</v>
      </c>
      <c r="D135" s="36"/>
      <c r="E135" s="36"/>
      <c r="F135" s="36"/>
      <c r="G135" s="36"/>
      <c r="H135" s="36"/>
      <c r="I135" s="36"/>
      <c r="J135" s="36"/>
      <c r="K135" s="34"/>
      <c r="L135" s="6"/>
      <c r="M135" s="25"/>
    </row>
    <row r="136" spans="1:13" x14ac:dyDescent="0.2">
      <c r="A136" s="37" t="s">
        <v>120</v>
      </c>
      <c r="B136" s="38" t="s">
        <v>64</v>
      </c>
      <c r="C136" s="14" t="s">
        <v>0</v>
      </c>
      <c r="D136" s="26"/>
      <c r="E136" s="26">
        <v>0.54166666666666663</v>
      </c>
      <c r="F136" s="26"/>
      <c r="G136" s="26"/>
      <c r="H136" s="26"/>
      <c r="I136" s="26"/>
      <c r="J136" s="26"/>
      <c r="K136" s="16"/>
      <c r="L136" s="6"/>
      <c r="M136" s="21"/>
    </row>
    <row r="137" spans="1:13" x14ac:dyDescent="0.2">
      <c r="A137" s="39"/>
      <c r="B137" s="40"/>
      <c r="C137" s="15" t="s">
        <v>1</v>
      </c>
      <c r="D137" s="27"/>
      <c r="E137" s="27">
        <v>0.77083333333333337</v>
      </c>
      <c r="F137" s="27"/>
      <c r="G137" s="27"/>
      <c r="H137" s="27"/>
      <c r="I137" s="27"/>
      <c r="J137" s="27"/>
      <c r="K137" s="17"/>
      <c r="L137" s="6"/>
      <c r="M137" s="21"/>
    </row>
    <row r="138" spans="1:13" x14ac:dyDescent="0.2">
      <c r="A138" s="39"/>
      <c r="B138" s="40"/>
      <c r="C138" s="15" t="s">
        <v>2</v>
      </c>
      <c r="D138" s="4"/>
      <c r="E138" s="4"/>
      <c r="F138" s="4"/>
      <c r="G138" s="58"/>
      <c r="H138" s="4"/>
      <c r="I138" s="4"/>
      <c r="J138" s="4"/>
      <c r="K138" s="17"/>
      <c r="L138" s="6"/>
      <c r="M138" s="21"/>
    </row>
    <row r="139" spans="1:13" x14ac:dyDescent="0.2">
      <c r="A139" s="39"/>
      <c r="B139" s="40"/>
      <c r="C139" s="15" t="s">
        <v>3</v>
      </c>
      <c r="D139" s="43" t="str">
        <f t="shared" ref="D139:J139" si="22">IF(D136="","",IF(D137&gt;D136,(D137-D136-D138)*24,(1-D136-D138+D137)*24))</f>
        <v/>
      </c>
      <c r="E139" s="43">
        <f t="shared" si="22"/>
        <v>5.5000000000000018</v>
      </c>
      <c r="F139" s="43" t="str">
        <f t="shared" si="22"/>
        <v/>
      </c>
      <c r="G139" s="55" t="str">
        <f t="shared" si="22"/>
        <v/>
      </c>
      <c r="H139" s="55" t="str">
        <f t="shared" si="22"/>
        <v/>
      </c>
      <c r="I139" s="43" t="str">
        <f t="shared" si="22"/>
        <v/>
      </c>
      <c r="J139" s="44" t="str">
        <f t="shared" si="22"/>
        <v/>
      </c>
      <c r="K139" s="18">
        <f>SUMIF(D140:J140,"",D139:J139)</f>
        <v>5.5000000000000018</v>
      </c>
      <c r="L139" s="12">
        <f>SUM(D139:J139)</f>
        <v>5.5000000000000018</v>
      </c>
      <c r="M139" s="24"/>
    </row>
    <row r="140" spans="1:13" x14ac:dyDescent="0.2">
      <c r="A140" s="39"/>
      <c r="B140" s="40"/>
      <c r="C140" s="32" t="s">
        <v>4</v>
      </c>
      <c r="D140" s="33"/>
      <c r="E140" s="33"/>
      <c r="F140" s="33"/>
      <c r="G140" s="33"/>
      <c r="H140" s="33"/>
      <c r="I140" s="33"/>
      <c r="J140" s="33"/>
      <c r="K140" s="17"/>
      <c r="L140" s="6"/>
      <c r="M140" s="25"/>
    </row>
    <row r="141" spans="1:13" ht="13.5" thickBot="1" x14ac:dyDescent="0.25">
      <c r="A141" s="41"/>
      <c r="B141" s="42"/>
      <c r="C141" s="35" t="s">
        <v>28</v>
      </c>
      <c r="D141" s="36"/>
      <c r="E141" s="36"/>
      <c r="F141" s="36"/>
      <c r="G141" s="36"/>
      <c r="H141" s="36"/>
      <c r="I141" s="36"/>
      <c r="J141" s="36"/>
      <c r="K141" s="34"/>
      <c r="L141" s="6"/>
      <c r="M141" s="25"/>
    </row>
    <row r="142" spans="1:13" x14ac:dyDescent="0.2">
      <c r="A142" s="37" t="s">
        <v>58</v>
      </c>
      <c r="B142" s="38" t="s">
        <v>59</v>
      </c>
      <c r="C142" s="14" t="s">
        <v>0</v>
      </c>
      <c r="D142" s="26"/>
      <c r="E142" s="26">
        <v>0.54166666666666663</v>
      </c>
      <c r="F142" s="26"/>
      <c r="G142" s="26"/>
      <c r="H142" s="26"/>
      <c r="I142" s="26"/>
      <c r="J142" s="26"/>
      <c r="K142" s="16"/>
      <c r="L142" s="6"/>
      <c r="M142" s="21"/>
    </row>
    <row r="143" spans="1:13" x14ac:dyDescent="0.2">
      <c r="A143" s="39"/>
      <c r="B143" s="40"/>
      <c r="C143" s="15" t="s">
        <v>1</v>
      </c>
      <c r="D143" s="27"/>
      <c r="E143" s="27">
        <v>0.89583333333333337</v>
      </c>
      <c r="F143" s="27"/>
      <c r="G143" s="27"/>
      <c r="H143" s="27"/>
      <c r="I143" s="27"/>
      <c r="J143" s="27"/>
      <c r="K143" s="17"/>
      <c r="L143" s="6"/>
      <c r="M143" s="21"/>
    </row>
    <row r="144" spans="1:13" x14ac:dyDescent="0.2">
      <c r="A144" s="39"/>
      <c r="B144" s="40"/>
      <c r="C144" s="15" t="s">
        <v>2</v>
      </c>
      <c r="D144" s="4"/>
      <c r="E144" s="4">
        <v>4.1666666666666664E-2</v>
      </c>
      <c r="F144" s="4"/>
      <c r="G144" s="4"/>
      <c r="H144" s="4"/>
      <c r="I144" s="4"/>
      <c r="J144" s="4"/>
      <c r="K144" s="17"/>
      <c r="L144" s="6"/>
      <c r="M144" s="21"/>
    </row>
    <row r="145" spans="1:13" x14ac:dyDescent="0.2">
      <c r="A145" s="39"/>
      <c r="B145" s="40"/>
      <c r="C145" s="15" t="s">
        <v>3</v>
      </c>
      <c r="D145" s="43" t="str">
        <f t="shared" ref="D145:J145" si="23">IF(D142="","",IF(D143&gt;D142,(D143-D142-D144)*24,(1-D142-D144+D143)*24))</f>
        <v/>
      </c>
      <c r="E145" s="43">
        <f t="shared" si="23"/>
        <v>7.5000000000000018</v>
      </c>
      <c r="F145" s="43" t="str">
        <f t="shared" si="23"/>
        <v/>
      </c>
      <c r="G145" s="43" t="str">
        <f t="shared" si="23"/>
        <v/>
      </c>
      <c r="H145" s="43" t="str">
        <f t="shared" si="23"/>
        <v/>
      </c>
      <c r="I145" s="55" t="str">
        <f t="shared" si="23"/>
        <v/>
      </c>
      <c r="J145" s="44" t="str">
        <f t="shared" si="23"/>
        <v/>
      </c>
      <c r="K145" s="18">
        <f>SUMIF(D146:J146,"",D145:J145)</f>
        <v>7.5000000000000018</v>
      </c>
      <c r="L145" s="12">
        <f>SUM(D145:J145)</f>
        <v>7.5000000000000018</v>
      </c>
      <c r="M145" s="24"/>
    </row>
    <row r="146" spans="1:13" x14ac:dyDescent="0.2">
      <c r="A146" s="39"/>
      <c r="B146" s="40"/>
      <c r="C146" s="32" t="s">
        <v>4</v>
      </c>
      <c r="D146" s="33"/>
      <c r="E146" s="33"/>
      <c r="F146" s="33"/>
      <c r="G146" s="33"/>
      <c r="H146" s="33"/>
      <c r="I146" s="33"/>
      <c r="J146" s="33"/>
      <c r="K146" s="17"/>
      <c r="L146" s="6"/>
      <c r="M146" s="25"/>
    </row>
    <row r="147" spans="1:13" ht="13.5" thickBot="1" x14ac:dyDescent="0.25">
      <c r="A147" s="41"/>
      <c r="B147" s="42"/>
      <c r="C147" s="35" t="s">
        <v>28</v>
      </c>
      <c r="D147" s="54"/>
      <c r="E147" s="36"/>
      <c r="F147" s="36"/>
      <c r="G147" s="36"/>
      <c r="H147" s="36"/>
      <c r="I147" s="36"/>
      <c r="J147" s="36"/>
      <c r="K147" s="34"/>
      <c r="L147" s="6"/>
      <c r="M147" s="25"/>
    </row>
    <row r="148" spans="1:13" x14ac:dyDescent="0.2">
      <c r="A148" s="37" t="s">
        <v>48</v>
      </c>
      <c r="B148" s="38" t="s">
        <v>38</v>
      </c>
      <c r="C148" s="14" t="s">
        <v>0</v>
      </c>
      <c r="D148" s="26"/>
      <c r="E148" s="26">
        <v>0.77083333333333337</v>
      </c>
      <c r="F148" s="26"/>
      <c r="G148" s="26"/>
      <c r="H148" s="26"/>
      <c r="I148" s="26"/>
      <c r="J148" s="26"/>
      <c r="K148" s="16"/>
      <c r="L148" s="6"/>
      <c r="M148" s="21"/>
    </row>
    <row r="149" spans="1:13" x14ac:dyDescent="0.2">
      <c r="A149" s="39"/>
      <c r="B149" s="40"/>
      <c r="C149" s="15" t="s">
        <v>1</v>
      </c>
      <c r="D149" s="27"/>
      <c r="E149" s="27">
        <v>0.89583333333333337</v>
      </c>
      <c r="F149" s="27"/>
      <c r="G149" s="27"/>
      <c r="H149" s="27"/>
      <c r="I149" s="27"/>
      <c r="J149" s="27"/>
      <c r="K149" s="17"/>
      <c r="L149" s="6"/>
      <c r="M149" s="21"/>
    </row>
    <row r="150" spans="1:13" x14ac:dyDescent="0.2">
      <c r="A150" s="39"/>
      <c r="B150" s="40"/>
      <c r="C150" s="15" t="s">
        <v>2</v>
      </c>
      <c r="D150" s="4"/>
      <c r="E150" s="4"/>
      <c r="F150" s="4"/>
      <c r="G150" s="4"/>
      <c r="H150" s="4"/>
      <c r="I150" s="4"/>
      <c r="J150" s="4"/>
      <c r="K150" s="17"/>
      <c r="L150" s="6"/>
      <c r="M150" s="21"/>
    </row>
    <row r="151" spans="1:13" x14ac:dyDescent="0.2">
      <c r="A151" s="39"/>
      <c r="B151" s="40"/>
      <c r="C151" s="15" t="s">
        <v>3</v>
      </c>
      <c r="D151" s="43" t="str">
        <f t="shared" ref="D151:J151" si="24">IF(D148="","",IF(D149&gt;D148,(D149-D148-D150)*24,(1-D148-D150+D149)*24))</f>
        <v/>
      </c>
      <c r="E151" s="43">
        <f t="shared" si="24"/>
        <v>3</v>
      </c>
      <c r="F151" s="43" t="str">
        <f t="shared" si="24"/>
        <v/>
      </c>
      <c r="G151" s="43" t="str">
        <f t="shared" si="24"/>
        <v/>
      </c>
      <c r="H151" s="43" t="str">
        <f t="shared" si="24"/>
        <v/>
      </c>
      <c r="I151" s="43" t="str">
        <f t="shared" si="24"/>
        <v/>
      </c>
      <c r="J151" s="44" t="str">
        <f t="shared" si="24"/>
        <v/>
      </c>
      <c r="K151" s="18">
        <f>SUMIF(D152:J152,"",D151:J151)</f>
        <v>3</v>
      </c>
      <c r="L151" s="12">
        <f>SUM(D151:J151)</f>
        <v>3</v>
      </c>
      <c r="M151" s="24"/>
    </row>
    <row r="152" spans="1:13" x14ac:dyDescent="0.2">
      <c r="A152" s="39"/>
      <c r="B152" s="40"/>
      <c r="C152" s="32" t="s">
        <v>4</v>
      </c>
      <c r="D152" s="33"/>
      <c r="E152" s="33"/>
      <c r="F152" s="33"/>
      <c r="G152" s="33"/>
      <c r="H152" s="33"/>
      <c r="I152" s="33"/>
      <c r="J152" s="33"/>
      <c r="K152" s="17"/>
      <c r="L152" s="6"/>
      <c r="M152" s="25"/>
    </row>
    <row r="153" spans="1:13" ht="13.5" thickBot="1" x14ac:dyDescent="0.25">
      <c r="A153" s="41"/>
      <c r="B153" s="42"/>
      <c r="C153" s="35" t="s">
        <v>28</v>
      </c>
      <c r="D153" s="36"/>
      <c r="E153" s="36"/>
      <c r="F153" s="36"/>
      <c r="G153" s="36"/>
      <c r="H153" s="36"/>
      <c r="I153" s="36"/>
      <c r="J153" s="36"/>
      <c r="K153" s="34"/>
      <c r="L153" s="6"/>
      <c r="M153" s="25"/>
    </row>
    <row r="154" spans="1:13" x14ac:dyDescent="0.2">
      <c r="A154" s="37" t="s">
        <v>68</v>
      </c>
      <c r="B154" s="38" t="s">
        <v>69</v>
      </c>
      <c r="C154" s="14" t="s">
        <v>0</v>
      </c>
      <c r="D154" s="26">
        <v>0.54166666666666663</v>
      </c>
      <c r="E154" s="26">
        <v>0.54166666666666663</v>
      </c>
      <c r="F154" s="26"/>
      <c r="G154" s="26"/>
      <c r="H154" s="26"/>
      <c r="I154" s="26"/>
      <c r="J154" s="26"/>
      <c r="K154" s="16"/>
      <c r="L154" s="6"/>
      <c r="M154" s="21"/>
    </row>
    <row r="155" spans="1:13" x14ac:dyDescent="0.2">
      <c r="A155" s="39"/>
      <c r="B155" s="40"/>
      <c r="C155" s="15" t="s">
        <v>1</v>
      </c>
      <c r="D155" s="27">
        <v>0.95833333333333337</v>
      </c>
      <c r="E155" s="27">
        <v>0.89583333333333337</v>
      </c>
      <c r="F155" s="27"/>
      <c r="G155" s="27"/>
      <c r="H155" s="27"/>
      <c r="I155" s="27"/>
      <c r="J155" s="27"/>
      <c r="K155" s="17"/>
      <c r="L155" s="6"/>
      <c r="M155" s="21"/>
    </row>
    <row r="156" spans="1:13" x14ac:dyDescent="0.2">
      <c r="A156" s="39"/>
      <c r="B156" s="40"/>
      <c r="C156" s="15" t="s">
        <v>2</v>
      </c>
      <c r="D156" s="4">
        <v>4.1666666666666664E-2</v>
      </c>
      <c r="E156" s="4">
        <v>4.1666666666666664E-2</v>
      </c>
      <c r="F156" s="4"/>
      <c r="G156" s="4"/>
      <c r="H156" s="4"/>
      <c r="I156" s="4"/>
      <c r="J156" s="4"/>
      <c r="K156" s="17"/>
      <c r="L156" s="6"/>
      <c r="M156" s="21"/>
    </row>
    <row r="157" spans="1:13" x14ac:dyDescent="0.2">
      <c r="A157" s="39"/>
      <c r="B157" s="40"/>
      <c r="C157" s="15" t="s">
        <v>3</v>
      </c>
      <c r="D157" s="43">
        <f t="shared" ref="D157:J157" si="25">IF(D154="","",IF(D155&gt;D154,(D155-D154-D156)*24,(1-D154-D156+D155)*24))</f>
        <v>9.0000000000000018</v>
      </c>
      <c r="E157" s="43">
        <f t="shared" si="25"/>
        <v>7.5000000000000018</v>
      </c>
      <c r="F157" s="43" t="str">
        <f t="shared" si="25"/>
        <v/>
      </c>
      <c r="G157" s="43" t="str">
        <f t="shared" si="25"/>
        <v/>
      </c>
      <c r="H157" s="43" t="str">
        <f t="shared" si="25"/>
        <v/>
      </c>
      <c r="I157" s="43" t="str">
        <f t="shared" si="25"/>
        <v/>
      </c>
      <c r="J157" s="44" t="str">
        <f t="shared" si="25"/>
        <v/>
      </c>
      <c r="K157" s="18">
        <f>SUMIF(D158:J158,"",D157:J157)</f>
        <v>16.500000000000004</v>
      </c>
      <c r="L157" s="12">
        <f>SUM(D157:J157)</f>
        <v>16.500000000000004</v>
      </c>
      <c r="M157" s="24"/>
    </row>
    <row r="158" spans="1:13" x14ac:dyDescent="0.2">
      <c r="A158" s="39"/>
      <c r="B158" s="40"/>
      <c r="C158" s="32" t="s">
        <v>4</v>
      </c>
      <c r="D158" s="33"/>
      <c r="E158" s="33"/>
      <c r="F158" s="33"/>
      <c r="G158" s="33"/>
      <c r="H158" s="33"/>
      <c r="I158" s="33"/>
      <c r="J158" s="33"/>
      <c r="K158" s="17"/>
      <c r="L158" s="6"/>
      <c r="M158" s="25"/>
    </row>
    <row r="159" spans="1:13" ht="13.5" thickBot="1" x14ac:dyDescent="0.25">
      <c r="A159" s="41"/>
      <c r="B159" s="42"/>
      <c r="C159" s="35" t="s">
        <v>28</v>
      </c>
      <c r="D159" s="36"/>
      <c r="E159" s="36"/>
      <c r="F159" s="36"/>
      <c r="G159" s="36"/>
      <c r="H159" s="36"/>
      <c r="I159" s="36"/>
      <c r="J159" s="36"/>
      <c r="K159" s="34"/>
      <c r="L159" s="6"/>
      <c r="M159" s="25"/>
    </row>
    <row r="160" spans="1:13" x14ac:dyDescent="0.2">
      <c r="A160" s="37" t="s">
        <v>93</v>
      </c>
      <c r="B160" s="38" t="s">
        <v>94</v>
      </c>
      <c r="C160" s="14" t="s">
        <v>0</v>
      </c>
      <c r="D160" s="26">
        <v>0.75</v>
      </c>
      <c r="E160" s="26">
        <v>0.54166666666666663</v>
      </c>
      <c r="F160" s="26"/>
      <c r="G160" s="26"/>
      <c r="H160" s="26"/>
      <c r="I160" s="26"/>
      <c r="J160" s="26"/>
      <c r="K160" s="16"/>
      <c r="L160" s="6"/>
      <c r="M160" s="21"/>
    </row>
    <row r="161" spans="1:13" x14ac:dyDescent="0.2">
      <c r="A161" s="39"/>
      <c r="B161" s="40"/>
      <c r="C161" s="15" t="s">
        <v>1</v>
      </c>
      <c r="D161" s="27">
        <v>0.95833333333333337</v>
      </c>
      <c r="E161" s="27">
        <v>0.89583333333333337</v>
      </c>
      <c r="F161" s="27"/>
      <c r="G161" s="27"/>
      <c r="H161" s="27"/>
      <c r="I161" s="27"/>
      <c r="J161" s="27"/>
      <c r="K161" s="17"/>
      <c r="L161" s="6"/>
      <c r="M161" s="21"/>
    </row>
    <row r="162" spans="1:13" x14ac:dyDescent="0.2">
      <c r="A162" s="39"/>
      <c r="B162" s="40"/>
      <c r="C162" s="15" t="s">
        <v>2</v>
      </c>
      <c r="D162" s="4"/>
      <c r="E162" s="4">
        <v>4.1666666666666664E-2</v>
      </c>
      <c r="F162" s="4"/>
      <c r="G162" s="4"/>
      <c r="H162" s="4"/>
      <c r="I162" s="4"/>
      <c r="J162" s="4"/>
      <c r="K162" s="17"/>
      <c r="L162" s="6"/>
      <c r="M162" s="21"/>
    </row>
    <row r="163" spans="1:13" x14ac:dyDescent="0.2">
      <c r="A163" s="39"/>
      <c r="B163" s="40"/>
      <c r="C163" s="15" t="s">
        <v>3</v>
      </c>
      <c r="D163" s="43">
        <f t="shared" ref="D163:J163" si="26">IF(D160="","",IF(D161&gt;D160,(D161-D160-D162)*24,(1-D160-D162+D161)*24))</f>
        <v>5.0000000000000009</v>
      </c>
      <c r="E163" s="43">
        <f t="shared" si="26"/>
        <v>7.5000000000000018</v>
      </c>
      <c r="F163" s="43" t="str">
        <f t="shared" si="26"/>
        <v/>
      </c>
      <c r="G163" s="43" t="str">
        <f t="shared" si="26"/>
        <v/>
      </c>
      <c r="H163" s="43" t="str">
        <f t="shared" si="26"/>
        <v/>
      </c>
      <c r="I163" s="43" t="str">
        <f t="shared" si="26"/>
        <v/>
      </c>
      <c r="J163" s="44" t="str">
        <f t="shared" si="26"/>
        <v/>
      </c>
      <c r="K163" s="18">
        <f>SUMIF(D164:J164,"",D163:J163)</f>
        <v>12.500000000000004</v>
      </c>
      <c r="L163" s="12">
        <f>SUM(D163:J163)</f>
        <v>12.500000000000004</v>
      </c>
      <c r="M163" s="24"/>
    </row>
    <row r="164" spans="1:13" x14ac:dyDescent="0.2">
      <c r="A164" s="39"/>
      <c r="B164" s="40"/>
      <c r="C164" s="32" t="s">
        <v>4</v>
      </c>
      <c r="D164" s="33"/>
      <c r="E164" s="33"/>
      <c r="F164" s="33"/>
      <c r="G164" s="33"/>
      <c r="H164" s="33"/>
      <c r="I164" s="33"/>
      <c r="J164" s="33"/>
      <c r="K164" s="17"/>
      <c r="L164" s="6"/>
      <c r="M164" s="25"/>
    </row>
    <row r="165" spans="1:13" ht="13.5" thickBot="1" x14ac:dyDescent="0.25">
      <c r="A165" s="41"/>
      <c r="B165" s="42"/>
      <c r="C165" s="35" t="s">
        <v>28</v>
      </c>
      <c r="D165" s="36"/>
      <c r="E165" s="36"/>
      <c r="F165" s="36"/>
      <c r="G165" s="36"/>
      <c r="H165" s="36"/>
      <c r="I165" s="36"/>
      <c r="J165" s="36"/>
      <c r="K165" s="34"/>
      <c r="L165" s="6"/>
      <c r="M165" s="25"/>
    </row>
    <row r="166" spans="1:13" x14ac:dyDescent="0.2">
      <c r="A166" s="37" t="s">
        <v>100</v>
      </c>
      <c r="B166" s="38" t="s">
        <v>101</v>
      </c>
      <c r="C166" s="14" t="s">
        <v>0</v>
      </c>
      <c r="D166" s="26"/>
      <c r="E166" s="26"/>
      <c r="F166" s="26"/>
      <c r="G166" s="26"/>
      <c r="H166" s="26"/>
      <c r="I166" s="26"/>
      <c r="J166" s="26"/>
      <c r="K166" s="16"/>
      <c r="L166" s="6"/>
      <c r="M166" s="21"/>
    </row>
    <row r="167" spans="1:13" x14ac:dyDescent="0.2">
      <c r="A167" s="39"/>
      <c r="B167" s="40"/>
      <c r="C167" s="15" t="s">
        <v>1</v>
      </c>
      <c r="D167" s="27"/>
      <c r="E167" s="27"/>
      <c r="F167" s="27"/>
      <c r="G167" s="27"/>
      <c r="H167" s="27"/>
      <c r="I167" s="27"/>
      <c r="J167" s="27"/>
      <c r="K167" s="17"/>
      <c r="L167" s="6"/>
      <c r="M167" s="21"/>
    </row>
    <row r="168" spans="1:13" x14ac:dyDescent="0.2">
      <c r="A168" s="39"/>
      <c r="B168" s="40"/>
      <c r="C168" s="15" t="s">
        <v>2</v>
      </c>
      <c r="D168" s="4"/>
      <c r="E168" s="4"/>
      <c r="F168" s="4"/>
      <c r="G168" s="4"/>
      <c r="H168" s="4"/>
      <c r="I168" s="4"/>
      <c r="J168" s="4"/>
      <c r="K168" s="17"/>
      <c r="L168" s="6"/>
      <c r="M168" s="21"/>
    </row>
    <row r="169" spans="1:13" x14ac:dyDescent="0.2">
      <c r="A169" s="39"/>
      <c r="B169" s="40"/>
      <c r="C169" s="15" t="s">
        <v>3</v>
      </c>
      <c r="D169" s="43" t="str">
        <f t="shared" ref="D169:J169" si="27">IF(D166="","",IF(D167&gt;D166,(D167-D166-D168)*24,(1-D166-D168+D167)*24))</f>
        <v/>
      </c>
      <c r="E169" s="43" t="str">
        <f t="shared" si="27"/>
        <v/>
      </c>
      <c r="F169" s="43" t="str">
        <f t="shared" si="27"/>
        <v/>
      </c>
      <c r="G169" s="43" t="str">
        <f t="shared" si="27"/>
        <v/>
      </c>
      <c r="H169" s="43" t="str">
        <f t="shared" si="27"/>
        <v/>
      </c>
      <c r="I169" s="43" t="str">
        <f t="shared" si="27"/>
        <v/>
      </c>
      <c r="J169" s="44" t="str">
        <f t="shared" si="27"/>
        <v/>
      </c>
      <c r="K169" s="18">
        <f>SUMIF(D170:J170,"",D169:J169)</f>
        <v>0</v>
      </c>
      <c r="L169" s="12">
        <f>SUM(D169:J169)</f>
        <v>0</v>
      </c>
      <c r="M169" s="24"/>
    </row>
    <row r="170" spans="1:13" x14ac:dyDescent="0.2">
      <c r="A170" s="39"/>
      <c r="B170" s="40"/>
      <c r="C170" s="32" t="s">
        <v>4</v>
      </c>
      <c r="D170" s="33"/>
      <c r="E170" s="33"/>
      <c r="F170" s="33"/>
      <c r="G170" s="33"/>
      <c r="H170" s="33"/>
      <c r="I170" s="33"/>
      <c r="J170" s="33"/>
      <c r="K170" s="17"/>
      <c r="L170" s="6"/>
      <c r="M170" s="25"/>
    </row>
    <row r="171" spans="1:13" ht="13.5" thickBot="1" x14ac:dyDescent="0.25">
      <c r="A171" s="41"/>
      <c r="B171" s="42"/>
      <c r="C171" s="35" t="s">
        <v>28</v>
      </c>
      <c r="D171" s="36"/>
      <c r="E171" s="36"/>
      <c r="F171" s="36"/>
      <c r="G171" s="36"/>
      <c r="H171" s="36"/>
      <c r="I171" s="36"/>
      <c r="J171" s="36"/>
      <c r="K171" s="34"/>
      <c r="L171" s="6"/>
      <c r="M171" s="25"/>
    </row>
    <row r="172" spans="1:13" x14ac:dyDescent="0.2">
      <c r="A172" s="37" t="s">
        <v>108</v>
      </c>
      <c r="B172" s="38" t="s">
        <v>109</v>
      </c>
      <c r="C172" s="14" t="s">
        <v>0</v>
      </c>
      <c r="D172" s="26"/>
      <c r="E172" s="26"/>
      <c r="F172" s="26"/>
      <c r="G172" s="26"/>
      <c r="H172" s="26"/>
      <c r="I172" s="26"/>
      <c r="J172" s="26"/>
      <c r="K172" s="16"/>
      <c r="L172" s="6"/>
      <c r="M172" s="21"/>
    </row>
    <row r="173" spans="1:13" x14ac:dyDescent="0.2">
      <c r="A173" s="39"/>
      <c r="B173" s="40"/>
      <c r="C173" s="15" t="s">
        <v>1</v>
      </c>
      <c r="D173" s="27"/>
      <c r="E173" s="27"/>
      <c r="F173" s="27"/>
      <c r="G173" s="27"/>
      <c r="H173" s="27"/>
      <c r="I173" s="27"/>
      <c r="J173" s="27"/>
      <c r="K173" s="17"/>
      <c r="L173" s="6"/>
      <c r="M173" s="21"/>
    </row>
    <row r="174" spans="1:13" x14ac:dyDescent="0.2">
      <c r="A174" s="39"/>
      <c r="B174" s="40"/>
      <c r="C174" s="15" t="s">
        <v>2</v>
      </c>
      <c r="D174" s="4"/>
      <c r="E174" s="4"/>
      <c r="F174" s="4"/>
      <c r="G174" s="4"/>
      <c r="H174" s="4"/>
      <c r="I174" s="4"/>
      <c r="J174" s="4"/>
      <c r="K174" s="17"/>
      <c r="L174" s="6"/>
      <c r="M174" s="21"/>
    </row>
    <row r="175" spans="1:13" x14ac:dyDescent="0.2">
      <c r="A175" s="39"/>
      <c r="B175" s="40"/>
      <c r="C175" s="15" t="s">
        <v>3</v>
      </c>
      <c r="D175" s="43" t="str">
        <f t="shared" ref="D175:J175" si="28">IF(D172="","",IF(D173&gt;D172,(D173-D172-D174)*24,(1-D172-D174+D173)*24))</f>
        <v/>
      </c>
      <c r="E175" s="43" t="str">
        <f t="shared" si="28"/>
        <v/>
      </c>
      <c r="F175" s="43" t="str">
        <f t="shared" si="28"/>
        <v/>
      </c>
      <c r="G175" s="43" t="str">
        <f t="shared" si="28"/>
        <v/>
      </c>
      <c r="H175" s="43" t="str">
        <f t="shared" si="28"/>
        <v/>
      </c>
      <c r="I175" s="43" t="str">
        <f t="shared" si="28"/>
        <v/>
      </c>
      <c r="J175" s="44" t="str">
        <f t="shared" si="28"/>
        <v/>
      </c>
      <c r="K175" s="18">
        <f>SUMIF(D176:J176,"",D175:J175)</f>
        <v>0</v>
      </c>
      <c r="L175" s="12">
        <f>SUM(D175:J175)</f>
        <v>0</v>
      </c>
      <c r="M175" s="24"/>
    </row>
    <row r="176" spans="1:13" x14ac:dyDescent="0.2">
      <c r="A176" s="39"/>
      <c r="B176" s="40"/>
      <c r="C176" s="32" t="s">
        <v>4</v>
      </c>
      <c r="D176" s="33"/>
      <c r="E176" s="33"/>
      <c r="F176" s="33"/>
      <c r="G176" s="33"/>
      <c r="H176" s="33"/>
      <c r="I176" s="33"/>
      <c r="J176" s="33"/>
      <c r="K176" s="17"/>
      <c r="L176" s="6"/>
      <c r="M176" s="25"/>
    </row>
    <row r="177" spans="1:13" ht="13.5" thickBot="1" x14ac:dyDescent="0.25">
      <c r="A177" s="41"/>
      <c r="B177" s="42"/>
      <c r="C177" s="35" t="s">
        <v>28</v>
      </c>
      <c r="D177" s="36"/>
      <c r="E177" s="36"/>
      <c r="F177" s="36"/>
      <c r="G177" s="36"/>
      <c r="H177" s="36"/>
      <c r="I177" s="36"/>
      <c r="J177" s="36"/>
      <c r="K177" s="34"/>
      <c r="L177" s="6"/>
      <c r="M177" s="25"/>
    </row>
    <row r="178" spans="1:13" x14ac:dyDescent="0.2">
      <c r="A178" s="37" t="s">
        <v>100</v>
      </c>
      <c r="B178" s="38" t="s">
        <v>125</v>
      </c>
      <c r="C178" s="14" t="s">
        <v>0</v>
      </c>
      <c r="D178" s="26"/>
      <c r="E178" s="26"/>
      <c r="F178" s="26"/>
      <c r="G178" s="26"/>
      <c r="H178" s="26"/>
      <c r="I178" s="26"/>
      <c r="J178" s="26"/>
      <c r="K178" s="16"/>
      <c r="L178" s="6"/>
      <c r="M178" s="21"/>
    </row>
    <row r="179" spans="1:13" x14ac:dyDescent="0.2">
      <c r="A179" s="39"/>
      <c r="B179" s="40"/>
      <c r="C179" s="15" t="s">
        <v>1</v>
      </c>
      <c r="D179" s="27"/>
      <c r="E179" s="27"/>
      <c r="F179" s="27"/>
      <c r="G179" s="27"/>
      <c r="H179" s="27"/>
      <c r="I179" s="27"/>
      <c r="J179" s="27"/>
      <c r="K179" s="17"/>
      <c r="L179" s="6"/>
      <c r="M179" s="21"/>
    </row>
    <row r="180" spans="1:13" x14ac:dyDescent="0.2">
      <c r="A180" s="39"/>
      <c r="B180" s="40"/>
      <c r="C180" s="15" t="s">
        <v>2</v>
      </c>
      <c r="D180" s="4"/>
      <c r="E180" s="4"/>
      <c r="F180" s="4"/>
      <c r="G180" s="4"/>
      <c r="H180" s="4"/>
      <c r="I180" s="4"/>
      <c r="J180" s="4"/>
      <c r="K180" s="17"/>
      <c r="L180" s="6"/>
      <c r="M180" s="21"/>
    </row>
    <row r="181" spans="1:13" x14ac:dyDescent="0.2">
      <c r="A181" s="39"/>
      <c r="B181" s="40"/>
      <c r="C181" s="15" t="s">
        <v>3</v>
      </c>
      <c r="D181" s="43" t="str">
        <f t="shared" ref="D181:J181" si="29">IF(D178="","",IF(D179&gt;D178,(D179-D178-D180)*24,(1-D178-D180+D179)*24))</f>
        <v/>
      </c>
      <c r="E181" s="43" t="str">
        <f t="shared" si="29"/>
        <v/>
      </c>
      <c r="F181" s="43" t="str">
        <f t="shared" si="29"/>
        <v/>
      </c>
      <c r="G181" s="43" t="str">
        <f t="shared" si="29"/>
        <v/>
      </c>
      <c r="H181" s="43" t="str">
        <f t="shared" si="29"/>
        <v/>
      </c>
      <c r="I181" s="43" t="str">
        <f t="shared" si="29"/>
        <v/>
      </c>
      <c r="J181" s="44" t="str">
        <f t="shared" si="29"/>
        <v/>
      </c>
      <c r="K181" s="18">
        <f>SUMIF(D182:J182,"",D181:J181)</f>
        <v>0</v>
      </c>
      <c r="L181" s="12">
        <f>SUM(D181:J181)</f>
        <v>0</v>
      </c>
      <c r="M181" s="24"/>
    </row>
    <row r="182" spans="1:13" x14ac:dyDescent="0.2">
      <c r="A182" s="39"/>
      <c r="B182" s="40"/>
      <c r="C182" s="32" t="s">
        <v>4</v>
      </c>
      <c r="D182" s="33"/>
      <c r="E182" s="33"/>
      <c r="F182" s="33"/>
      <c r="G182" s="33"/>
      <c r="H182" s="33"/>
      <c r="I182" s="33"/>
      <c r="J182" s="33"/>
      <c r="K182" s="17"/>
      <c r="L182" s="6"/>
      <c r="M182" s="25"/>
    </row>
    <row r="183" spans="1:13" ht="13.5" thickBot="1" x14ac:dyDescent="0.25">
      <c r="A183" s="41"/>
      <c r="B183" s="42"/>
      <c r="C183" s="35" t="s">
        <v>28</v>
      </c>
      <c r="D183" s="36"/>
      <c r="E183" s="36"/>
      <c r="F183" s="36"/>
      <c r="G183" s="36"/>
      <c r="H183" s="36"/>
      <c r="I183" s="36"/>
      <c r="J183" s="36"/>
      <c r="K183" s="34"/>
      <c r="L183" s="6"/>
      <c r="M183" s="25"/>
    </row>
    <row r="184" spans="1:13" x14ac:dyDescent="0.2">
      <c r="A184" s="37" t="s">
        <v>126</v>
      </c>
      <c r="B184" s="38" t="s">
        <v>127</v>
      </c>
      <c r="C184" s="14" t="s">
        <v>0</v>
      </c>
      <c r="D184" s="26"/>
      <c r="E184" s="26"/>
      <c r="F184" s="26"/>
      <c r="G184" s="26"/>
      <c r="H184" s="26"/>
      <c r="I184" s="26"/>
      <c r="J184" s="26"/>
      <c r="K184" s="16"/>
      <c r="L184" s="6"/>
      <c r="M184" s="21"/>
    </row>
    <row r="185" spans="1:13" x14ac:dyDescent="0.2">
      <c r="A185" s="39"/>
      <c r="B185" s="40"/>
      <c r="C185" s="15" t="s">
        <v>1</v>
      </c>
      <c r="D185" s="27"/>
      <c r="E185" s="27"/>
      <c r="F185" s="27"/>
      <c r="G185" s="27"/>
      <c r="H185" s="27"/>
      <c r="I185" s="27"/>
      <c r="J185" s="27"/>
      <c r="K185" s="17"/>
      <c r="L185" s="6"/>
      <c r="M185" s="21"/>
    </row>
    <row r="186" spans="1:13" x14ac:dyDescent="0.2">
      <c r="A186" s="39"/>
      <c r="B186" s="40"/>
      <c r="C186" s="15" t="s">
        <v>2</v>
      </c>
      <c r="D186" s="4"/>
      <c r="E186" s="4"/>
      <c r="F186" s="4"/>
      <c r="G186" s="4"/>
      <c r="H186" s="4"/>
      <c r="I186" s="4"/>
      <c r="J186" s="4"/>
      <c r="K186" s="17"/>
      <c r="L186" s="6"/>
      <c r="M186" s="21"/>
    </row>
    <row r="187" spans="1:13" x14ac:dyDescent="0.2">
      <c r="A187" s="39"/>
      <c r="B187" s="40"/>
      <c r="C187" s="15" t="s">
        <v>3</v>
      </c>
      <c r="D187" s="43" t="str">
        <f t="shared" ref="D187:J187" si="30">IF(D184="","",IF(D185&gt;D184,(D185-D184-D186)*24,(1-D184-D186+D185)*24))</f>
        <v/>
      </c>
      <c r="E187" s="43" t="str">
        <f t="shared" si="30"/>
        <v/>
      </c>
      <c r="F187" s="43" t="str">
        <f t="shared" si="30"/>
        <v/>
      </c>
      <c r="G187" s="43" t="str">
        <f t="shared" si="30"/>
        <v/>
      </c>
      <c r="H187" s="43" t="str">
        <f t="shared" si="30"/>
        <v/>
      </c>
      <c r="I187" s="43" t="str">
        <f t="shared" si="30"/>
        <v/>
      </c>
      <c r="J187" s="44" t="str">
        <f t="shared" si="30"/>
        <v/>
      </c>
      <c r="K187" s="18">
        <f>SUMIF(D188:J188,"",D187:J187)</f>
        <v>0</v>
      </c>
      <c r="L187" s="12">
        <f>SUM(D187:J187)</f>
        <v>0</v>
      </c>
      <c r="M187" s="24"/>
    </row>
    <row r="188" spans="1:13" x14ac:dyDescent="0.2">
      <c r="A188" s="39"/>
      <c r="B188" s="40"/>
      <c r="C188" s="32" t="s">
        <v>4</v>
      </c>
      <c r="D188" s="33"/>
      <c r="E188" s="33"/>
      <c r="F188" s="33"/>
      <c r="G188" s="33"/>
      <c r="H188" s="33"/>
      <c r="I188" s="33"/>
      <c r="J188" s="33"/>
      <c r="K188" s="17"/>
      <c r="L188" s="6"/>
      <c r="M188" s="25"/>
    </row>
    <row r="189" spans="1:13" ht="13.5" thickBot="1" x14ac:dyDescent="0.25">
      <c r="A189" s="41"/>
      <c r="B189" s="42"/>
      <c r="C189" s="35" t="s">
        <v>28</v>
      </c>
      <c r="D189" s="36"/>
      <c r="E189" s="36"/>
      <c r="F189" s="36"/>
      <c r="G189" s="36"/>
      <c r="H189" s="36"/>
      <c r="I189" s="36"/>
      <c r="J189" s="36"/>
      <c r="K189" s="34"/>
      <c r="L189" s="6"/>
      <c r="M189" s="25"/>
    </row>
    <row r="190" spans="1:13" x14ac:dyDescent="0.2">
      <c r="A190" s="37" t="s">
        <v>73</v>
      </c>
      <c r="B190" s="38" t="s">
        <v>72</v>
      </c>
      <c r="C190" s="14" t="s">
        <v>0</v>
      </c>
      <c r="D190" s="26"/>
      <c r="E190" s="26"/>
      <c r="F190" s="26"/>
      <c r="G190" s="26"/>
      <c r="H190" s="26"/>
      <c r="I190" s="26"/>
      <c r="J190" s="26"/>
      <c r="K190" s="16"/>
      <c r="L190" s="6"/>
      <c r="M190" s="21"/>
    </row>
    <row r="191" spans="1:13" x14ac:dyDescent="0.2">
      <c r="A191" s="39"/>
      <c r="B191" s="40"/>
      <c r="C191" s="15" t="s">
        <v>1</v>
      </c>
      <c r="D191" s="27"/>
      <c r="E191" s="27"/>
      <c r="F191" s="27"/>
      <c r="G191" s="27"/>
      <c r="H191" s="27"/>
      <c r="I191" s="27"/>
      <c r="J191" s="27"/>
      <c r="K191" s="17"/>
      <c r="L191" s="6"/>
      <c r="M191" s="21"/>
    </row>
    <row r="192" spans="1:13" x14ac:dyDescent="0.2">
      <c r="A192" s="39"/>
      <c r="B192" s="40"/>
      <c r="C192" s="15" t="s">
        <v>2</v>
      </c>
      <c r="D192" s="4"/>
      <c r="E192" s="4"/>
      <c r="F192" s="4"/>
      <c r="G192" s="4"/>
      <c r="H192" s="4"/>
      <c r="I192" s="4"/>
      <c r="J192" s="4"/>
      <c r="K192" s="17"/>
      <c r="L192" s="6"/>
      <c r="M192" s="21"/>
    </row>
    <row r="193" spans="1:13" x14ac:dyDescent="0.2">
      <c r="A193" s="39"/>
      <c r="B193" s="40"/>
      <c r="C193" s="15" t="s">
        <v>3</v>
      </c>
      <c r="D193" s="43" t="str">
        <f t="shared" ref="D193:J193" si="31">IF(D190="","",IF(D191&gt;D190,(D191-D190-D192)*24,(1-D190-D192+D191)*24))</f>
        <v/>
      </c>
      <c r="E193" s="43" t="str">
        <f t="shared" si="31"/>
        <v/>
      </c>
      <c r="F193" s="43" t="str">
        <f t="shared" si="31"/>
        <v/>
      </c>
      <c r="G193" s="43" t="str">
        <f t="shared" si="31"/>
        <v/>
      </c>
      <c r="H193" s="43" t="str">
        <f t="shared" si="31"/>
        <v/>
      </c>
      <c r="I193" s="43" t="str">
        <f t="shared" si="31"/>
        <v/>
      </c>
      <c r="J193" s="44" t="str">
        <f t="shared" si="31"/>
        <v/>
      </c>
      <c r="K193" s="18">
        <f>SUMIF(D194:J194,"",D193:J193)</f>
        <v>0</v>
      </c>
      <c r="L193" s="12">
        <f>SUM(D193:J193)</f>
        <v>0</v>
      </c>
      <c r="M193" s="24"/>
    </row>
    <row r="194" spans="1:13" x14ac:dyDescent="0.2">
      <c r="A194" s="39"/>
      <c r="B194" s="40"/>
      <c r="C194" s="32" t="s">
        <v>4</v>
      </c>
      <c r="D194" s="33"/>
      <c r="E194" s="33"/>
      <c r="F194" s="33"/>
      <c r="G194" s="33"/>
      <c r="H194" s="33"/>
      <c r="I194" s="33"/>
      <c r="J194" s="33"/>
      <c r="K194" s="17"/>
      <c r="L194" s="6"/>
      <c r="M194" s="25"/>
    </row>
    <row r="195" spans="1:13" ht="13.5" thickBot="1" x14ac:dyDescent="0.25">
      <c r="A195" s="41"/>
      <c r="B195" s="42"/>
      <c r="C195" s="35" t="s">
        <v>28</v>
      </c>
      <c r="D195" s="36"/>
      <c r="E195" s="36"/>
      <c r="F195" s="36"/>
      <c r="G195" s="36"/>
      <c r="H195" s="36"/>
      <c r="I195" s="36"/>
      <c r="J195" s="36"/>
      <c r="K195" s="34"/>
      <c r="L195" s="6"/>
      <c r="M195" s="25"/>
    </row>
    <row r="196" spans="1:13" x14ac:dyDescent="0.2">
      <c r="A196" s="37" t="s">
        <v>112</v>
      </c>
      <c r="B196" s="38" t="s">
        <v>37</v>
      </c>
      <c r="C196" s="14" t="s">
        <v>0</v>
      </c>
      <c r="D196" s="26">
        <v>0.77083333333333337</v>
      </c>
      <c r="E196" s="26"/>
      <c r="F196" s="26"/>
      <c r="G196" s="26"/>
      <c r="H196" s="26"/>
      <c r="I196" s="26"/>
      <c r="J196" s="26"/>
      <c r="K196" s="16"/>
      <c r="L196" s="6"/>
      <c r="M196" s="21"/>
    </row>
    <row r="197" spans="1:13" x14ac:dyDescent="0.2">
      <c r="A197" s="39"/>
      <c r="B197" s="40"/>
      <c r="C197" s="15" t="s">
        <v>1</v>
      </c>
      <c r="D197" s="27">
        <v>0.95833333333333337</v>
      </c>
      <c r="E197" s="27"/>
      <c r="F197" s="27"/>
      <c r="G197" s="27"/>
      <c r="H197" s="27"/>
      <c r="I197" s="27"/>
      <c r="J197" s="27"/>
      <c r="K197" s="17"/>
      <c r="L197" s="6"/>
      <c r="M197" s="21"/>
    </row>
    <row r="198" spans="1:13" x14ac:dyDescent="0.2">
      <c r="A198" s="39"/>
      <c r="B198" s="40"/>
      <c r="C198" s="15" t="s">
        <v>2</v>
      </c>
      <c r="D198" s="4"/>
      <c r="E198" s="4"/>
      <c r="F198" s="4"/>
      <c r="G198" s="4"/>
      <c r="H198" s="4"/>
      <c r="I198" s="4"/>
      <c r="J198" s="4"/>
      <c r="K198" s="17"/>
      <c r="L198" s="6"/>
      <c r="M198" s="21"/>
    </row>
    <row r="199" spans="1:13" x14ac:dyDescent="0.2">
      <c r="A199" s="39"/>
      <c r="B199" s="40"/>
      <c r="C199" s="15" t="s">
        <v>3</v>
      </c>
      <c r="D199" s="43">
        <f t="shared" ref="D199:J199" si="32">IF(D196="","",IF(D197&gt;D196,(D197-D196-D198)*24,(1-D196-D198+D197)*24))</f>
        <v>4.5</v>
      </c>
      <c r="E199" s="43" t="str">
        <f t="shared" si="32"/>
        <v/>
      </c>
      <c r="F199" s="43" t="str">
        <f t="shared" si="32"/>
        <v/>
      </c>
      <c r="G199" s="43" t="str">
        <f t="shared" si="32"/>
        <v/>
      </c>
      <c r="H199" s="43" t="str">
        <f t="shared" si="32"/>
        <v/>
      </c>
      <c r="I199" s="43" t="str">
        <f t="shared" si="32"/>
        <v/>
      </c>
      <c r="J199" s="44" t="str">
        <f t="shared" si="32"/>
        <v/>
      </c>
      <c r="K199" s="18">
        <f>SUMIF(D200:J200,"",D199:J199)</f>
        <v>4.5</v>
      </c>
      <c r="L199" s="12">
        <f>SUM(D199:J199)</f>
        <v>4.5</v>
      </c>
      <c r="M199" s="24"/>
    </row>
    <row r="200" spans="1:13" x14ac:dyDescent="0.2">
      <c r="A200" s="39"/>
      <c r="B200" s="40"/>
      <c r="C200" s="32" t="s">
        <v>4</v>
      </c>
      <c r="D200" s="33"/>
      <c r="E200" s="53"/>
      <c r="F200" s="33"/>
      <c r="G200" s="33"/>
      <c r="H200" s="33"/>
      <c r="I200" s="33"/>
      <c r="J200" s="33"/>
      <c r="K200" s="17"/>
      <c r="L200" s="6"/>
      <c r="M200" s="25"/>
    </row>
    <row r="201" spans="1:13" ht="13.5" thickBot="1" x14ac:dyDescent="0.25">
      <c r="A201" s="41"/>
      <c r="B201" s="42"/>
      <c r="C201" s="35" t="s">
        <v>28</v>
      </c>
      <c r="D201" s="54"/>
      <c r="E201" s="36"/>
      <c r="F201" s="36"/>
      <c r="G201" s="36"/>
      <c r="H201" s="36"/>
      <c r="I201" s="36"/>
      <c r="J201" s="36"/>
      <c r="K201" s="34"/>
      <c r="L201" s="6"/>
      <c r="M201" s="25"/>
    </row>
    <row r="202" spans="1:13" x14ac:dyDescent="0.2">
      <c r="A202" s="37" t="s">
        <v>49</v>
      </c>
      <c r="B202" s="38" t="s">
        <v>36</v>
      </c>
      <c r="C202" s="14" t="s">
        <v>0</v>
      </c>
      <c r="D202" s="26">
        <v>0.54166666666666663</v>
      </c>
      <c r="E202" s="26"/>
      <c r="F202" s="26"/>
      <c r="G202" s="26"/>
      <c r="H202" s="26"/>
      <c r="I202" s="26"/>
      <c r="J202" s="26"/>
      <c r="K202" s="16"/>
      <c r="L202" s="6"/>
      <c r="M202" s="21"/>
    </row>
    <row r="203" spans="1:13" x14ac:dyDescent="0.2">
      <c r="A203" s="39"/>
      <c r="B203" s="40"/>
      <c r="C203" s="15" t="s">
        <v>1</v>
      </c>
      <c r="D203" s="27">
        <v>0.77083333333333337</v>
      </c>
      <c r="E203" s="27"/>
      <c r="F203" s="27"/>
      <c r="G203" s="27"/>
      <c r="H203" s="27"/>
      <c r="I203" s="27"/>
      <c r="J203" s="27"/>
      <c r="K203" s="17"/>
      <c r="L203" s="6"/>
      <c r="M203" s="21"/>
    </row>
    <row r="204" spans="1:13" x14ac:dyDescent="0.2">
      <c r="A204" s="39"/>
      <c r="B204" s="40"/>
      <c r="C204" s="15" t="s">
        <v>2</v>
      </c>
      <c r="D204" s="4"/>
      <c r="E204" s="4"/>
      <c r="F204" s="4"/>
      <c r="G204" s="4"/>
      <c r="H204" s="4"/>
      <c r="I204" s="4"/>
      <c r="J204" s="4"/>
      <c r="K204" s="17"/>
      <c r="L204" s="6"/>
      <c r="M204" s="21"/>
    </row>
    <row r="205" spans="1:13" x14ac:dyDescent="0.2">
      <c r="A205" s="39"/>
      <c r="B205" s="40"/>
      <c r="C205" s="15" t="s">
        <v>3</v>
      </c>
      <c r="D205" s="43">
        <f t="shared" ref="D205:J205" si="33">IF(D202="","",IF(D203&gt;D202,(D203-D202-D204)*24,(1-D202-D204+D203)*24))</f>
        <v>5.5000000000000018</v>
      </c>
      <c r="E205" s="43" t="str">
        <f t="shared" si="33"/>
        <v/>
      </c>
      <c r="F205" s="43" t="str">
        <f t="shared" si="33"/>
        <v/>
      </c>
      <c r="G205" s="43" t="str">
        <f t="shared" si="33"/>
        <v/>
      </c>
      <c r="H205" s="43" t="str">
        <f t="shared" si="33"/>
        <v/>
      </c>
      <c r="I205" s="43" t="str">
        <f t="shared" si="33"/>
        <v/>
      </c>
      <c r="J205" s="44" t="str">
        <f t="shared" si="33"/>
        <v/>
      </c>
      <c r="K205" s="18">
        <f>SUMIF(D206:J206,"",D205:J205)</f>
        <v>5.5000000000000018</v>
      </c>
      <c r="L205" s="12">
        <f>SUM(D205:J205)</f>
        <v>5.5000000000000018</v>
      </c>
      <c r="M205" s="24"/>
    </row>
    <row r="206" spans="1:13" x14ac:dyDescent="0.2">
      <c r="A206" s="39"/>
      <c r="B206" s="40"/>
      <c r="C206" s="32" t="s">
        <v>4</v>
      </c>
      <c r="D206" s="33"/>
      <c r="E206" s="33"/>
      <c r="F206" s="33"/>
      <c r="G206" s="33"/>
      <c r="H206" s="33"/>
      <c r="I206" s="33"/>
      <c r="J206" s="33"/>
      <c r="K206" s="17"/>
      <c r="L206" s="6"/>
      <c r="M206" s="25"/>
    </row>
    <row r="207" spans="1:13" ht="13.5" thickBot="1" x14ac:dyDescent="0.25">
      <c r="A207" s="41"/>
      <c r="B207" s="42"/>
      <c r="C207" s="35" t="s">
        <v>28</v>
      </c>
      <c r="D207" s="66"/>
      <c r="E207" s="36"/>
      <c r="F207" s="36"/>
      <c r="G207" s="36"/>
      <c r="H207" s="54"/>
      <c r="I207" s="36"/>
      <c r="J207" s="36"/>
      <c r="K207" s="34"/>
      <c r="L207" s="6"/>
      <c r="M207" s="25"/>
    </row>
    <row r="208" spans="1:13" x14ac:dyDescent="0.2">
      <c r="A208" s="37" t="s">
        <v>86</v>
      </c>
      <c r="B208" s="38" t="s">
        <v>87</v>
      </c>
      <c r="C208" s="14" t="s">
        <v>0</v>
      </c>
      <c r="D208" s="26"/>
      <c r="E208" s="26"/>
      <c r="F208" s="26"/>
      <c r="G208" s="26"/>
      <c r="H208" s="26"/>
      <c r="I208" s="26"/>
      <c r="J208" s="26"/>
      <c r="K208" s="16"/>
      <c r="L208" s="6"/>
      <c r="M208" s="21"/>
    </row>
    <row r="209" spans="1:13" x14ac:dyDescent="0.2">
      <c r="A209" s="39"/>
      <c r="B209" s="40"/>
      <c r="C209" s="15" t="s">
        <v>1</v>
      </c>
      <c r="D209" s="27"/>
      <c r="E209" s="27"/>
      <c r="F209" s="27"/>
      <c r="G209" s="27"/>
      <c r="H209" s="27"/>
      <c r="I209" s="27"/>
      <c r="J209" s="27"/>
      <c r="K209" s="17"/>
      <c r="L209" s="6"/>
      <c r="M209" s="21"/>
    </row>
    <row r="210" spans="1:13" x14ac:dyDescent="0.2">
      <c r="A210" s="39"/>
      <c r="B210" s="40"/>
      <c r="C210" s="15" t="s">
        <v>2</v>
      </c>
      <c r="D210" s="4"/>
      <c r="E210" s="4"/>
      <c r="F210" s="4"/>
      <c r="G210" s="4"/>
      <c r="H210" s="4"/>
      <c r="I210" s="4"/>
      <c r="J210" s="4"/>
      <c r="K210" s="17"/>
      <c r="L210" s="6"/>
      <c r="M210" s="21"/>
    </row>
    <row r="211" spans="1:13" x14ac:dyDescent="0.2">
      <c r="A211" s="39"/>
      <c r="B211" s="40"/>
      <c r="C211" s="15" t="s">
        <v>3</v>
      </c>
      <c r="D211" s="43" t="str">
        <f t="shared" ref="D211:J211" si="34">IF(D208="","",IF(D209&gt;D208,(D209-D208-D210)*24,(1-D208-D210+D209)*24))</f>
        <v/>
      </c>
      <c r="E211" s="43" t="str">
        <f t="shared" si="34"/>
        <v/>
      </c>
      <c r="F211" s="43" t="str">
        <f t="shared" si="34"/>
        <v/>
      </c>
      <c r="G211" s="43" t="str">
        <f t="shared" si="34"/>
        <v/>
      </c>
      <c r="H211" s="43" t="str">
        <f t="shared" si="34"/>
        <v/>
      </c>
      <c r="I211" s="43" t="str">
        <f t="shared" si="34"/>
        <v/>
      </c>
      <c r="J211" s="44" t="str">
        <f t="shared" si="34"/>
        <v/>
      </c>
      <c r="K211" s="18">
        <f>SUMIF(D212:J212,"",D211:J211)</f>
        <v>0</v>
      </c>
      <c r="L211" s="12">
        <f>SUM(D211:J211)</f>
        <v>0</v>
      </c>
      <c r="M211" s="24"/>
    </row>
    <row r="212" spans="1:13" x14ac:dyDescent="0.2">
      <c r="A212" s="39"/>
      <c r="B212" s="40"/>
      <c r="C212" s="32" t="s">
        <v>4</v>
      </c>
      <c r="D212" s="33"/>
      <c r="E212" s="33"/>
      <c r="F212" s="33"/>
      <c r="G212" s="33"/>
      <c r="H212" s="33"/>
      <c r="I212" s="33"/>
      <c r="J212" s="33"/>
      <c r="K212" s="17"/>
      <c r="L212" s="6"/>
      <c r="M212" s="25"/>
    </row>
    <row r="213" spans="1:13" ht="13.5" thickBot="1" x14ac:dyDescent="0.25">
      <c r="A213" s="41"/>
      <c r="B213" s="42"/>
      <c r="C213" s="35" t="s">
        <v>28</v>
      </c>
      <c r="D213" s="66"/>
      <c r="E213" s="36"/>
      <c r="F213" s="36"/>
      <c r="G213" s="36"/>
      <c r="H213" s="54"/>
      <c r="I213" s="36"/>
      <c r="J213" s="36"/>
      <c r="K213" s="34"/>
      <c r="L213" s="6"/>
      <c r="M213" s="25"/>
    </row>
    <row r="214" spans="1:13" x14ac:dyDescent="0.2">
      <c r="A214" s="37" t="s">
        <v>110</v>
      </c>
      <c r="B214" s="38" t="s">
        <v>111</v>
      </c>
      <c r="C214" s="14" t="s">
        <v>0</v>
      </c>
      <c r="D214" s="26">
        <v>0.77083333333333337</v>
      </c>
      <c r="E214" s="26"/>
      <c r="F214" s="26"/>
      <c r="G214" s="26"/>
      <c r="H214" s="26"/>
      <c r="I214" s="26"/>
      <c r="J214" s="26"/>
      <c r="K214" s="16"/>
      <c r="L214" s="6"/>
      <c r="M214" s="21"/>
    </row>
    <row r="215" spans="1:13" x14ac:dyDescent="0.2">
      <c r="A215" s="39"/>
      <c r="B215" s="40"/>
      <c r="C215" s="15" t="s">
        <v>1</v>
      </c>
      <c r="D215" s="27">
        <v>0.95833333333333337</v>
      </c>
      <c r="E215" s="27"/>
      <c r="F215" s="27"/>
      <c r="G215" s="27"/>
      <c r="H215" s="27"/>
      <c r="I215" s="27"/>
      <c r="J215" s="27"/>
      <c r="K215" s="17"/>
      <c r="L215" s="6"/>
      <c r="M215" s="21"/>
    </row>
    <row r="216" spans="1:13" x14ac:dyDescent="0.2">
      <c r="A216" s="39"/>
      <c r="B216" s="40"/>
      <c r="C216" s="15" t="s">
        <v>2</v>
      </c>
      <c r="D216" s="4"/>
      <c r="E216" s="4"/>
      <c r="F216" s="4"/>
      <c r="G216" s="4"/>
      <c r="H216" s="4"/>
      <c r="I216" s="4"/>
      <c r="J216" s="4"/>
      <c r="K216" s="17"/>
      <c r="L216" s="6"/>
      <c r="M216" s="21"/>
    </row>
    <row r="217" spans="1:13" x14ac:dyDescent="0.2">
      <c r="A217" s="39"/>
      <c r="B217" s="40"/>
      <c r="C217" s="15" t="s">
        <v>3</v>
      </c>
      <c r="D217" s="43">
        <f t="shared" ref="D217:J217" si="35">IF(D214="","",IF(D215&gt;D214,(D215-D214-D216)*24,(1-D214-D216+D215)*24))</f>
        <v>4.5</v>
      </c>
      <c r="E217" s="43" t="str">
        <f t="shared" si="35"/>
        <v/>
      </c>
      <c r="F217" s="43" t="str">
        <f t="shared" si="35"/>
        <v/>
      </c>
      <c r="G217" s="43" t="str">
        <f t="shared" si="35"/>
        <v/>
      </c>
      <c r="H217" s="43" t="str">
        <f t="shared" si="35"/>
        <v/>
      </c>
      <c r="I217" s="43" t="str">
        <f t="shared" si="35"/>
        <v/>
      </c>
      <c r="J217" s="44" t="str">
        <f t="shared" si="35"/>
        <v/>
      </c>
      <c r="K217" s="18">
        <f>SUMIF(D218:J218,"",D217:J217)</f>
        <v>4.5</v>
      </c>
      <c r="L217" s="12">
        <f>SUM(D217:J217)</f>
        <v>4.5</v>
      </c>
      <c r="M217" s="24"/>
    </row>
    <row r="218" spans="1:13" x14ac:dyDescent="0.2">
      <c r="A218" s="39"/>
      <c r="B218" s="40"/>
      <c r="C218" s="32" t="s">
        <v>4</v>
      </c>
      <c r="D218" s="33"/>
      <c r="E218" s="33"/>
      <c r="F218" s="33"/>
      <c r="G218" s="33"/>
      <c r="H218" s="33"/>
      <c r="I218" s="33"/>
      <c r="J218" s="33"/>
      <c r="K218" s="17"/>
      <c r="L218" s="6"/>
      <c r="M218" s="25"/>
    </row>
    <row r="219" spans="1:13" ht="13.5" thickBot="1" x14ac:dyDescent="0.25">
      <c r="A219" s="41"/>
      <c r="B219" s="42"/>
      <c r="C219" s="35" t="s">
        <v>28</v>
      </c>
      <c r="D219" s="66"/>
      <c r="E219" s="36"/>
      <c r="F219" s="36"/>
      <c r="G219" s="36"/>
      <c r="H219" s="54"/>
      <c r="I219" s="36"/>
      <c r="J219" s="36"/>
      <c r="K219" s="34"/>
      <c r="L219" s="6"/>
      <c r="M219" s="25"/>
    </row>
    <row r="220" spans="1:13" x14ac:dyDescent="0.2">
      <c r="A220" s="37" t="s">
        <v>74</v>
      </c>
      <c r="B220" s="38" t="s">
        <v>75</v>
      </c>
      <c r="C220" s="14" t="s">
        <v>0</v>
      </c>
      <c r="D220" s="26"/>
      <c r="E220" s="26"/>
      <c r="F220" s="26"/>
      <c r="G220" s="26"/>
      <c r="H220" s="26"/>
      <c r="I220" s="26"/>
      <c r="J220" s="26"/>
      <c r="K220" s="16"/>
      <c r="L220" s="6"/>
      <c r="M220" s="21"/>
    </row>
    <row r="221" spans="1:13" x14ac:dyDescent="0.2">
      <c r="A221" s="39"/>
      <c r="B221" s="40"/>
      <c r="C221" s="15" t="s">
        <v>1</v>
      </c>
      <c r="D221" s="27"/>
      <c r="E221" s="27"/>
      <c r="F221" s="27"/>
      <c r="G221" s="27"/>
      <c r="H221" s="27"/>
      <c r="I221" s="27"/>
      <c r="J221" s="27"/>
      <c r="K221" s="17"/>
      <c r="L221" s="6"/>
      <c r="M221" s="21"/>
    </row>
    <row r="222" spans="1:13" x14ac:dyDescent="0.2">
      <c r="A222" s="39"/>
      <c r="B222" s="40"/>
      <c r="C222" s="15" t="s">
        <v>2</v>
      </c>
      <c r="D222" s="4"/>
      <c r="E222" s="4"/>
      <c r="F222" s="4"/>
      <c r="G222" s="4"/>
      <c r="H222" s="4"/>
      <c r="I222" s="4"/>
      <c r="J222" s="4"/>
      <c r="K222" s="17"/>
      <c r="L222" s="6"/>
      <c r="M222" s="21"/>
    </row>
    <row r="223" spans="1:13" x14ac:dyDescent="0.2">
      <c r="A223" s="39"/>
      <c r="B223" s="40"/>
      <c r="C223" s="15" t="s">
        <v>3</v>
      </c>
      <c r="D223" s="43" t="str">
        <f t="shared" ref="D223:J223" si="36">IF(D220="","",IF(D221&gt;D220,(D221-D220-D222)*24,(1-D220-D222+D221)*24))</f>
        <v/>
      </c>
      <c r="E223" s="43" t="str">
        <f t="shared" si="36"/>
        <v/>
      </c>
      <c r="F223" s="43" t="str">
        <f t="shared" si="36"/>
        <v/>
      </c>
      <c r="G223" s="43" t="str">
        <f t="shared" si="36"/>
        <v/>
      </c>
      <c r="H223" s="43" t="str">
        <f t="shared" si="36"/>
        <v/>
      </c>
      <c r="I223" s="55" t="str">
        <f t="shared" si="36"/>
        <v/>
      </c>
      <c r="J223" s="44" t="str">
        <f t="shared" si="36"/>
        <v/>
      </c>
      <c r="K223" s="18">
        <f>SUMIF(D224:J224,"",D223:J223)</f>
        <v>0</v>
      </c>
      <c r="L223" s="12">
        <f>SUM(D223:J223)</f>
        <v>0</v>
      </c>
      <c r="M223" s="24"/>
    </row>
    <row r="224" spans="1:13" x14ac:dyDescent="0.2">
      <c r="A224" s="39"/>
      <c r="B224" s="40"/>
      <c r="C224" s="32" t="s">
        <v>4</v>
      </c>
      <c r="D224" s="33"/>
      <c r="E224" s="33"/>
      <c r="F224" s="33"/>
      <c r="G224" s="33"/>
      <c r="H224" s="33"/>
      <c r="I224" s="33"/>
      <c r="J224" s="33"/>
      <c r="K224" s="17"/>
      <c r="L224" s="6"/>
      <c r="M224" s="25"/>
    </row>
    <row r="225" spans="1:13" ht="13.5" thickBot="1" x14ac:dyDescent="0.25">
      <c r="A225" s="41"/>
      <c r="B225" s="42"/>
      <c r="C225" s="35" t="s">
        <v>28</v>
      </c>
      <c r="D225" s="54"/>
      <c r="E225" s="36"/>
      <c r="F225" s="36"/>
      <c r="G225" s="36"/>
      <c r="H225" s="36"/>
      <c r="I225" s="36"/>
      <c r="J225" s="36"/>
      <c r="K225" s="34"/>
      <c r="L225" s="6"/>
      <c r="M225" s="25"/>
    </row>
    <row r="226" spans="1:13" x14ac:dyDescent="0.2">
      <c r="A226" s="37" t="s">
        <v>82</v>
      </c>
      <c r="B226" s="38" t="s">
        <v>83</v>
      </c>
      <c r="C226" s="14" t="s">
        <v>0</v>
      </c>
      <c r="D226" s="26"/>
      <c r="E226" s="26">
        <v>0.54166666666666663</v>
      </c>
      <c r="F226" s="26"/>
      <c r="G226" s="26"/>
      <c r="H226" s="26"/>
      <c r="I226" s="26"/>
      <c r="J226" s="26"/>
      <c r="K226" s="16"/>
      <c r="L226" s="6"/>
      <c r="M226" s="21"/>
    </row>
    <row r="227" spans="1:13" x14ac:dyDescent="0.2">
      <c r="A227" s="39"/>
      <c r="B227" s="40"/>
      <c r="C227" s="15" t="s">
        <v>1</v>
      </c>
      <c r="D227" s="27"/>
      <c r="E227" s="27">
        <v>0.77083333333333337</v>
      </c>
      <c r="F227" s="27"/>
      <c r="G227" s="27"/>
      <c r="H227" s="27"/>
      <c r="I227" s="27"/>
      <c r="J227" s="27"/>
      <c r="K227" s="17"/>
      <c r="L227" s="6"/>
      <c r="M227" s="21"/>
    </row>
    <row r="228" spans="1:13" x14ac:dyDescent="0.2">
      <c r="A228" s="39"/>
      <c r="B228" s="40"/>
      <c r="C228" s="15" t="s">
        <v>2</v>
      </c>
      <c r="D228" s="4"/>
      <c r="E228" s="4"/>
      <c r="F228" s="4"/>
      <c r="G228" s="4"/>
      <c r="H228" s="4"/>
      <c r="I228" s="4"/>
      <c r="J228" s="4"/>
      <c r="K228" s="17"/>
      <c r="L228" s="6"/>
      <c r="M228" s="21"/>
    </row>
    <row r="229" spans="1:13" x14ac:dyDescent="0.2">
      <c r="A229" s="39"/>
      <c r="B229" s="40"/>
      <c r="C229" s="15" t="s">
        <v>3</v>
      </c>
      <c r="D229" s="43" t="str">
        <f t="shared" ref="D229:J229" si="37">IF(D226="","",IF(D227&gt;D226,(D227-D226-D228)*24,(1-D226-D228+D227)*24))</f>
        <v/>
      </c>
      <c r="E229" s="43">
        <f t="shared" si="37"/>
        <v>5.5000000000000018</v>
      </c>
      <c r="F229" s="43" t="str">
        <f t="shared" si="37"/>
        <v/>
      </c>
      <c r="G229" s="43" t="str">
        <f t="shared" si="37"/>
        <v/>
      </c>
      <c r="H229" s="43" t="str">
        <f t="shared" si="37"/>
        <v/>
      </c>
      <c r="I229" s="55" t="str">
        <f t="shared" si="37"/>
        <v/>
      </c>
      <c r="J229" s="44" t="str">
        <f t="shared" si="37"/>
        <v/>
      </c>
      <c r="K229" s="18">
        <f>SUMIF(D230:J230,"",D229:J229)</f>
        <v>5.5000000000000018</v>
      </c>
      <c r="L229" s="12">
        <f>SUM(D229:J229)</f>
        <v>5.5000000000000018</v>
      </c>
      <c r="M229" s="24"/>
    </row>
    <row r="230" spans="1:13" x14ac:dyDescent="0.2">
      <c r="A230" s="39"/>
      <c r="B230" s="40"/>
      <c r="C230" s="32" t="s">
        <v>4</v>
      </c>
      <c r="D230" s="33"/>
      <c r="E230" s="33"/>
      <c r="F230" s="33"/>
      <c r="G230" s="33"/>
      <c r="H230" s="33"/>
      <c r="I230" s="33"/>
      <c r="J230" s="33"/>
      <c r="K230" s="17"/>
      <c r="L230" s="6"/>
      <c r="M230" s="25"/>
    </row>
    <row r="231" spans="1:13" ht="13.5" thickBot="1" x14ac:dyDescent="0.25">
      <c r="A231" s="41"/>
      <c r="B231" s="42"/>
      <c r="C231" s="35" t="s">
        <v>28</v>
      </c>
      <c r="D231" s="54"/>
      <c r="E231" s="36"/>
      <c r="F231" s="36"/>
      <c r="G231" s="36"/>
      <c r="H231" s="36"/>
      <c r="I231" s="36"/>
      <c r="J231" s="36"/>
      <c r="K231" s="34"/>
      <c r="L231" s="6"/>
      <c r="M231" s="25"/>
    </row>
    <row r="232" spans="1:13" x14ac:dyDescent="0.2">
      <c r="A232" s="37" t="s">
        <v>105</v>
      </c>
      <c r="B232" s="38" t="s">
        <v>106</v>
      </c>
      <c r="C232" s="14" t="s">
        <v>0</v>
      </c>
      <c r="D232" s="26"/>
      <c r="E232" s="26"/>
      <c r="F232" s="26"/>
      <c r="G232" s="26"/>
      <c r="H232" s="26"/>
      <c r="I232" s="26"/>
      <c r="J232" s="26"/>
      <c r="K232" s="16"/>
      <c r="L232" s="6"/>
      <c r="M232" s="21"/>
    </row>
    <row r="233" spans="1:13" x14ac:dyDescent="0.2">
      <c r="A233" s="39"/>
      <c r="B233" s="40"/>
      <c r="C233" s="15" t="s">
        <v>1</v>
      </c>
      <c r="D233" s="27"/>
      <c r="E233" s="27"/>
      <c r="F233" s="27"/>
      <c r="G233" s="27"/>
      <c r="H233" s="27"/>
      <c r="I233" s="27"/>
      <c r="J233" s="27"/>
      <c r="K233" s="17"/>
      <c r="L233" s="6"/>
      <c r="M233" s="21"/>
    </row>
    <row r="234" spans="1:13" x14ac:dyDescent="0.2">
      <c r="A234" s="39"/>
      <c r="B234" s="40"/>
      <c r="C234" s="15" t="s">
        <v>2</v>
      </c>
      <c r="D234" s="4"/>
      <c r="E234" s="4"/>
      <c r="F234" s="4"/>
      <c r="G234" s="4"/>
      <c r="H234" s="4"/>
      <c r="I234" s="4"/>
      <c r="J234" s="4"/>
      <c r="K234" s="17"/>
      <c r="L234" s="6"/>
      <c r="M234" s="21"/>
    </row>
    <row r="235" spans="1:13" x14ac:dyDescent="0.2">
      <c r="A235" s="39"/>
      <c r="B235" s="40"/>
      <c r="C235" s="15" t="s">
        <v>3</v>
      </c>
      <c r="D235" s="43" t="str">
        <f t="shared" ref="D235:J235" si="38">IF(D232="","",IF(D233&gt;D232,(D233-D232-D234)*24,(1-D232-D234+D233)*24))</f>
        <v/>
      </c>
      <c r="E235" s="43" t="str">
        <f t="shared" si="38"/>
        <v/>
      </c>
      <c r="F235" s="43" t="str">
        <f t="shared" si="38"/>
        <v/>
      </c>
      <c r="G235" s="43" t="str">
        <f t="shared" si="38"/>
        <v/>
      </c>
      <c r="H235" s="43" t="str">
        <f t="shared" si="38"/>
        <v/>
      </c>
      <c r="I235" s="55" t="str">
        <f t="shared" si="38"/>
        <v/>
      </c>
      <c r="J235" s="44" t="str">
        <f t="shared" si="38"/>
        <v/>
      </c>
      <c r="K235" s="18">
        <f>SUMIF(D236:J236,"",D235:J235)</f>
        <v>0</v>
      </c>
      <c r="L235" s="12">
        <f>SUM(D235:J235)</f>
        <v>0</v>
      </c>
      <c r="M235" s="24"/>
    </row>
    <row r="236" spans="1:13" x14ac:dyDescent="0.2">
      <c r="A236" s="39"/>
      <c r="B236" s="40"/>
      <c r="C236" s="32" t="s">
        <v>4</v>
      </c>
      <c r="D236" s="33"/>
      <c r="E236" s="33"/>
      <c r="F236" s="33"/>
      <c r="G236" s="33"/>
      <c r="H236" s="33"/>
      <c r="I236" s="33"/>
      <c r="J236" s="33"/>
      <c r="K236" s="17"/>
      <c r="L236" s="6"/>
      <c r="M236" s="25"/>
    </row>
    <row r="237" spans="1:13" ht="13.5" thickBot="1" x14ac:dyDescent="0.25">
      <c r="A237" s="41"/>
      <c r="B237" s="42"/>
      <c r="C237" s="35" t="s">
        <v>28</v>
      </c>
      <c r="D237" s="54"/>
      <c r="E237" s="36"/>
      <c r="F237" s="36"/>
      <c r="G237" s="36"/>
      <c r="H237" s="36"/>
      <c r="I237" s="36"/>
      <c r="J237" s="36"/>
      <c r="K237" s="34"/>
      <c r="L237" s="6"/>
      <c r="M237" s="25"/>
    </row>
    <row r="238" spans="1:13" x14ac:dyDescent="0.2">
      <c r="A238" s="37" t="s">
        <v>91</v>
      </c>
      <c r="B238" s="38" t="s">
        <v>92</v>
      </c>
      <c r="C238" s="14" t="s">
        <v>0</v>
      </c>
      <c r="D238" s="26"/>
      <c r="E238" s="26"/>
      <c r="F238" s="26"/>
      <c r="G238" s="26"/>
      <c r="H238" s="26"/>
      <c r="I238" s="26"/>
      <c r="J238" s="26"/>
      <c r="K238" s="16"/>
      <c r="L238" s="6"/>
      <c r="M238" s="21"/>
    </row>
    <row r="239" spans="1:13" x14ac:dyDescent="0.2">
      <c r="A239" s="39"/>
      <c r="B239" s="40"/>
      <c r="C239" s="15" t="s">
        <v>1</v>
      </c>
      <c r="D239" s="27"/>
      <c r="E239" s="27"/>
      <c r="F239" s="27"/>
      <c r="G239" s="27"/>
      <c r="H239" s="27"/>
      <c r="I239" s="27"/>
      <c r="J239" s="27"/>
      <c r="K239" s="17"/>
      <c r="L239" s="6"/>
      <c r="M239" s="21"/>
    </row>
    <row r="240" spans="1:13" x14ac:dyDescent="0.2">
      <c r="A240" s="39"/>
      <c r="B240" s="40"/>
      <c r="C240" s="15" t="s">
        <v>2</v>
      </c>
      <c r="D240" s="4"/>
      <c r="E240" s="4"/>
      <c r="F240" s="4"/>
      <c r="G240" s="4"/>
      <c r="H240" s="4"/>
      <c r="I240" s="4"/>
      <c r="J240" s="4"/>
      <c r="K240" s="17"/>
      <c r="L240" s="6"/>
      <c r="M240" s="21"/>
    </row>
    <row r="241" spans="1:13" x14ac:dyDescent="0.2">
      <c r="A241" s="39"/>
      <c r="B241" s="40"/>
      <c r="C241" s="15" t="s">
        <v>3</v>
      </c>
      <c r="D241" s="43" t="str">
        <f t="shared" ref="D241:J241" si="39">IF(D238="","",IF(D239&gt;D238,(D239-D238-D240)*24,(1-D238-D240+D239)*24))</f>
        <v/>
      </c>
      <c r="E241" s="43" t="str">
        <f t="shared" si="39"/>
        <v/>
      </c>
      <c r="F241" s="43" t="str">
        <f t="shared" si="39"/>
        <v/>
      </c>
      <c r="G241" s="43" t="str">
        <f t="shared" si="39"/>
        <v/>
      </c>
      <c r="H241" s="43" t="str">
        <f t="shared" si="39"/>
        <v/>
      </c>
      <c r="I241" s="55" t="str">
        <f t="shared" si="39"/>
        <v/>
      </c>
      <c r="J241" s="44" t="str">
        <f t="shared" si="39"/>
        <v/>
      </c>
      <c r="K241" s="18">
        <f>SUMIF(D242:J242,"",D241:J241)</f>
        <v>0</v>
      </c>
      <c r="L241" s="12">
        <f>SUM(D241:J241)</f>
        <v>0</v>
      </c>
      <c r="M241" s="24"/>
    </row>
    <row r="242" spans="1:13" x14ac:dyDescent="0.2">
      <c r="A242" s="39"/>
      <c r="B242" s="40"/>
      <c r="C242" s="32" t="s">
        <v>4</v>
      </c>
      <c r="D242" s="33"/>
      <c r="E242" s="33"/>
      <c r="F242" s="33"/>
      <c r="G242" s="33"/>
      <c r="H242" s="33"/>
      <c r="I242" s="33"/>
      <c r="J242" s="33"/>
      <c r="K242" s="17"/>
      <c r="L242" s="6"/>
      <c r="M242" s="25"/>
    </row>
    <row r="243" spans="1:13" ht="13.5" thickBot="1" x14ac:dyDescent="0.25">
      <c r="A243" s="41"/>
      <c r="B243" s="42"/>
      <c r="C243" s="35" t="s">
        <v>28</v>
      </c>
      <c r="D243" s="54"/>
      <c r="E243" s="36"/>
      <c r="F243" s="36"/>
      <c r="G243" s="36"/>
      <c r="H243" s="36"/>
      <c r="I243" s="36"/>
      <c r="J243" s="36"/>
      <c r="K243" s="34"/>
      <c r="L243" s="6"/>
      <c r="M243" s="25"/>
    </row>
    <row r="244" spans="1:13" x14ac:dyDescent="0.2">
      <c r="A244" s="37" t="s">
        <v>124</v>
      </c>
      <c r="B244" s="38" t="s">
        <v>106</v>
      </c>
      <c r="C244" s="14" t="s">
        <v>0</v>
      </c>
      <c r="D244" s="26"/>
      <c r="E244" s="26"/>
      <c r="F244" s="26"/>
      <c r="G244" s="26"/>
      <c r="H244" s="26"/>
      <c r="I244" s="26"/>
      <c r="J244" s="26"/>
      <c r="K244" s="16"/>
      <c r="L244" s="6"/>
      <c r="M244" s="21"/>
    </row>
    <row r="245" spans="1:13" x14ac:dyDescent="0.2">
      <c r="A245" s="39"/>
      <c r="B245" s="40"/>
      <c r="C245" s="15" t="s">
        <v>1</v>
      </c>
      <c r="D245" s="27"/>
      <c r="E245" s="27"/>
      <c r="F245" s="27"/>
      <c r="G245" s="27"/>
      <c r="H245" s="27"/>
      <c r="I245" s="27"/>
      <c r="J245" s="27"/>
      <c r="K245" s="17"/>
      <c r="L245" s="6"/>
      <c r="M245" s="21"/>
    </row>
    <row r="246" spans="1:13" x14ac:dyDescent="0.2">
      <c r="A246" s="39"/>
      <c r="B246" s="40"/>
      <c r="C246" s="15" t="s">
        <v>2</v>
      </c>
      <c r="D246" s="4"/>
      <c r="E246" s="4"/>
      <c r="F246" s="4"/>
      <c r="G246" s="4"/>
      <c r="H246" s="4"/>
      <c r="I246" s="4"/>
      <c r="J246" s="4"/>
      <c r="K246" s="17"/>
      <c r="L246" s="6"/>
      <c r="M246" s="21"/>
    </row>
    <row r="247" spans="1:13" x14ac:dyDescent="0.2">
      <c r="A247" s="39"/>
      <c r="B247" s="40"/>
      <c r="C247" s="15" t="s">
        <v>3</v>
      </c>
      <c r="D247" s="43" t="str">
        <f t="shared" ref="D247:J247" si="40">IF(D244="","",IF(D245&gt;D244,(D245-D244-D246)*24,(1-D244-D246+D245)*24))</f>
        <v/>
      </c>
      <c r="E247" s="43" t="str">
        <f t="shared" si="40"/>
        <v/>
      </c>
      <c r="F247" s="43" t="str">
        <f t="shared" si="40"/>
        <v/>
      </c>
      <c r="G247" s="43" t="str">
        <f t="shared" si="40"/>
        <v/>
      </c>
      <c r="H247" s="43" t="str">
        <f t="shared" si="40"/>
        <v/>
      </c>
      <c r="I247" s="55" t="str">
        <f t="shared" si="40"/>
        <v/>
      </c>
      <c r="J247" s="44" t="str">
        <f t="shared" si="40"/>
        <v/>
      </c>
      <c r="K247" s="18">
        <f>SUMIF(D248:J248,"",D247:J247)</f>
        <v>0</v>
      </c>
      <c r="L247" s="12">
        <f>SUM(D247:J247)</f>
        <v>0</v>
      </c>
      <c r="M247" s="24"/>
    </row>
    <row r="248" spans="1:13" x14ac:dyDescent="0.2">
      <c r="A248" s="39"/>
      <c r="B248" s="40"/>
      <c r="C248" s="32" t="s">
        <v>4</v>
      </c>
      <c r="D248" s="33"/>
      <c r="E248" s="33"/>
      <c r="F248" s="33"/>
      <c r="G248" s="33"/>
      <c r="H248" s="33"/>
      <c r="I248" s="33"/>
      <c r="J248" s="33"/>
      <c r="K248" s="17"/>
      <c r="L248" s="6"/>
      <c r="M248" s="25"/>
    </row>
    <row r="249" spans="1:13" ht="13.5" thickBot="1" x14ac:dyDescent="0.25">
      <c r="A249" s="41"/>
      <c r="B249" s="42"/>
      <c r="C249" s="35" t="s">
        <v>28</v>
      </c>
      <c r="D249" s="54"/>
      <c r="E249" s="36"/>
      <c r="F249" s="36"/>
      <c r="G249" s="36"/>
      <c r="H249" s="36"/>
      <c r="I249" s="36"/>
      <c r="J249" s="36"/>
      <c r="K249" s="34"/>
      <c r="L249" s="6"/>
      <c r="M249" s="25"/>
    </row>
    <row r="250" spans="1:13" x14ac:dyDescent="0.2">
      <c r="A250" s="37" t="s">
        <v>123</v>
      </c>
      <c r="B250" s="38" t="s">
        <v>122</v>
      </c>
      <c r="C250" s="14" t="s">
        <v>0</v>
      </c>
      <c r="D250" s="26"/>
      <c r="E250" s="26"/>
      <c r="F250" s="26"/>
      <c r="G250" s="26"/>
      <c r="H250" s="26"/>
      <c r="I250" s="26"/>
      <c r="J250" s="26"/>
      <c r="K250" s="16"/>
      <c r="L250" s="6"/>
      <c r="M250" s="21"/>
    </row>
    <row r="251" spans="1:13" x14ac:dyDescent="0.2">
      <c r="A251" s="39"/>
      <c r="B251" s="40"/>
      <c r="C251" s="15" t="s">
        <v>1</v>
      </c>
      <c r="D251" s="27"/>
      <c r="E251" s="27"/>
      <c r="F251" s="27"/>
      <c r="G251" s="27"/>
      <c r="H251" s="27"/>
      <c r="I251" s="27"/>
      <c r="J251" s="27"/>
      <c r="K251" s="17"/>
      <c r="L251" s="6"/>
      <c r="M251" s="21"/>
    </row>
    <row r="252" spans="1:13" x14ac:dyDescent="0.2">
      <c r="A252" s="39"/>
      <c r="B252" s="40"/>
      <c r="C252" s="15" t="s">
        <v>2</v>
      </c>
      <c r="D252" s="4"/>
      <c r="E252" s="4"/>
      <c r="F252" s="4"/>
      <c r="G252" s="4"/>
      <c r="H252" s="4"/>
      <c r="I252" s="4"/>
      <c r="J252" s="4"/>
      <c r="K252" s="17"/>
      <c r="L252" s="6"/>
      <c r="M252" s="21"/>
    </row>
    <row r="253" spans="1:13" x14ac:dyDescent="0.2">
      <c r="A253" s="39"/>
      <c r="B253" s="40"/>
      <c r="C253" s="15" t="s">
        <v>3</v>
      </c>
      <c r="D253" s="43" t="str">
        <f t="shared" ref="D253:J253" si="41">IF(D250="","",IF(D251&gt;D250,(D251-D250-D252)*24,(1-D250-D252+D251)*24))</f>
        <v/>
      </c>
      <c r="E253" s="43" t="str">
        <f t="shared" si="41"/>
        <v/>
      </c>
      <c r="F253" s="43" t="str">
        <f t="shared" si="41"/>
        <v/>
      </c>
      <c r="G253" s="43" t="str">
        <f t="shared" si="41"/>
        <v/>
      </c>
      <c r="H253" s="43" t="str">
        <f t="shared" si="41"/>
        <v/>
      </c>
      <c r="I253" s="55" t="str">
        <f t="shared" si="41"/>
        <v/>
      </c>
      <c r="J253" s="44" t="str">
        <f t="shared" si="41"/>
        <v/>
      </c>
      <c r="K253" s="18">
        <f>SUMIF(D254:J254,"",D253:J253)</f>
        <v>0</v>
      </c>
      <c r="L253" s="12">
        <f>SUM(D253:J253)</f>
        <v>0</v>
      </c>
      <c r="M253" s="24"/>
    </row>
    <row r="254" spans="1:13" x14ac:dyDescent="0.2">
      <c r="A254" s="39"/>
      <c r="B254" s="40"/>
      <c r="C254" s="32" t="s">
        <v>4</v>
      </c>
      <c r="D254" s="33"/>
      <c r="E254" s="33"/>
      <c r="F254" s="33"/>
      <c r="G254" s="33"/>
      <c r="H254" s="33"/>
      <c r="I254" s="33"/>
      <c r="J254" s="33"/>
      <c r="K254" s="17"/>
      <c r="L254" s="6"/>
      <c r="M254" s="25"/>
    </row>
    <row r="255" spans="1:13" ht="13.5" thickBot="1" x14ac:dyDescent="0.25">
      <c r="A255" s="41"/>
      <c r="B255" s="42"/>
      <c r="C255" s="35" t="s">
        <v>28</v>
      </c>
      <c r="D255" s="54"/>
      <c r="E255" s="36"/>
      <c r="F255" s="36"/>
      <c r="G255" s="36"/>
      <c r="H255" s="36"/>
      <c r="I255" s="36"/>
      <c r="J255" s="36"/>
      <c r="K255" s="34"/>
      <c r="L255" s="6"/>
      <c r="M255" s="25"/>
    </row>
    <row r="256" spans="1:13" x14ac:dyDescent="0.2">
      <c r="A256" s="37" t="s">
        <v>50</v>
      </c>
      <c r="B256" s="38" t="s">
        <v>51</v>
      </c>
      <c r="C256" s="14" t="s">
        <v>0</v>
      </c>
      <c r="D256" s="26"/>
      <c r="E256" s="26"/>
      <c r="F256" s="26"/>
      <c r="G256" s="26"/>
      <c r="H256" s="26"/>
      <c r="I256" s="26"/>
      <c r="J256" s="26"/>
      <c r="K256" s="16"/>
      <c r="L256" s="6"/>
      <c r="M256" s="21"/>
    </row>
    <row r="257" spans="1:13" x14ac:dyDescent="0.2">
      <c r="A257" s="39"/>
      <c r="B257" s="40"/>
      <c r="C257" s="15" t="s">
        <v>1</v>
      </c>
      <c r="D257" s="27"/>
      <c r="E257" s="27"/>
      <c r="F257" s="27"/>
      <c r="G257" s="27"/>
      <c r="H257" s="27"/>
      <c r="I257" s="27"/>
      <c r="J257" s="27"/>
      <c r="K257" s="17"/>
      <c r="L257" s="6"/>
      <c r="M257" s="21"/>
    </row>
    <row r="258" spans="1:13" x14ac:dyDescent="0.2">
      <c r="A258" s="39"/>
      <c r="B258" s="40"/>
      <c r="C258" s="15" t="s">
        <v>2</v>
      </c>
      <c r="D258" s="4"/>
      <c r="E258" s="4"/>
      <c r="F258" s="4"/>
      <c r="G258" s="4"/>
      <c r="H258" s="4"/>
      <c r="I258" s="4"/>
      <c r="J258" s="4"/>
      <c r="K258" s="17"/>
      <c r="L258" s="6"/>
      <c r="M258" s="21"/>
    </row>
    <row r="259" spans="1:13" x14ac:dyDescent="0.2">
      <c r="A259" s="39"/>
      <c r="B259" s="40"/>
      <c r="C259" s="15" t="s">
        <v>3</v>
      </c>
      <c r="D259" s="43" t="str">
        <f t="shared" ref="D259:J259" si="42">IF(D256="","",IF(D257&gt;D256,(D257-D256-D258)*24,(1-D256-D258+D257)*24))</f>
        <v/>
      </c>
      <c r="E259" s="43" t="str">
        <f t="shared" si="42"/>
        <v/>
      </c>
      <c r="F259" s="43" t="str">
        <f t="shared" si="42"/>
        <v/>
      </c>
      <c r="G259" s="43" t="str">
        <f t="shared" si="42"/>
        <v/>
      </c>
      <c r="H259" s="43" t="str">
        <f t="shared" si="42"/>
        <v/>
      </c>
      <c r="I259" s="43" t="str">
        <f t="shared" si="42"/>
        <v/>
      </c>
      <c r="J259" s="44" t="str">
        <f t="shared" si="42"/>
        <v/>
      </c>
      <c r="K259" s="18">
        <f>SUMIF(D260:J260,"",D259:J259)</f>
        <v>0</v>
      </c>
      <c r="L259" s="12">
        <f>SUM(D259:J259)</f>
        <v>0</v>
      </c>
      <c r="M259" s="24"/>
    </row>
    <row r="260" spans="1:13" x14ac:dyDescent="0.2">
      <c r="A260" s="39"/>
      <c r="B260" s="40"/>
      <c r="C260" s="32" t="s">
        <v>4</v>
      </c>
      <c r="D260" s="33"/>
      <c r="E260" s="53"/>
      <c r="F260" s="33"/>
      <c r="G260" s="33"/>
      <c r="H260" s="33"/>
      <c r="I260" s="33"/>
      <c r="J260" s="33"/>
      <c r="K260" s="17"/>
      <c r="L260" s="6"/>
      <c r="M260" s="25"/>
    </row>
    <row r="261" spans="1:13" ht="13.5" thickBot="1" x14ac:dyDescent="0.25">
      <c r="A261" s="41"/>
      <c r="B261" s="42"/>
      <c r="C261" s="35" t="s">
        <v>28</v>
      </c>
      <c r="D261" s="54"/>
      <c r="E261" s="36"/>
      <c r="F261" s="36"/>
      <c r="G261" s="36"/>
      <c r="H261" s="36"/>
      <c r="I261" s="36"/>
      <c r="J261" s="36"/>
      <c r="K261" s="34"/>
      <c r="L261" s="6"/>
      <c r="M261" s="25"/>
    </row>
    <row r="262" spans="1:13" x14ac:dyDescent="0.2">
      <c r="A262" s="37" t="s">
        <v>61</v>
      </c>
      <c r="B262" s="38" t="s">
        <v>62</v>
      </c>
      <c r="C262" s="14" t="s">
        <v>0</v>
      </c>
      <c r="D262" s="26"/>
      <c r="E262" s="26"/>
      <c r="F262" s="26"/>
      <c r="G262" s="26"/>
      <c r="H262" s="26"/>
      <c r="I262" s="26"/>
      <c r="J262" s="26"/>
      <c r="K262" s="16"/>
      <c r="L262" s="6"/>
      <c r="M262" s="21"/>
    </row>
    <row r="263" spans="1:13" x14ac:dyDescent="0.2">
      <c r="A263" s="39"/>
      <c r="B263" s="40"/>
      <c r="C263" s="15" t="s">
        <v>1</v>
      </c>
      <c r="D263" s="27"/>
      <c r="E263" s="27"/>
      <c r="F263" s="27"/>
      <c r="G263" s="27"/>
      <c r="H263" s="27"/>
      <c r="I263" s="27"/>
      <c r="J263" s="27"/>
      <c r="K263" s="17"/>
      <c r="L263" s="6"/>
      <c r="M263" s="21"/>
    </row>
    <row r="264" spans="1:13" x14ac:dyDescent="0.2">
      <c r="A264" s="39"/>
      <c r="B264" s="40"/>
      <c r="C264" s="15" t="s">
        <v>2</v>
      </c>
      <c r="D264" s="4"/>
      <c r="E264" s="4"/>
      <c r="F264" s="4"/>
      <c r="G264" s="4"/>
      <c r="H264" s="4"/>
      <c r="I264" s="4"/>
      <c r="J264" s="4"/>
      <c r="K264" s="17"/>
      <c r="L264" s="6"/>
      <c r="M264" s="21"/>
    </row>
    <row r="265" spans="1:13" x14ac:dyDescent="0.2">
      <c r="A265" s="39"/>
      <c r="B265" s="40"/>
      <c r="C265" s="15" t="s">
        <v>3</v>
      </c>
      <c r="D265" s="43" t="str">
        <f t="shared" ref="D265:J265" si="43">IF(D262="","",IF(D263&gt;D262,(D263-D262-D264)*24,(1-D262-D264+D263)*24))</f>
        <v/>
      </c>
      <c r="E265" s="43" t="str">
        <f t="shared" si="43"/>
        <v/>
      </c>
      <c r="F265" s="43" t="str">
        <f t="shared" si="43"/>
        <v/>
      </c>
      <c r="G265" s="43" t="str">
        <f t="shared" si="43"/>
        <v/>
      </c>
      <c r="H265" s="43" t="str">
        <f t="shared" si="43"/>
        <v/>
      </c>
      <c r="I265" s="43" t="str">
        <f t="shared" si="43"/>
        <v/>
      </c>
      <c r="J265" s="44" t="str">
        <f t="shared" si="43"/>
        <v/>
      </c>
      <c r="K265" s="18">
        <f>SUMIF(D266:J266,"",D265:J265)</f>
        <v>0</v>
      </c>
      <c r="L265" s="12">
        <f>SUM(D265:J265)</f>
        <v>0</v>
      </c>
      <c r="M265" s="24"/>
    </row>
    <row r="266" spans="1:13" x14ac:dyDescent="0.2">
      <c r="A266" s="39"/>
      <c r="B266" s="40"/>
      <c r="C266" s="32" t="s">
        <v>4</v>
      </c>
      <c r="D266" s="33"/>
      <c r="E266" s="53"/>
      <c r="F266" s="33"/>
      <c r="G266" s="33"/>
      <c r="H266" s="33"/>
      <c r="I266" s="33"/>
      <c r="J266" s="33"/>
      <c r="K266" s="17"/>
      <c r="L266" s="6"/>
      <c r="M266" s="25"/>
    </row>
    <row r="267" spans="1:13" ht="13.5" thickBot="1" x14ac:dyDescent="0.25">
      <c r="A267" s="41"/>
      <c r="B267" s="42"/>
      <c r="C267" s="35" t="s">
        <v>28</v>
      </c>
      <c r="D267" s="54"/>
      <c r="E267" s="36"/>
      <c r="F267" s="36"/>
      <c r="G267" s="36"/>
      <c r="H267" s="36"/>
      <c r="I267" s="36"/>
      <c r="J267" s="36"/>
      <c r="K267" s="34"/>
      <c r="L267" s="6"/>
      <c r="M267" s="25"/>
    </row>
    <row r="268" spans="1:13" x14ac:dyDescent="0.2">
      <c r="A268" s="37" t="s">
        <v>116</v>
      </c>
      <c r="B268" s="38" t="s">
        <v>117</v>
      </c>
      <c r="C268" s="14" t="s">
        <v>0</v>
      </c>
      <c r="D268" s="26">
        <v>0.54166666666666663</v>
      </c>
      <c r="E268" s="26"/>
      <c r="F268" s="26"/>
      <c r="G268" s="26"/>
      <c r="H268" s="26"/>
      <c r="I268" s="26"/>
      <c r="J268" s="26"/>
      <c r="K268" s="16"/>
      <c r="L268" s="6"/>
      <c r="M268" s="21"/>
    </row>
    <row r="269" spans="1:13" x14ac:dyDescent="0.2">
      <c r="A269" s="39"/>
      <c r="B269" s="40"/>
      <c r="C269" s="15" t="s">
        <v>1</v>
      </c>
      <c r="D269" s="27">
        <v>0.77083333333333337</v>
      </c>
      <c r="E269" s="27"/>
      <c r="F269" s="27"/>
      <c r="G269" s="27"/>
      <c r="H269" s="27"/>
      <c r="I269" s="27"/>
      <c r="J269" s="27"/>
      <c r="K269" s="17"/>
      <c r="L269" s="6"/>
      <c r="M269" s="21"/>
    </row>
    <row r="270" spans="1:13" x14ac:dyDescent="0.2">
      <c r="A270" s="39"/>
      <c r="B270" s="40"/>
      <c r="C270" s="15" t="s">
        <v>2</v>
      </c>
      <c r="D270" s="4"/>
      <c r="E270" s="4"/>
      <c r="F270" s="4"/>
      <c r="G270" s="4"/>
      <c r="H270" s="4"/>
      <c r="I270" s="4"/>
      <c r="J270" s="4"/>
      <c r="K270" s="17"/>
      <c r="L270" s="6"/>
      <c r="M270" s="21"/>
    </row>
    <row r="271" spans="1:13" x14ac:dyDescent="0.2">
      <c r="A271" s="39"/>
      <c r="B271" s="40"/>
      <c r="C271" s="15" t="s">
        <v>3</v>
      </c>
      <c r="D271" s="43">
        <f t="shared" ref="D271:J271" si="44">IF(D268="","",IF(D269&gt;D268,(D269-D268-D270)*24,(1-D268-D270+D269)*24))</f>
        <v>5.5000000000000018</v>
      </c>
      <c r="E271" s="43" t="str">
        <f t="shared" si="44"/>
        <v/>
      </c>
      <c r="F271" s="43" t="str">
        <f t="shared" si="44"/>
        <v/>
      </c>
      <c r="G271" s="43" t="str">
        <f t="shared" si="44"/>
        <v/>
      </c>
      <c r="H271" s="43" t="str">
        <f t="shared" si="44"/>
        <v/>
      </c>
      <c r="I271" s="43" t="str">
        <f t="shared" si="44"/>
        <v/>
      </c>
      <c r="J271" s="44" t="str">
        <f t="shared" si="44"/>
        <v/>
      </c>
      <c r="K271" s="18">
        <f>SUMIF(D272:J272,"",D271:J271)</f>
        <v>5.5000000000000018</v>
      </c>
      <c r="L271" s="12">
        <f>SUM(D271:J271)</f>
        <v>5.5000000000000018</v>
      </c>
      <c r="M271" s="24"/>
    </row>
    <row r="272" spans="1:13" x14ac:dyDescent="0.2">
      <c r="A272" s="39"/>
      <c r="B272" s="40"/>
      <c r="C272" s="32" t="s">
        <v>4</v>
      </c>
      <c r="D272" s="33"/>
      <c r="E272" s="53"/>
      <c r="F272" s="33"/>
      <c r="G272" s="33"/>
      <c r="H272" s="33"/>
      <c r="I272" s="33"/>
      <c r="J272" s="33"/>
      <c r="K272" s="17"/>
      <c r="L272" s="6"/>
      <c r="M272" s="25"/>
    </row>
    <row r="273" spans="1:13" ht="13.5" thickBot="1" x14ac:dyDescent="0.25">
      <c r="A273" s="41"/>
      <c r="B273" s="42"/>
      <c r="C273" s="35" t="s">
        <v>28</v>
      </c>
      <c r="D273" s="54"/>
      <c r="E273" s="36"/>
      <c r="F273" s="36"/>
      <c r="G273" s="36"/>
      <c r="H273" s="36"/>
      <c r="I273" s="36"/>
      <c r="J273" s="36"/>
      <c r="K273" s="34"/>
      <c r="L273" s="6"/>
      <c r="M273" s="25"/>
    </row>
    <row r="274" spans="1:13" x14ac:dyDescent="0.2">
      <c r="A274" s="37" t="s">
        <v>119</v>
      </c>
      <c r="B274" s="38" t="s">
        <v>45</v>
      </c>
      <c r="C274" s="14" t="s">
        <v>0</v>
      </c>
      <c r="D274" s="26"/>
      <c r="E274" s="26"/>
      <c r="F274" s="26"/>
      <c r="G274" s="26"/>
      <c r="H274" s="26"/>
      <c r="I274" s="26"/>
      <c r="J274" s="26"/>
      <c r="K274" s="16"/>
      <c r="L274" s="6"/>
      <c r="M274" s="21"/>
    </row>
    <row r="275" spans="1:13" x14ac:dyDescent="0.2">
      <c r="A275" s="39"/>
      <c r="B275" s="40"/>
      <c r="C275" s="15" t="s">
        <v>1</v>
      </c>
      <c r="D275" s="27"/>
      <c r="E275" s="27"/>
      <c r="F275" s="27"/>
      <c r="G275" s="27"/>
      <c r="H275" s="27"/>
      <c r="I275" s="27"/>
      <c r="J275" s="27"/>
      <c r="K275" s="17"/>
      <c r="L275" s="6"/>
      <c r="M275" s="21"/>
    </row>
    <row r="276" spans="1:13" x14ac:dyDescent="0.2">
      <c r="A276" s="39"/>
      <c r="B276" s="40"/>
      <c r="C276" s="15" t="s">
        <v>2</v>
      </c>
      <c r="D276" s="4"/>
      <c r="E276" s="4"/>
      <c r="F276" s="4"/>
      <c r="G276" s="4"/>
      <c r="H276" s="4"/>
      <c r="I276" s="4"/>
      <c r="J276" s="4"/>
      <c r="K276" s="17"/>
      <c r="L276" s="6"/>
      <c r="M276" s="21"/>
    </row>
    <row r="277" spans="1:13" x14ac:dyDescent="0.2">
      <c r="A277" s="39"/>
      <c r="B277" s="40"/>
      <c r="C277" s="15" t="s">
        <v>3</v>
      </c>
      <c r="D277" s="43" t="str">
        <f t="shared" ref="D277:J277" si="45">IF(D274="","",IF(D275&gt;D274,(D275-D274-D276)*24,(1-D274-D276+D275)*24))</f>
        <v/>
      </c>
      <c r="E277" s="43" t="str">
        <f t="shared" si="45"/>
        <v/>
      </c>
      <c r="F277" s="43" t="str">
        <f t="shared" si="45"/>
        <v/>
      </c>
      <c r="G277" s="43" t="str">
        <f t="shared" si="45"/>
        <v/>
      </c>
      <c r="H277" s="43" t="str">
        <f t="shared" si="45"/>
        <v/>
      </c>
      <c r="I277" s="43" t="str">
        <f t="shared" si="45"/>
        <v/>
      </c>
      <c r="J277" s="44" t="str">
        <f t="shared" si="45"/>
        <v/>
      </c>
      <c r="K277" s="18">
        <f>SUMIF(D278:J278,"",D277:J277)</f>
        <v>0</v>
      </c>
      <c r="L277" s="12">
        <f>SUM(D277:J277)</f>
        <v>0</v>
      </c>
      <c r="M277" s="24"/>
    </row>
    <row r="278" spans="1:13" x14ac:dyDescent="0.2">
      <c r="A278" s="39"/>
      <c r="B278" s="40"/>
      <c r="C278" s="32" t="s">
        <v>4</v>
      </c>
      <c r="D278" s="33"/>
      <c r="E278" s="53"/>
      <c r="F278" s="33"/>
      <c r="G278" s="33"/>
      <c r="H278" s="33"/>
      <c r="I278" s="33"/>
      <c r="J278" s="33"/>
      <c r="K278" s="17"/>
      <c r="L278" s="6"/>
      <c r="M278" s="25"/>
    </row>
    <row r="279" spans="1:13" ht="13.5" thickBot="1" x14ac:dyDescent="0.25">
      <c r="A279" s="41"/>
      <c r="B279" s="42"/>
      <c r="C279" s="35" t="s">
        <v>28</v>
      </c>
      <c r="D279" s="54"/>
      <c r="E279" s="36"/>
      <c r="F279" s="36"/>
      <c r="G279" s="36"/>
      <c r="H279" s="36"/>
      <c r="I279" s="36"/>
      <c r="J279" s="36"/>
      <c r="K279" s="34"/>
      <c r="L279" s="6"/>
      <c r="M279" s="25"/>
    </row>
    <row r="280" spans="1:13" x14ac:dyDescent="0.2">
      <c r="A280" s="6"/>
      <c r="B280" s="6"/>
      <c r="C280" s="6"/>
      <c r="D280" s="5"/>
      <c r="E280" s="5"/>
      <c r="F280" s="5"/>
      <c r="G280" s="5"/>
      <c r="H280" s="5"/>
      <c r="I280" s="5"/>
      <c r="J280" s="5"/>
      <c r="K280" s="5"/>
      <c r="L280" s="6"/>
    </row>
    <row r="281" spans="1:13" x14ac:dyDescent="0.2">
      <c r="A281" s="6"/>
      <c r="B281" s="6"/>
      <c r="C281" s="6"/>
      <c r="D281" s="5"/>
      <c r="E281" s="5"/>
      <c r="F281" s="5"/>
      <c r="G281" s="5"/>
      <c r="H281" s="5"/>
      <c r="I281" s="5"/>
      <c r="J281" s="5"/>
      <c r="K281" s="5"/>
      <c r="L281" s="6"/>
      <c r="M281" s="29" t="s">
        <v>26</v>
      </c>
    </row>
    <row r="282" spans="1:13" x14ac:dyDescent="0.2">
      <c r="A282" s="6"/>
      <c r="B282" s="6"/>
      <c r="C282" s="7" t="s">
        <v>15</v>
      </c>
      <c r="D282" s="11" t="e">
        <f>SUM(#REF!)</f>
        <v>#REF!</v>
      </c>
      <c r="E282" s="11" t="e">
        <f>SUM(#REF!)</f>
        <v>#REF!</v>
      </c>
      <c r="F282" s="11" t="e">
        <f>SUM(#REF!)</f>
        <v>#REF!</v>
      </c>
      <c r="G282" s="11" t="e">
        <f>SUM(#REF!)</f>
        <v>#REF!</v>
      </c>
      <c r="H282" s="11" t="e">
        <f>SUM(#REF!)</f>
        <v>#REF!</v>
      </c>
      <c r="I282" s="11" t="e">
        <f>SUM(#REF!)</f>
        <v>#REF!</v>
      </c>
      <c r="J282" s="11" t="e">
        <f>SUM(#REF!)</f>
        <v>#REF!</v>
      </c>
      <c r="K282" s="12"/>
      <c r="L282" s="12">
        <f>SUM(L4:L281)</f>
        <v>105.00000000000001</v>
      </c>
      <c r="M282" s="28" t="e">
        <f>+D282+E282+F282+G282+H282+I282+J282</f>
        <v>#REF!</v>
      </c>
    </row>
    <row r="283" spans="1:13" x14ac:dyDescent="0.2">
      <c r="A283" s="6"/>
      <c r="B283" s="6"/>
      <c r="C283" s="7" t="s">
        <v>16</v>
      </c>
      <c r="D283" s="11" t="e">
        <f>SUM(#REF!)</f>
        <v>#REF!</v>
      </c>
      <c r="E283" s="11" t="e">
        <f>SUM(#REF!)</f>
        <v>#REF!</v>
      </c>
      <c r="F283" s="11" t="e">
        <f>SUM(#REF!)</f>
        <v>#REF!</v>
      </c>
      <c r="G283" s="11" t="e">
        <f>SUM(#REF!)</f>
        <v>#REF!</v>
      </c>
      <c r="H283" s="11" t="e">
        <f>SUM(#REF!)</f>
        <v>#REF!</v>
      </c>
      <c r="I283" s="11" t="e">
        <f>SUM(#REF!)</f>
        <v>#REF!</v>
      </c>
      <c r="J283" s="11" t="e">
        <f>SUM(#REF!)</f>
        <v>#REF!</v>
      </c>
      <c r="K283" s="11" t="e">
        <f>SUM(#REF!)</f>
        <v>#REF!</v>
      </c>
      <c r="L283" s="12"/>
      <c r="M283" s="28" t="e">
        <f>+D283+E283+F283+G283+H283+I283+J283</f>
        <v>#REF!</v>
      </c>
    </row>
    <row r="284" spans="1:13" x14ac:dyDescent="0.2">
      <c r="A284" s="6"/>
      <c r="B284" s="6"/>
      <c r="C284" s="6"/>
      <c r="D284" s="5"/>
      <c r="E284" s="5"/>
      <c r="F284" s="5"/>
      <c r="G284" s="5"/>
      <c r="H284" s="5"/>
      <c r="I284" s="5"/>
      <c r="J284" s="5"/>
      <c r="K284" s="5"/>
      <c r="L284" s="6"/>
    </row>
    <row r="285" spans="1:13" x14ac:dyDescent="0.2">
      <c r="A285" s="6"/>
      <c r="B285" s="6"/>
      <c r="C285" s="7" t="s">
        <v>17</v>
      </c>
      <c r="D285" s="11"/>
      <c r="E285" s="11"/>
      <c r="F285" s="11"/>
      <c r="G285" s="11"/>
      <c r="H285" s="11"/>
      <c r="I285" s="11"/>
      <c r="J285" s="11"/>
      <c r="K285" s="11">
        <f>SUM(D285:J285)</f>
        <v>0</v>
      </c>
      <c r="L285" s="13"/>
    </row>
    <row r="286" spans="1:13" x14ac:dyDescent="0.2">
      <c r="A286" s="6"/>
      <c r="B286" s="6"/>
      <c r="C286" s="6"/>
      <c r="D286" s="5"/>
      <c r="E286" s="5"/>
      <c r="F286" s="5"/>
      <c r="G286" s="5"/>
      <c r="H286" s="5"/>
      <c r="I286" s="5"/>
      <c r="J286" s="5"/>
      <c r="K286" s="5"/>
      <c r="L286" s="6"/>
    </row>
    <row r="287" spans="1:13" x14ac:dyDescent="0.2">
      <c r="A287" s="6"/>
      <c r="B287" s="6"/>
      <c r="C287" s="7" t="s">
        <v>18</v>
      </c>
      <c r="D287" s="9" t="e">
        <f t="shared" ref="D287:K287" si="46">D285-D283</f>
        <v>#REF!</v>
      </c>
      <c r="E287" s="9" t="e">
        <f t="shared" si="46"/>
        <v>#REF!</v>
      </c>
      <c r="F287" s="9" t="e">
        <f t="shared" si="46"/>
        <v>#REF!</v>
      </c>
      <c r="G287" s="9" t="e">
        <f t="shared" si="46"/>
        <v>#REF!</v>
      </c>
      <c r="H287" s="9" t="e">
        <f t="shared" si="46"/>
        <v>#REF!</v>
      </c>
      <c r="I287" s="9" t="e">
        <f t="shared" si="46"/>
        <v>#REF!</v>
      </c>
      <c r="J287" s="9" t="e">
        <f t="shared" si="46"/>
        <v>#REF!</v>
      </c>
      <c r="K287" s="9" t="e">
        <f t="shared" si="46"/>
        <v>#REF!</v>
      </c>
      <c r="L287" s="6"/>
    </row>
    <row r="288" spans="1:13" x14ac:dyDescent="0.2">
      <c r="D288" s="1"/>
      <c r="E288" s="1"/>
      <c r="F288" s="1"/>
      <c r="G288" s="1"/>
      <c r="H288" s="1"/>
      <c r="I288" s="1"/>
      <c r="J288" s="1"/>
      <c r="K288" s="1"/>
    </row>
    <row r="289" spans="2:11" x14ac:dyDescent="0.2">
      <c r="B289" s="5" t="s">
        <v>19</v>
      </c>
      <c r="C289" s="5" t="s">
        <v>20</v>
      </c>
      <c r="D289" s="5"/>
      <c r="E289" s="5"/>
      <c r="F289" s="5"/>
      <c r="G289" s="5"/>
      <c r="H289" s="5"/>
      <c r="I289" s="5"/>
      <c r="J289" s="5"/>
      <c r="K289" s="1"/>
    </row>
    <row r="290" spans="2:11" x14ac:dyDescent="0.2">
      <c r="B290" s="8">
        <v>0.4375</v>
      </c>
      <c r="C290" s="8">
        <v>0.5625</v>
      </c>
      <c r="D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90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K290" s="1"/>
    </row>
    <row r="291" spans="2:11" x14ac:dyDescent="0.2">
      <c r="B291" s="8">
        <v>0.5625</v>
      </c>
      <c r="C291" s="8">
        <v>0.66666666666666663</v>
      </c>
      <c r="D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91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K291" s="1"/>
    </row>
    <row r="292" spans="2:11" x14ac:dyDescent="0.2">
      <c r="B292" s="8">
        <v>0.66666666666666663</v>
      </c>
      <c r="C292" s="8">
        <v>0.72916666666666663</v>
      </c>
      <c r="D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92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K292" s="1"/>
    </row>
    <row r="293" spans="2:11" x14ac:dyDescent="0.2">
      <c r="B293" s="8">
        <v>0.79166666666666663</v>
      </c>
      <c r="C293" s="8">
        <v>0.85416666666666663</v>
      </c>
      <c r="D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93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K293" s="1"/>
    </row>
    <row r="294" spans="2:11" x14ac:dyDescent="0.2">
      <c r="B294" s="8">
        <v>0.85416666666666663</v>
      </c>
      <c r="C294" s="8">
        <v>0.92708333333333337</v>
      </c>
      <c r="D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E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F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G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H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I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J294" s="5" t="e">
        <f>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  <c r="K294" s="1"/>
    </row>
    <row r="295" spans="2:11" x14ac:dyDescent="0.2">
      <c r="D295" s="1"/>
      <c r="E295" s="1"/>
      <c r="F295" s="1"/>
      <c r="G295" s="1"/>
      <c r="H295" s="1"/>
      <c r="I295" s="1"/>
      <c r="J295" s="1"/>
      <c r="K295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2B686614-EF99-405E-B98C-838A464B14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</vt:i4>
      </vt:variant>
    </vt:vector>
  </HeadingPairs>
  <TitlesOfParts>
    <vt:vector size="10" baseType="lpstr">
      <vt:lpstr>week 1</vt:lpstr>
      <vt:lpstr>week 2</vt:lpstr>
      <vt:lpstr>week 3</vt:lpstr>
      <vt:lpstr>week 4</vt:lpstr>
      <vt:lpstr>week 5</vt:lpstr>
      <vt:lpstr>week 6</vt:lpstr>
      <vt:lpstr>Blad1</vt:lpstr>
      <vt:lpstr>ww6</vt:lpstr>
      <vt:lpstr>w6</vt:lpstr>
      <vt:lpstr>'week 1'!Afdrukbereik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Adriaensen</dc:creator>
  <cp:lastModifiedBy>Stef VAN KELST</cp:lastModifiedBy>
  <cp:lastPrinted>2023-09-25T09:18:22Z</cp:lastPrinted>
  <dcterms:created xsi:type="dcterms:W3CDTF">2000-07-21T02:03:52Z</dcterms:created>
  <dcterms:modified xsi:type="dcterms:W3CDTF">2024-07-15T18:23:27Z</dcterms:modified>
</cp:coreProperties>
</file>